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工作流总控" sheetId="1" state="visible" r:id="rId1"/>
    <sheet xmlns:r="http://schemas.openxmlformats.org/officeDocument/2006/relationships" name="项目说明" sheetId="2" state="visible" r:id="rId2"/>
    <sheet xmlns:r="http://schemas.openxmlformats.org/officeDocument/2006/relationships" name="数据来源" sheetId="3" state="visible" r:id="rId3"/>
    <sheet xmlns:r="http://schemas.openxmlformats.org/officeDocument/2006/relationships" name="模型过程" sheetId="4" state="visible" r:id="rId4"/>
    <sheet xmlns:r="http://schemas.openxmlformats.org/officeDocument/2006/relationships" name="模型参数" sheetId="5" state="visible" r:id="rId5"/>
    <sheet xmlns:r="http://schemas.openxmlformats.org/officeDocument/2006/relationships" name="模型流与公式" sheetId="6" state="visible" r:id="rId6"/>
    <sheet xmlns:r="http://schemas.openxmlformats.org/officeDocument/2006/relationships" name="核算检查" sheetId="7" state="visible" r:id="rId7"/>
    <sheet xmlns:r="http://schemas.openxmlformats.org/officeDocument/2006/relationships" name="问题与决策" sheetId="8" state="visible" r:id="rId8"/>
    <sheet xmlns:r="http://schemas.openxmlformats.org/officeDocument/2006/relationships" name="绘图确认" sheetId="9" state="visible" r:id="rId9"/>
    <sheet xmlns:r="http://schemas.openxmlformats.org/officeDocument/2006/relationships" name="候选数据" sheetId="10" state="visible" r:id="rId10"/>
    <sheet xmlns:r="http://schemas.openxmlformats.org/officeDocument/2006/relationships" name="参数覆盖度矩阵" sheetId="11" state="visible" r:id="rId11"/>
    <sheet xmlns:r="http://schemas.openxmlformats.org/officeDocument/2006/relationships" name="待补参数清单" sheetId="12" state="visible" r:id="rId12"/>
  </sheets>
  <definedNames/>
</workbook>
</file>

<file path=xl/styles.xml><?xml version="1.0" encoding="utf-8"?>
<styleSheet xmlns="http://schemas.openxmlformats.org/spreadsheetml/2006/main">
  <numFmts count="1">
    <numFmt numFmtId="164" formatCode="0.000000"/>
  </numFmts>
  <fonts count="11">
    <font>
      <name val="Carlito"/>
      <sz val="11"/>
    </font>
    <font>
      <name val="Arial"/>
      <b val="1"/>
      <color rgb="FF1F1F1F"/>
      <sz val="15"/>
    </font>
    <font>
      <name val="Arial"/>
      <i val="1"/>
      <color rgb="FF595959"/>
      <sz val="10"/>
    </font>
    <font>
      <name val="Arial"/>
      <b val="1"/>
      <color rgb="FFFFFFFF"/>
      <sz val="10"/>
    </font>
    <font>
      <name val="Arial"/>
      <color rgb="FF1F1F1F"/>
      <sz val="10"/>
    </font>
    <font>
      <name val="Arial"/>
      <b val="1"/>
      <sz val="10"/>
    </font>
    <font>
      <name val="Arial"/>
      <b val="1"/>
      <color rgb="FF17324D"/>
      <sz val="10"/>
    </font>
    <font>
      <name val="Arial"/>
      <color rgb="FF243B53"/>
      <sz val="10"/>
    </font>
    <font>
      <name val="Arial"/>
      <color rgb="FF52657A"/>
      <sz val="10"/>
    </font>
    <font>
      <name val="Arial"/>
      <b val="1"/>
      <color rgb="FF17324D"/>
      <sz val="15"/>
    </font>
    <font>
      <name val="Arial"/>
      <b val="1"/>
      <color rgb="FF244265"/>
      <sz val="14"/>
    </font>
  </fonts>
  <fills count="12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4472C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E1EFFB"/>
      </patternFill>
    </fill>
    <fill>
      <patternFill patternType="solid">
        <fgColor rgb="FFFFF4D6"/>
      </patternFill>
    </fill>
    <fill>
      <patternFill patternType="solid">
        <fgColor rgb="FF285B8C"/>
      </patternFill>
    </fill>
    <fill>
      <patternFill patternType="solid">
        <fgColor rgb="FFE9F5EC"/>
      </patternFill>
    </fill>
    <fill>
      <patternFill patternType="solid">
        <fgColor rgb="FF244265"/>
      </patternFill>
    </fill>
  </fills>
  <borders count="6">
    <border/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2" pivotButton="0" quotePrefix="0" xfId="0"/>
    <xf numFmtId="0" fontId="3" fillId="2" borderId="3" pivotButton="0" quotePrefix="0" xfId="0"/>
    <xf numFmtId="0" fontId="3" fillId="2" borderId="1" applyAlignment="1" pivotButton="0" quotePrefix="0" xfId="0">
      <alignment wrapText="1"/>
    </xf>
    <xf numFmtId="0" fontId="3" fillId="2" borderId="2" applyAlignment="1" pivotButton="0" quotePrefix="0" xfId="0">
      <alignment wrapText="1"/>
    </xf>
    <xf numFmtId="0" fontId="3" fillId="2" borderId="3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3" fillId="2" borderId="2" applyAlignment="1" pivotButton="0" quotePrefix="0" xfId="0">
      <alignment horizontal="center" wrapText="1"/>
    </xf>
    <xf numFmtId="0" fontId="3" fillId="2" borderId="3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0" fillId="3" borderId="0" pivotButton="0" quotePrefix="0" xfId="0"/>
    <xf numFmtId="0" fontId="3" fillId="3" borderId="0" pivotButton="0" quotePrefix="0" xfId="0"/>
    <xf numFmtId="0" fontId="3" fillId="3" borderId="4" pivotButton="0" quotePrefix="0" xfId="0"/>
    <xf numFmtId="0" fontId="0" fillId="0" borderId="4" pivotButton="0" quotePrefix="0" xfId="0"/>
    <xf numFmtId="0" fontId="0" fillId="4" borderId="0" pivotButton="0" quotePrefix="0" xfId="0"/>
    <xf numFmtId="0" fontId="5" fillId="4" borderId="0" pivotButton="0" quotePrefix="0" xfId="0"/>
    <xf numFmtId="0" fontId="0" fillId="5" borderId="0" pivotButton="0" quotePrefix="0" xfId="0"/>
    <xf numFmtId="0" fontId="3" fillId="2" borderId="5" pivotButton="0" quotePrefix="0" xfId="0"/>
    <xf numFmtId="0" fontId="5" fillId="4" borderId="5" pivotButton="0" quotePrefix="0" xfId="0"/>
    <xf numFmtId="0" fontId="0" fillId="5" borderId="5" pivotButton="0" quotePrefix="0" xfId="0"/>
    <xf numFmtId="0" fontId="0" fillId="0" borderId="5" pivotButton="0" quotePrefix="0" xfId="0"/>
    <xf numFmtId="164" fontId="4" fillId="0" borderId="0" applyAlignment="1" pivotButton="0" quotePrefix="0" xfId="0">
      <alignment vertical="center"/>
    </xf>
    <xf numFmtId="164" fontId="4" fillId="6" borderId="0" applyAlignment="1" pivotButton="0" quotePrefix="0" xfId="0">
      <alignment vertical="center"/>
    </xf>
    <xf numFmtId="0" fontId="4" fillId="6" borderId="0" applyAlignment="1" pivotButton="0" quotePrefix="0" xfId="0">
      <alignment vertical="center"/>
    </xf>
    <xf numFmtId="0" fontId="0" fillId="7" borderId="0" pivotButton="0" quotePrefix="0" xfId="0"/>
    <xf numFmtId="0" fontId="6" fillId="7" borderId="0" pivotButton="0" quotePrefix="0" xfId="0"/>
    <xf numFmtId="0" fontId="0" fillId="8" borderId="0" pivotButton="0" quotePrefix="0" xfId="0"/>
    <xf numFmtId="0" fontId="7" fillId="8" borderId="0" pivotButton="0" quotePrefix="0" xfId="0"/>
    <xf numFmtId="0" fontId="8" fillId="0" borderId="0" pivotButton="0" quotePrefix="0" xfId="0"/>
    <xf numFmtId="0" fontId="0" fillId="9" borderId="0" pivotButton="0" quotePrefix="0" xfId="0"/>
    <xf numFmtId="0" fontId="3" fillId="9" borderId="0" pivotButton="0" quotePrefix="0" xfId="0"/>
    <xf numFmtId="0" fontId="3" fillId="9" borderId="0" applyAlignment="1" pivotButton="0" quotePrefix="0" xfId="0">
      <alignment vertical="center"/>
    </xf>
    <xf numFmtId="0" fontId="3" fillId="9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vertical="center"/>
    </xf>
    <xf numFmtId="0" fontId="9" fillId="0" borderId="0" pivotButton="0" quotePrefix="0" xfId="0"/>
    <xf numFmtId="0" fontId="3" fillId="9" borderId="0" applyAlignment="1" pivotButton="0" quotePrefix="0" xfId="0">
      <alignment wrapText="1"/>
    </xf>
    <xf numFmtId="0" fontId="3" fillId="9" borderId="0" applyAlignment="1" pivotButton="0" quotePrefix="0" xfId="0">
      <alignment horizontal="center" wrapText="1"/>
    </xf>
    <xf numFmtId="0" fontId="7" fillId="0" borderId="0" pivotButton="0" quotePrefix="0" xfId="0"/>
    <xf numFmtId="0" fontId="0" fillId="11" borderId="0" pivotButton="0" quotePrefix="0" xfId="0"/>
    <xf numFmtId="0" fontId="3" fillId="11" borderId="0" pivotButton="0" quotePrefix="0" xfId="0"/>
    <xf numFmtId="0" fontId="10" fillId="0" borderId="0" pivotButton="0" quotePrefix="0" xfId="0"/>
    <xf numFmtId="164" fontId="4" fillId="0" borderId="0" applyAlignment="1" pivotButton="0" quotePrefix="0" xfId="0">
      <alignment vertical="center"/>
    </xf>
    <xf numFmtId="164" fontId="4" fillId="6" borderId="0" applyAlignment="1" pivotButton="0" quotePrefix="0" xfId="0">
      <alignment vertical="center"/>
    </xf>
  </cellXfs>
  <cellStyles count="1">
    <cellStyle name="Normal" xfId="0"/>
  </cellStyles>
  <dxfs count="3">
    <dxf>
      <font>
        <b val="1"/>
        <color rgb="FF9C0006"/>
      </font>
      <fill>
        <patternFill>
          <bgColor rgb="FFFCE4D6"/>
        </patternFill>
      </fill>
    </dxf>
    <dxf>
      <font>
        <color rgb="FF9C65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CE4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4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14" customWidth="1" min="1" max="1"/>
    <col width="27" customWidth="1" min="2" max="2"/>
    <col width="24" customWidth="1" min="3" max="3"/>
    <col width="24" customWidth="1" min="4" max="4"/>
    <col width="36" customWidth="1" min="5" max="5"/>
    <col width="15" customWidth="1" min="6" max="6"/>
    <col width="18" customWidth="1" min="7" max="7"/>
    <col width="18" customWidth="1" min="8" max="8"/>
    <col width="32" customWidth="1" min="9" max="9"/>
    <col width="20" customWidth="1" min="11" max="11"/>
    <col width="16" customWidth="1" min="12" max="12"/>
  </cols>
  <sheetData>
    <row r="1" ht="24" customHeight="1">
      <c r="A1" s="1" t="inlineStr">
        <is>
          <t>前景清单与绘图工作流</t>
        </is>
      </c>
      <c r="K1" s="21" t="inlineStr">
        <is>
          <t>实时检查</t>
        </is>
      </c>
      <c r="L1" s="21" t="inlineStr">
        <is>
          <t>结果</t>
        </is>
      </c>
    </row>
    <row r="2" ht="24" customHeight="1">
      <c r="A2" s="2" t="inlineStr">
        <is>
          <t>数据功能按用户确认的文献清单工作流推进；闸门 B 确认冻结范围后，绘图功能另行启动。</t>
        </is>
      </c>
      <c r="K2" s="22" t="inlineStr">
        <is>
          <t>未解决问题</t>
        </is>
      </c>
      <c r="L2" s="22">
        <f>COUNTIF('问题与决策'!$I$5:$I$204,"未解决")</f>
        <v/>
      </c>
    </row>
    <row r="3">
      <c r="K3" s="22" t="inlineStr">
        <is>
          <t>BLOCKED 检查</t>
        </is>
      </c>
      <c r="L3" s="22">
        <f>COUNTIF('核算检查'!$K$5:$K$204,"BLOCKED")</f>
        <v/>
      </c>
    </row>
    <row r="4" ht="34" customHeight="1">
      <c r="A4" s="14" t="inlineStr">
        <is>
          <t>阶段</t>
        </is>
      </c>
      <c r="B4" s="15" t="inlineStr">
        <is>
          <t>任务</t>
        </is>
      </c>
      <c r="C4" s="15" t="inlineStr">
        <is>
          <t>输入</t>
        </is>
      </c>
      <c r="D4" s="15" t="inlineStr">
        <is>
          <t>输出</t>
        </is>
      </c>
      <c r="E4" s="15" t="inlineStr">
        <is>
          <t>完成条件</t>
        </is>
      </c>
      <c r="F4" s="15" t="inlineStr">
        <is>
          <t>状态</t>
        </is>
      </c>
      <c r="G4" s="15" t="inlineStr">
        <is>
          <t>负责人/确认人</t>
        </is>
      </c>
      <c r="H4" s="15" t="inlineStr">
        <is>
          <t>版本/日期</t>
        </is>
      </c>
      <c r="I4" s="16" t="inlineStr">
        <is>
          <t>备注</t>
        </is>
      </c>
      <c r="K4" s="22" t="inlineStr">
        <is>
          <t>数据功能确认</t>
        </is>
      </c>
      <c r="L4" s="22">
        <f>COUNTIF('绘图确认'!$P$5:$P$204,"已确认")</f>
        <v/>
      </c>
    </row>
    <row r="5">
      <c r="A5" s="18" t="inlineStr">
        <is>
          <t>S01</t>
        </is>
      </c>
      <c r="B5" s="18" t="inlineStr">
        <is>
          <t>S1.1–S1.3 课题、文献与原始清单</t>
        </is>
      </c>
      <c r="C5" s="18" t="inlineStr">
        <is>
          <t>研究课题与候选来源</t>
        </is>
      </c>
      <c r="D5" s="18" t="inlineStr">
        <is>
          <t>课题摘要和原始清单核验</t>
        </is>
      </c>
      <c r="E5" s="18" t="inlineStr">
        <is>
          <t>C1 的完整指完整生命周期清单；缺文件已报告</t>
        </is>
      </c>
      <c r="F5" s="18" t="inlineStr">
        <is>
          <t>完成</t>
        </is>
      </c>
      <c r="G5" s="18" t="inlineStr">
        <is>
          <t>用户（2026-09-27）</t>
        </is>
      </c>
      <c r="H5" s="18" t="inlineStr">
        <is>
          <t>2026-09-27</t>
        </is>
      </c>
      <c r="I5" s="18" t="inlineStr">
        <is>
          <t>C1通过；S1.3多版本核验完成：DIB数据集原始版为权威版（Q-12），衍生版降级</t>
        </is>
      </c>
      <c r="K5" s="22" t="inlineStr">
        <is>
          <t>绘图功能入口</t>
        </is>
      </c>
      <c r="L5" s="22">
        <f>IF(AND(L2=0,L3=0,L4&gt;0),"可进入","暂不可进入")</f>
        <v/>
      </c>
    </row>
    <row r="6">
      <c r="A6" s="18" t="inlineStr">
        <is>
          <t>S02</t>
        </is>
      </c>
      <c r="B6" s="18" t="inlineStr">
        <is>
          <t>S1.4 双文献池分类</t>
        </is>
      </c>
      <c r="C6" s="18" t="inlineStr">
        <is>
          <t>来源文件及依赖</t>
        </is>
      </c>
      <c r="D6" s="18" t="inlineStr">
        <is>
          <t>完整清单池、参数选取池</t>
        </is>
      </c>
      <c r="E6" s="18" t="inlineStr">
        <is>
          <t>C2 完整清单池非空；一篇来源可兼任两池</t>
        </is>
      </c>
      <c r="F6" s="18" t="inlineStr">
        <is>
          <t>完成</t>
        </is>
      </c>
      <c r="G6" s="18" t="n"/>
      <c r="H6" s="18" t="inlineStr">
        <is>
          <t>2026-09-27</t>
        </is>
      </c>
      <c r="I6" s="18" t="inlineStr">
        <is>
          <t>完整清单池=SYS-GUY-2024-DIB（SRC-RAW）；SYS-WHEY-2023（衍生版）入参数池</t>
        </is>
      </c>
    </row>
    <row r="7">
      <c r="A7" s="18" t="inlineStr">
        <is>
          <t>S03</t>
        </is>
      </c>
      <c r="B7" s="18" t="inlineStr">
        <is>
          <t>S2.1 分文献整理方案</t>
        </is>
      </c>
      <c r="C7" s="18" t="inlineStr">
        <is>
          <t>候选来源与课题</t>
        </is>
      </c>
      <c r="D7" s="18" t="inlineStr">
        <is>
          <t>方法、边界与取数方案</t>
        </is>
      </c>
      <c r="E7" s="18" t="inlineStr">
        <is>
          <t>目标口径及前景/背景接口已说明</t>
        </is>
      </c>
      <c r="F7" s="18" t="inlineStr">
        <is>
          <t>完成</t>
        </is>
      </c>
      <c r="G7" s="18" t="n"/>
      <c r="H7" s="18" t="inlineStr">
        <is>
          <t>2026-09-27</t>
        </is>
      </c>
      <c r="I7" s="18" t="inlineStr">
        <is>
          <t>方法口径见项目说明</t>
        </is>
      </c>
    </row>
    <row r="8">
      <c r="A8" s="18" t="inlineStr">
        <is>
          <t>S04</t>
        </is>
      </c>
      <c r="B8" s="18" t="inlineStr">
        <is>
          <t>S2.2–S2.3 框架选择与闸门A</t>
        </is>
      </c>
      <c r="C8" s="18" t="inlineStr">
        <is>
          <t>完整清单文献池</t>
        </is>
      </c>
      <c r="D8" s="18" t="inlineStr">
        <is>
          <t>框架文献及单元操作结构</t>
        </is>
      </c>
      <c r="E8" s="18" t="inlineStr">
        <is>
          <t>用户确认框架；否决理由及候选处理留痕</t>
        </is>
      </c>
      <c r="F8" s="18" t="inlineStr">
        <is>
          <t>已确认</t>
        </is>
      </c>
      <c r="G8" s="18" t="inlineStr">
        <is>
          <t>用户（2026-09-27）</t>
        </is>
      </c>
      <c r="H8" s="18" t="inlineStr">
        <is>
          <t>2026-09-27</t>
        </is>
      </c>
      <c r="I8" s="18" t="inlineStr">
        <is>
          <t>框架D-A2：SRC-RAW 20步（用户2026-09-27确认）</t>
        </is>
      </c>
    </row>
    <row r="9">
      <c r="A9" s="18" t="inlineStr">
        <is>
          <t>S05</t>
        </is>
      </c>
      <c r="B9" s="18" t="inlineStr">
        <is>
          <t>S3.1–S3.3 基准、最小黑箱与覆盖度</t>
        </is>
      </c>
      <c r="C9" s="18" t="inlineStr">
        <is>
          <t>框架文献与附件</t>
        </is>
      </c>
      <c r="D9" s="18" t="inlineStr">
        <is>
          <t>模块划分和参数覆盖度矩阵</t>
        </is>
      </c>
      <c r="E9" s="18" t="inlineStr">
        <is>
          <t>功能单位、边界、操作粒度及缺口已登记</t>
        </is>
      </c>
      <c r="F9" s="18" t="inlineStr">
        <is>
          <t>完成</t>
        </is>
      </c>
      <c r="G9" s="18" t="n"/>
      <c r="H9" s="18" t="inlineStr">
        <is>
          <t>2026-09-27</t>
        </is>
      </c>
      <c r="I9" s="18" t="inlineStr">
        <is>
          <t>19个单元操作，覆盖矩阵已建</t>
        </is>
      </c>
    </row>
    <row r="10">
      <c r="A10" s="18" t="inlineStr">
        <is>
          <t>S06</t>
        </is>
      </c>
      <c r="B10" s="18" t="inlineStr">
        <is>
          <t>S3.4 全部流识别</t>
        </is>
      </c>
      <c r="C10" s="18" t="inlineStr">
        <is>
          <t>模块与操作结构</t>
        </is>
      </c>
      <c r="D10" s="18" t="inlineStr">
        <is>
          <t>输入、输出、内部转移和循环流</t>
        </is>
      </c>
      <c r="E10" s="18" t="inlineStr">
        <is>
          <t>逐流端点、方向与边界已登记</t>
        </is>
      </c>
      <c r="F10" s="18" t="inlineStr">
        <is>
          <t>完成</t>
        </is>
      </c>
      <c r="G10" s="18" t="n"/>
      <c r="H10" s="18" t="inlineStr">
        <is>
          <t>2026-09-27</t>
        </is>
      </c>
      <c r="I10" s="18" t="inlineStr">
        <is>
          <t>主物流10+条；能源/清洗/化学品/污水/资本品300+条（v2补入，含设备级资本品81条，WPI边界）</t>
        </is>
      </c>
    </row>
    <row r="11">
      <c r="A11" s="18" t="inlineStr">
        <is>
          <t>S07</t>
        </is>
      </c>
      <c r="B11" s="18" t="inlineStr">
        <is>
          <t>D1、S3.5–S3.7 公式溯源与逐流卡</t>
        </is>
      </c>
      <c r="C11" s="18" t="inlineStr">
        <is>
          <t>来源参数、公式和流</t>
        </is>
      </c>
      <c r="D11" s="18" t="inlineStr">
        <is>
          <t>采用参数、流及公式依赖</t>
        </is>
      </c>
      <c r="E11" s="18" t="inlineStr">
        <is>
          <t>公式递归到输入参数；流卡有证据和稳定ID</t>
        </is>
      </c>
      <c r="F11" s="18" t="inlineStr">
        <is>
          <t>完成</t>
        </is>
      </c>
      <c r="G11" s="18" t="n"/>
      <c r="H11" s="18" t="inlineStr">
        <is>
          <t>2026-09-27</t>
        </is>
      </c>
      <c r="I11" s="18" t="inlineStr">
        <is>
          <t>派生流公式见模型流与公式表</t>
        </is>
      </c>
    </row>
    <row r="12">
      <c r="A12" s="18" t="inlineStr">
        <is>
          <t>S08</t>
        </is>
      </c>
      <c r="B12" s="18" t="inlineStr">
        <is>
          <t>QC 清单复核</t>
        </is>
      </c>
      <c r="C12" s="18" t="inlineStr">
        <is>
          <t>参数、公式、流与覆盖矩阵</t>
        </is>
      </c>
      <c r="D12" s="18" t="inlineStr">
        <is>
          <t>核算检查与问题标记</t>
        </is>
      </c>
      <c r="E12" s="18" t="inlineStr">
        <is>
          <t>复查仍有问题已及时向用户报告并记录决定</t>
        </is>
      </c>
      <c r="F12" s="18" t="inlineStr">
        <is>
          <t>完成</t>
        </is>
      </c>
      <c r="G12" s="18" t="n"/>
      <c r="H12" s="18" t="inlineStr">
        <is>
          <t>2026-09-27</t>
        </is>
      </c>
      <c r="I12" s="18" t="inlineStr">
        <is>
          <t>核算检查CH-01~CH-11、CH-15~CH-17（WPI边界）；Q-01~Q-17登记（Q-13/14随PR13-19移出不适用）</t>
        </is>
      </c>
    </row>
    <row r="13">
      <c r="A13" s="18" t="inlineStr">
        <is>
          <t>S09</t>
        </is>
      </c>
      <c r="B13" s="18" t="inlineStr">
        <is>
          <t>S4.1 汇报与闸门B</t>
        </is>
      </c>
      <c r="C13" s="18" t="inlineStr">
        <is>
          <t>模块化清单、覆盖度、问题</t>
        </is>
      </c>
      <c r="D13" s="18" t="inlineStr">
        <is>
          <t>Excel与待补参数清单</t>
        </is>
      </c>
      <c r="E13" s="18" t="inlineStr">
        <is>
          <t>用户确认清单、待补项及可冻结范围</t>
        </is>
      </c>
      <c r="F13" s="18" t="inlineStr">
        <is>
          <t>已确认</t>
        </is>
      </c>
      <c r="G13" s="18" t="inlineStr">
        <is>
          <t>用户（2026-09-28）</t>
        </is>
      </c>
      <c r="H13" s="18" t="inlineStr">
        <is>
          <t>2026-09-27</t>
        </is>
      </c>
      <c r="I13" s="18" t="inlineStr">
        <is>
          <t>v2.2冻结（2026-09-28用户确认）：WPI边界——系统边界至WPI浓缩液出厂，PR13-19（α/β蛋白分离）移出；基线SRC-RAW原始记录层；全产品系统清单；不分配/不替代/不做LCIA；资本品纳入；唯一开放待补项GB-04（污水站proxy口径）</t>
        </is>
      </c>
    </row>
    <row r="14">
      <c r="A14" s="43" t="inlineStr">
        <is>
          <t>S10</t>
        </is>
      </c>
      <c r="B14" s="43" t="inlineStr">
        <is>
          <t>绘图功能内容蓝图</t>
        </is>
      </c>
      <c r="C14" s="43" t="inlineStr">
        <is>
          <t>冻结 Excel</t>
        </is>
      </c>
      <c r="D14" s="43" t="inlineStr">
        <is>
          <t>绘图确认</t>
        </is>
      </c>
      <c r="E14" s="43" t="inlineStr">
        <is>
          <t>显示决定经用户另行确认</t>
        </is>
      </c>
      <c r="F14" s="18" t="inlineStr">
        <is>
          <t>未开始</t>
        </is>
      </c>
      <c r="G14" s="18" t="n"/>
      <c r="H14" s="18" t="inlineStr"/>
      <c r="I14" s="18" t="inlineStr">
        <is>
          <t>需冻结后启动</t>
        </is>
      </c>
    </row>
    <row r="15">
      <c r="A15" s="43" t="inlineStr">
        <is>
          <t>S11</t>
        </is>
      </c>
      <c r="B15" s="43" t="inlineStr">
        <is>
          <t>Draw.io 绘制复检</t>
        </is>
      </c>
      <c r="C15" s="43" t="inlineStr">
        <is>
          <t>已确认规格</t>
        </is>
      </c>
      <c r="D15" s="43" t="inlineStr">
        <is>
          <t>原生 .drawio</t>
        </is>
      </c>
      <c r="E15" s="43" t="inlineStr">
        <is>
          <t>结构、内容与渲染检查通过</t>
        </is>
      </c>
      <c r="F15" s="18" t="inlineStr">
        <is>
          <t>未开始</t>
        </is>
      </c>
      <c r="G15" s="18" t="n"/>
      <c r="H15" s="18" t="inlineStr"/>
      <c r="I15" s="18" t="inlineStr">
        <is>
          <t>需冻结后启动</t>
        </is>
      </c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</row>
    <row r="22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</row>
    <row r="24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</row>
    <row r="47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</row>
    <row r="48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</row>
    <row r="49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</row>
    <row r="50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</row>
    <row r="5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</row>
    <row r="52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</row>
    <row r="53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</row>
    <row r="54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</row>
    <row r="55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</row>
    <row r="56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</row>
    <row r="57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</row>
    <row r="58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</row>
    <row r="59">
      <c r="A59" s="18" t="n"/>
      <c r="B59" s="18" t="n"/>
      <c r="C59" s="18" t="n"/>
      <c r="D59" s="18" t="n"/>
      <c r="E59" s="18" t="n"/>
      <c r="F59" s="18" t="n"/>
      <c r="G59" s="18" t="n"/>
      <c r="H59" s="18" t="n"/>
      <c r="I59" s="18" t="n"/>
    </row>
    <row r="60">
      <c r="A60" s="18" t="n"/>
      <c r="B60" s="18" t="n"/>
      <c r="C60" s="18" t="n"/>
      <c r="D60" s="18" t="n"/>
      <c r="E60" s="18" t="n"/>
      <c r="F60" s="18" t="n"/>
      <c r="G60" s="18" t="n"/>
      <c r="H60" s="18" t="n"/>
      <c r="I60" s="18" t="n"/>
    </row>
    <row r="61">
      <c r="A61" s="18" t="n"/>
      <c r="B61" s="18" t="n"/>
      <c r="C61" s="18" t="n"/>
      <c r="D61" s="18" t="n"/>
      <c r="E61" s="18" t="n"/>
      <c r="F61" s="18" t="n"/>
      <c r="G61" s="18" t="n"/>
      <c r="H61" s="18" t="n"/>
      <c r="I61" s="18" t="n"/>
    </row>
    <row r="62">
      <c r="A62" s="18" t="n"/>
      <c r="B62" s="18" t="n"/>
      <c r="C62" s="18" t="n"/>
      <c r="D62" s="18" t="n"/>
      <c r="E62" s="18" t="n"/>
      <c r="F62" s="18" t="n"/>
      <c r="G62" s="18" t="n"/>
      <c r="H62" s="18" t="n"/>
      <c r="I62" s="18" t="n"/>
    </row>
    <row r="63">
      <c r="A63" s="18" t="n"/>
      <c r="B63" s="18" t="n"/>
      <c r="C63" s="18" t="n"/>
      <c r="D63" s="18" t="n"/>
      <c r="E63" s="18" t="n"/>
      <c r="F63" s="18" t="n"/>
      <c r="G63" s="18" t="n"/>
      <c r="H63" s="18" t="n"/>
      <c r="I63" s="18" t="n"/>
    </row>
    <row r="64">
      <c r="A64" s="18" t="n"/>
      <c r="B64" s="18" t="n"/>
      <c r="C64" s="18" t="n"/>
      <c r="D64" s="18" t="n"/>
      <c r="E64" s="18" t="n"/>
      <c r="F64" s="18" t="n"/>
      <c r="G64" s="18" t="n"/>
      <c r="H64" s="18" t="n"/>
      <c r="I64" s="18" t="n"/>
    </row>
    <row r="65">
      <c r="A65" s="18" t="n"/>
      <c r="B65" s="18" t="n"/>
      <c r="C65" s="18" t="n"/>
      <c r="D65" s="18" t="n"/>
      <c r="E65" s="18" t="n"/>
      <c r="F65" s="18" t="n"/>
      <c r="G65" s="18" t="n"/>
      <c r="H65" s="18" t="n"/>
      <c r="I65" s="18" t="n"/>
    </row>
    <row r="66">
      <c r="A66" s="18" t="n"/>
      <c r="B66" s="18" t="n"/>
      <c r="C66" s="18" t="n"/>
      <c r="D66" s="18" t="n"/>
      <c r="E66" s="18" t="n"/>
      <c r="F66" s="18" t="n"/>
      <c r="G66" s="18" t="n"/>
      <c r="H66" s="18" t="n"/>
      <c r="I66" s="18" t="n"/>
    </row>
    <row r="67">
      <c r="A67" s="18" t="n"/>
      <c r="B67" s="18" t="n"/>
      <c r="C67" s="18" t="n"/>
      <c r="D67" s="18" t="n"/>
      <c r="E67" s="18" t="n"/>
      <c r="F67" s="18" t="n"/>
      <c r="G67" s="18" t="n"/>
      <c r="H67" s="18" t="n"/>
      <c r="I67" s="18" t="n"/>
    </row>
    <row r="68">
      <c r="A68" s="18" t="n"/>
      <c r="B68" s="18" t="n"/>
      <c r="C68" s="18" t="n"/>
      <c r="D68" s="18" t="n"/>
      <c r="E68" s="18" t="n"/>
      <c r="F68" s="18" t="n"/>
      <c r="G68" s="18" t="n"/>
      <c r="H68" s="18" t="n"/>
      <c r="I68" s="18" t="n"/>
    </row>
    <row r="69">
      <c r="A69" s="18" t="n"/>
      <c r="B69" s="18" t="n"/>
      <c r="C69" s="18" t="n"/>
      <c r="D69" s="18" t="n"/>
      <c r="E69" s="18" t="n"/>
      <c r="F69" s="18" t="n"/>
      <c r="G69" s="18" t="n"/>
      <c r="H69" s="18" t="n"/>
      <c r="I69" s="18" t="n"/>
    </row>
    <row r="70">
      <c r="A70" s="18" t="n"/>
      <c r="B70" s="18" t="n"/>
      <c r="C70" s="18" t="n"/>
      <c r="D70" s="18" t="n"/>
      <c r="E70" s="18" t="n"/>
      <c r="F70" s="18" t="n"/>
      <c r="G70" s="18" t="n"/>
      <c r="H70" s="18" t="n"/>
      <c r="I70" s="18" t="n"/>
    </row>
    <row r="71">
      <c r="A71" s="18" t="n"/>
      <c r="B71" s="18" t="n"/>
      <c r="C71" s="18" t="n"/>
      <c r="D71" s="18" t="n"/>
      <c r="E71" s="18" t="n"/>
      <c r="F71" s="18" t="n"/>
      <c r="G71" s="18" t="n"/>
      <c r="H71" s="18" t="n"/>
      <c r="I71" s="18" t="n"/>
    </row>
    <row r="72">
      <c r="A72" s="18" t="n"/>
      <c r="B72" s="18" t="n"/>
      <c r="C72" s="18" t="n"/>
      <c r="D72" s="18" t="n"/>
      <c r="E72" s="18" t="n"/>
      <c r="F72" s="18" t="n"/>
      <c r="G72" s="18" t="n"/>
      <c r="H72" s="18" t="n"/>
      <c r="I72" s="18" t="n"/>
    </row>
    <row r="73">
      <c r="A73" s="18" t="n"/>
      <c r="B73" s="18" t="n"/>
      <c r="C73" s="18" t="n"/>
      <c r="D73" s="18" t="n"/>
      <c r="E73" s="18" t="n"/>
      <c r="F73" s="18" t="n"/>
      <c r="G73" s="18" t="n"/>
      <c r="H73" s="18" t="n"/>
      <c r="I73" s="18" t="n"/>
    </row>
    <row r="74">
      <c r="A74" s="18" t="n"/>
      <c r="B74" s="18" t="n"/>
      <c r="C74" s="18" t="n"/>
      <c r="D74" s="18" t="n"/>
      <c r="E74" s="18" t="n"/>
      <c r="F74" s="18" t="n"/>
      <c r="G74" s="18" t="n"/>
      <c r="H74" s="18" t="n"/>
      <c r="I74" s="18" t="n"/>
    </row>
    <row r="75">
      <c r="A75" s="18" t="n"/>
      <c r="B75" s="18" t="n"/>
      <c r="C75" s="18" t="n"/>
      <c r="D75" s="18" t="n"/>
      <c r="E75" s="18" t="n"/>
      <c r="F75" s="18" t="n"/>
      <c r="G75" s="18" t="n"/>
      <c r="H75" s="18" t="n"/>
      <c r="I75" s="18" t="n"/>
    </row>
    <row r="76">
      <c r="A76" s="18" t="n"/>
      <c r="B76" s="18" t="n"/>
      <c r="C76" s="18" t="n"/>
      <c r="D76" s="18" t="n"/>
      <c r="E76" s="18" t="n"/>
      <c r="F76" s="18" t="n"/>
      <c r="G76" s="18" t="n"/>
      <c r="H76" s="18" t="n"/>
      <c r="I76" s="18" t="n"/>
    </row>
    <row r="77">
      <c r="A77" s="18" t="n"/>
      <c r="B77" s="18" t="n"/>
      <c r="C77" s="18" t="n"/>
      <c r="D77" s="18" t="n"/>
      <c r="E77" s="18" t="n"/>
      <c r="F77" s="18" t="n"/>
      <c r="G77" s="18" t="n"/>
      <c r="H77" s="18" t="n"/>
      <c r="I77" s="18" t="n"/>
    </row>
    <row r="78">
      <c r="A78" s="18" t="n"/>
      <c r="B78" s="18" t="n"/>
      <c r="C78" s="18" t="n"/>
      <c r="D78" s="18" t="n"/>
      <c r="E78" s="18" t="n"/>
      <c r="F78" s="18" t="n"/>
      <c r="G78" s="18" t="n"/>
      <c r="H78" s="18" t="n"/>
      <c r="I78" s="18" t="n"/>
    </row>
    <row r="79">
      <c r="A79" s="18" t="n"/>
      <c r="B79" s="18" t="n"/>
      <c r="C79" s="18" t="n"/>
      <c r="D79" s="18" t="n"/>
      <c r="E79" s="18" t="n"/>
      <c r="F79" s="18" t="n"/>
      <c r="G79" s="18" t="n"/>
      <c r="H79" s="18" t="n"/>
      <c r="I79" s="18" t="n"/>
    </row>
    <row r="80">
      <c r="A80" s="18" t="n"/>
      <c r="B80" s="18" t="n"/>
      <c r="C80" s="18" t="n"/>
      <c r="D80" s="18" t="n"/>
      <c r="E80" s="18" t="n"/>
      <c r="F80" s="18" t="n"/>
      <c r="G80" s="18" t="n"/>
      <c r="H80" s="18" t="n"/>
      <c r="I80" s="18" t="n"/>
    </row>
    <row r="81">
      <c r="A81" s="18" t="n"/>
      <c r="B81" s="18" t="n"/>
      <c r="C81" s="18" t="n"/>
      <c r="D81" s="18" t="n"/>
      <c r="E81" s="18" t="n"/>
      <c r="F81" s="18" t="n"/>
      <c r="G81" s="18" t="n"/>
      <c r="H81" s="18" t="n"/>
      <c r="I81" s="18" t="n"/>
    </row>
    <row r="82">
      <c r="A82" s="18" t="n"/>
      <c r="B82" s="18" t="n"/>
      <c r="C82" s="18" t="n"/>
      <c r="D82" s="18" t="n"/>
      <c r="E82" s="18" t="n"/>
      <c r="F82" s="18" t="n"/>
      <c r="G82" s="18" t="n"/>
      <c r="H82" s="18" t="n"/>
      <c r="I82" s="18" t="n"/>
    </row>
    <row r="83">
      <c r="A83" s="18" t="n"/>
      <c r="B83" s="18" t="n"/>
      <c r="C83" s="18" t="n"/>
      <c r="D83" s="18" t="n"/>
      <c r="E83" s="18" t="n"/>
      <c r="F83" s="18" t="n"/>
      <c r="G83" s="18" t="n"/>
      <c r="H83" s="18" t="n"/>
      <c r="I83" s="18" t="n"/>
    </row>
    <row r="84">
      <c r="A84" s="18" t="n"/>
      <c r="B84" s="18" t="n"/>
      <c r="C84" s="18" t="n"/>
      <c r="D84" s="18" t="n"/>
      <c r="E84" s="18" t="n"/>
      <c r="F84" s="18" t="n"/>
      <c r="G84" s="18" t="n"/>
      <c r="H84" s="18" t="n"/>
      <c r="I84" s="18" t="n"/>
    </row>
    <row r="85">
      <c r="A85" s="18" t="n"/>
      <c r="B85" s="18" t="n"/>
      <c r="C85" s="18" t="n"/>
      <c r="D85" s="18" t="n"/>
      <c r="E85" s="18" t="n"/>
      <c r="F85" s="18" t="n"/>
      <c r="G85" s="18" t="n"/>
      <c r="H85" s="18" t="n"/>
      <c r="I85" s="18" t="n"/>
    </row>
    <row r="86">
      <c r="A86" s="18" t="n"/>
      <c r="B86" s="18" t="n"/>
      <c r="C86" s="18" t="n"/>
      <c r="D86" s="18" t="n"/>
      <c r="E86" s="18" t="n"/>
      <c r="F86" s="18" t="n"/>
      <c r="G86" s="18" t="n"/>
      <c r="H86" s="18" t="n"/>
      <c r="I86" s="18" t="n"/>
    </row>
    <row r="87">
      <c r="A87" s="18" t="n"/>
      <c r="B87" s="18" t="n"/>
      <c r="C87" s="18" t="n"/>
      <c r="D87" s="18" t="n"/>
      <c r="E87" s="18" t="n"/>
      <c r="F87" s="18" t="n"/>
      <c r="G87" s="18" t="n"/>
      <c r="H87" s="18" t="n"/>
      <c r="I87" s="18" t="n"/>
    </row>
    <row r="88">
      <c r="A88" s="18" t="n"/>
      <c r="B88" s="18" t="n"/>
      <c r="C88" s="18" t="n"/>
      <c r="D88" s="18" t="n"/>
      <c r="E88" s="18" t="n"/>
      <c r="F88" s="18" t="n"/>
      <c r="G88" s="18" t="n"/>
      <c r="H88" s="18" t="n"/>
      <c r="I88" s="18" t="n"/>
    </row>
    <row r="89">
      <c r="A89" s="18" t="n"/>
      <c r="B89" s="18" t="n"/>
      <c r="C89" s="18" t="n"/>
      <c r="D89" s="18" t="n"/>
      <c r="E89" s="18" t="n"/>
      <c r="F89" s="18" t="n"/>
      <c r="G89" s="18" t="n"/>
      <c r="H89" s="18" t="n"/>
      <c r="I89" s="18" t="n"/>
    </row>
    <row r="90">
      <c r="A90" s="18" t="n"/>
      <c r="B90" s="18" t="n"/>
      <c r="C90" s="18" t="n"/>
      <c r="D90" s="18" t="n"/>
      <c r="E90" s="18" t="n"/>
      <c r="F90" s="18" t="n"/>
      <c r="G90" s="18" t="n"/>
      <c r="H90" s="18" t="n"/>
      <c r="I90" s="18" t="n"/>
    </row>
    <row r="91">
      <c r="A91" s="18" t="n"/>
      <c r="B91" s="18" t="n"/>
      <c r="C91" s="18" t="n"/>
      <c r="D91" s="18" t="n"/>
      <c r="E91" s="18" t="n"/>
      <c r="F91" s="18" t="n"/>
      <c r="G91" s="18" t="n"/>
      <c r="H91" s="18" t="n"/>
      <c r="I91" s="18" t="n"/>
    </row>
    <row r="92">
      <c r="A92" s="18" t="n"/>
      <c r="B92" s="18" t="n"/>
      <c r="C92" s="18" t="n"/>
      <c r="D92" s="18" t="n"/>
      <c r="E92" s="18" t="n"/>
      <c r="F92" s="18" t="n"/>
      <c r="G92" s="18" t="n"/>
      <c r="H92" s="18" t="n"/>
      <c r="I92" s="18" t="n"/>
    </row>
    <row r="93">
      <c r="A93" s="18" t="n"/>
      <c r="B93" s="18" t="n"/>
      <c r="C93" s="18" t="n"/>
      <c r="D93" s="18" t="n"/>
      <c r="E93" s="18" t="n"/>
      <c r="F93" s="18" t="n"/>
      <c r="G93" s="18" t="n"/>
      <c r="H93" s="18" t="n"/>
      <c r="I93" s="18" t="n"/>
    </row>
    <row r="94">
      <c r="A94" s="18" t="n"/>
      <c r="B94" s="18" t="n"/>
      <c r="C94" s="18" t="n"/>
      <c r="D94" s="18" t="n"/>
      <c r="E94" s="18" t="n"/>
      <c r="F94" s="18" t="n"/>
      <c r="G94" s="18" t="n"/>
      <c r="H94" s="18" t="n"/>
      <c r="I94" s="18" t="n"/>
    </row>
    <row r="95">
      <c r="A95" s="18" t="n"/>
      <c r="B95" s="18" t="n"/>
      <c r="C95" s="18" t="n"/>
      <c r="D95" s="18" t="n"/>
      <c r="E95" s="18" t="n"/>
      <c r="F95" s="18" t="n"/>
      <c r="G95" s="18" t="n"/>
      <c r="H95" s="18" t="n"/>
      <c r="I95" s="18" t="n"/>
    </row>
    <row r="96">
      <c r="A96" s="18" t="n"/>
      <c r="B96" s="18" t="n"/>
      <c r="C96" s="18" t="n"/>
      <c r="D96" s="18" t="n"/>
      <c r="E96" s="18" t="n"/>
      <c r="F96" s="18" t="n"/>
      <c r="G96" s="18" t="n"/>
      <c r="H96" s="18" t="n"/>
      <c r="I96" s="18" t="n"/>
    </row>
    <row r="97">
      <c r="A97" s="18" t="n"/>
      <c r="B97" s="18" t="n"/>
      <c r="C97" s="18" t="n"/>
      <c r="D97" s="18" t="n"/>
      <c r="E97" s="18" t="n"/>
      <c r="F97" s="18" t="n"/>
      <c r="G97" s="18" t="n"/>
      <c r="H97" s="18" t="n"/>
      <c r="I97" s="18" t="n"/>
    </row>
    <row r="98">
      <c r="A98" s="18" t="n"/>
      <c r="B98" s="18" t="n"/>
      <c r="C98" s="18" t="n"/>
      <c r="D98" s="18" t="n"/>
      <c r="E98" s="18" t="n"/>
      <c r="F98" s="18" t="n"/>
      <c r="G98" s="18" t="n"/>
      <c r="H98" s="18" t="n"/>
      <c r="I98" s="18" t="n"/>
    </row>
    <row r="99">
      <c r="A99" s="18" t="n"/>
      <c r="B99" s="18" t="n"/>
      <c r="C99" s="18" t="n"/>
      <c r="D99" s="18" t="n"/>
      <c r="E99" s="18" t="n"/>
      <c r="F99" s="18" t="n"/>
      <c r="G99" s="18" t="n"/>
      <c r="H99" s="18" t="n"/>
      <c r="I99" s="18" t="n"/>
    </row>
    <row r="100">
      <c r="A100" s="18" t="n"/>
      <c r="B100" s="18" t="n"/>
      <c r="C100" s="18" t="n"/>
      <c r="D100" s="18" t="n"/>
      <c r="E100" s="18" t="n"/>
      <c r="F100" s="18" t="n"/>
      <c r="G100" s="18" t="n"/>
      <c r="H100" s="18" t="n"/>
      <c r="I100" s="18" t="n"/>
    </row>
    <row r="101">
      <c r="A101" s="18" t="n"/>
      <c r="B101" s="18" t="n"/>
      <c r="C101" s="18" t="n"/>
      <c r="D101" s="18" t="n"/>
      <c r="E101" s="18" t="n"/>
      <c r="F101" s="18" t="n"/>
      <c r="G101" s="18" t="n"/>
      <c r="H101" s="18" t="n"/>
      <c r="I101" s="18" t="n"/>
    </row>
    <row r="102">
      <c r="A102" s="18" t="n"/>
      <c r="B102" s="18" t="n"/>
      <c r="C102" s="18" t="n"/>
      <c r="D102" s="18" t="n"/>
      <c r="E102" s="18" t="n"/>
      <c r="F102" s="18" t="n"/>
      <c r="G102" s="18" t="n"/>
      <c r="H102" s="18" t="n"/>
      <c r="I102" s="18" t="n"/>
    </row>
    <row r="103">
      <c r="A103" s="18" t="n"/>
      <c r="B103" s="18" t="n"/>
      <c r="C103" s="18" t="n"/>
      <c r="D103" s="18" t="n"/>
      <c r="E103" s="18" t="n"/>
      <c r="F103" s="18" t="n"/>
      <c r="G103" s="18" t="n"/>
      <c r="H103" s="18" t="n"/>
      <c r="I103" s="18" t="n"/>
    </row>
    <row r="104">
      <c r="A104" s="18" t="n"/>
      <c r="B104" s="18" t="n"/>
      <c r="C104" s="18" t="n"/>
      <c r="D104" s="18" t="n"/>
      <c r="E104" s="18" t="n"/>
      <c r="F104" s="18" t="n"/>
      <c r="G104" s="18" t="n"/>
      <c r="H104" s="18" t="n"/>
      <c r="I104" s="18" t="n"/>
    </row>
    <row r="105">
      <c r="A105" s="18" t="n"/>
      <c r="B105" s="18" t="n"/>
      <c r="C105" s="18" t="n"/>
      <c r="D105" s="18" t="n"/>
      <c r="E105" s="18" t="n"/>
      <c r="F105" s="18" t="n"/>
      <c r="G105" s="18" t="n"/>
      <c r="H105" s="18" t="n"/>
      <c r="I105" s="18" t="n"/>
    </row>
    <row r="106">
      <c r="A106" s="18" t="n"/>
      <c r="B106" s="18" t="n"/>
      <c r="C106" s="18" t="n"/>
      <c r="D106" s="18" t="n"/>
      <c r="E106" s="18" t="n"/>
      <c r="F106" s="18" t="n"/>
      <c r="G106" s="18" t="n"/>
      <c r="H106" s="18" t="n"/>
      <c r="I106" s="18" t="n"/>
    </row>
    <row r="107">
      <c r="A107" s="18" t="n"/>
      <c r="B107" s="18" t="n"/>
      <c r="C107" s="18" t="n"/>
      <c r="D107" s="18" t="n"/>
      <c r="E107" s="18" t="n"/>
      <c r="F107" s="18" t="n"/>
      <c r="G107" s="18" t="n"/>
      <c r="H107" s="18" t="n"/>
      <c r="I107" s="18" t="n"/>
    </row>
    <row r="108">
      <c r="A108" s="18" t="n"/>
      <c r="B108" s="18" t="n"/>
      <c r="C108" s="18" t="n"/>
      <c r="D108" s="18" t="n"/>
      <c r="E108" s="18" t="n"/>
      <c r="F108" s="18" t="n"/>
      <c r="G108" s="18" t="n"/>
      <c r="H108" s="18" t="n"/>
      <c r="I108" s="18" t="n"/>
    </row>
    <row r="109">
      <c r="A109" s="18" t="n"/>
      <c r="B109" s="18" t="n"/>
      <c r="C109" s="18" t="n"/>
      <c r="D109" s="18" t="n"/>
      <c r="E109" s="18" t="n"/>
      <c r="F109" s="18" t="n"/>
      <c r="G109" s="18" t="n"/>
      <c r="H109" s="18" t="n"/>
      <c r="I109" s="18" t="n"/>
    </row>
    <row r="110">
      <c r="A110" s="18" t="n"/>
      <c r="B110" s="18" t="n"/>
      <c r="C110" s="18" t="n"/>
      <c r="D110" s="18" t="n"/>
      <c r="E110" s="18" t="n"/>
      <c r="F110" s="18" t="n"/>
      <c r="G110" s="18" t="n"/>
      <c r="H110" s="18" t="n"/>
      <c r="I110" s="18" t="n"/>
    </row>
    <row r="111">
      <c r="A111" s="18" t="n"/>
      <c r="B111" s="18" t="n"/>
      <c r="C111" s="18" t="n"/>
      <c r="D111" s="18" t="n"/>
      <c r="E111" s="18" t="n"/>
      <c r="F111" s="18" t="n"/>
      <c r="G111" s="18" t="n"/>
      <c r="H111" s="18" t="n"/>
      <c r="I111" s="18" t="n"/>
    </row>
    <row r="112">
      <c r="A112" s="18" t="n"/>
      <c r="B112" s="18" t="n"/>
      <c r="C112" s="18" t="n"/>
      <c r="D112" s="18" t="n"/>
      <c r="E112" s="18" t="n"/>
      <c r="F112" s="18" t="n"/>
      <c r="G112" s="18" t="n"/>
      <c r="H112" s="18" t="n"/>
      <c r="I112" s="18" t="n"/>
    </row>
    <row r="113">
      <c r="A113" s="18" t="n"/>
      <c r="B113" s="18" t="n"/>
      <c r="C113" s="18" t="n"/>
      <c r="D113" s="18" t="n"/>
      <c r="E113" s="18" t="n"/>
      <c r="F113" s="18" t="n"/>
      <c r="G113" s="18" t="n"/>
      <c r="H113" s="18" t="n"/>
      <c r="I113" s="18" t="n"/>
    </row>
    <row r="114">
      <c r="A114" s="18" t="n"/>
      <c r="B114" s="18" t="n"/>
      <c r="C114" s="18" t="n"/>
      <c r="D114" s="18" t="n"/>
      <c r="E114" s="18" t="n"/>
      <c r="F114" s="18" t="n"/>
      <c r="G114" s="18" t="n"/>
      <c r="H114" s="18" t="n"/>
      <c r="I114" s="18" t="n"/>
    </row>
    <row r="115">
      <c r="A115" s="18" t="n"/>
      <c r="B115" s="18" t="n"/>
      <c r="C115" s="18" t="n"/>
      <c r="D115" s="18" t="n"/>
      <c r="E115" s="18" t="n"/>
      <c r="F115" s="18" t="n"/>
      <c r="G115" s="18" t="n"/>
      <c r="H115" s="18" t="n"/>
      <c r="I115" s="18" t="n"/>
    </row>
    <row r="116">
      <c r="A116" s="18" t="n"/>
      <c r="B116" s="18" t="n"/>
      <c r="C116" s="18" t="n"/>
      <c r="D116" s="18" t="n"/>
      <c r="E116" s="18" t="n"/>
      <c r="F116" s="18" t="n"/>
      <c r="G116" s="18" t="n"/>
      <c r="H116" s="18" t="n"/>
      <c r="I116" s="18" t="n"/>
    </row>
    <row r="117">
      <c r="A117" s="18" t="n"/>
      <c r="B117" s="18" t="n"/>
      <c r="C117" s="18" t="n"/>
      <c r="D117" s="18" t="n"/>
      <c r="E117" s="18" t="n"/>
      <c r="F117" s="18" t="n"/>
      <c r="G117" s="18" t="n"/>
      <c r="H117" s="18" t="n"/>
      <c r="I117" s="18" t="n"/>
    </row>
    <row r="118">
      <c r="A118" s="18" t="n"/>
      <c r="B118" s="18" t="n"/>
      <c r="C118" s="18" t="n"/>
      <c r="D118" s="18" t="n"/>
      <c r="E118" s="18" t="n"/>
      <c r="F118" s="18" t="n"/>
      <c r="G118" s="18" t="n"/>
      <c r="H118" s="18" t="n"/>
      <c r="I118" s="18" t="n"/>
    </row>
    <row r="119">
      <c r="A119" s="18" t="n"/>
      <c r="B119" s="18" t="n"/>
      <c r="C119" s="18" t="n"/>
      <c r="D119" s="18" t="n"/>
      <c r="E119" s="18" t="n"/>
      <c r="F119" s="18" t="n"/>
      <c r="G119" s="18" t="n"/>
      <c r="H119" s="18" t="n"/>
      <c r="I119" s="18" t="n"/>
    </row>
    <row r="120">
      <c r="A120" s="18" t="n"/>
      <c r="B120" s="18" t="n"/>
      <c r="C120" s="18" t="n"/>
      <c r="D120" s="18" t="n"/>
      <c r="E120" s="18" t="n"/>
      <c r="F120" s="18" t="n"/>
      <c r="G120" s="18" t="n"/>
      <c r="H120" s="18" t="n"/>
      <c r="I120" s="18" t="n"/>
    </row>
    <row r="121">
      <c r="A121" s="18" t="n"/>
      <c r="B121" s="18" t="n"/>
      <c r="C121" s="18" t="n"/>
      <c r="D121" s="18" t="n"/>
      <c r="E121" s="18" t="n"/>
      <c r="F121" s="18" t="n"/>
      <c r="G121" s="18" t="n"/>
      <c r="H121" s="18" t="n"/>
      <c r="I121" s="18" t="n"/>
    </row>
    <row r="122">
      <c r="A122" s="18" t="n"/>
      <c r="B122" s="18" t="n"/>
      <c r="C122" s="18" t="n"/>
      <c r="D122" s="18" t="n"/>
      <c r="E122" s="18" t="n"/>
      <c r="F122" s="18" t="n"/>
      <c r="G122" s="18" t="n"/>
      <c r="H122" s="18" t="n"/>
      <c r="I122" s="18" t="n"/>
    </row>
    <row r="123">
      <c r="A123" s="18" t="n"/>
      <c r="B123" s="18" t="n"/>
      <c r="C123" s="18" t="n"/>
      <c r="D123" s="18" t="n"/>
      <c r="E123" s="18" t="n"/>
      <c r="F123" s="18" t="n"/>
      <c r="G123" s="18" t="n"/>
      <c r="H123" s="18" t="n"/>
      <c r="I123" s="18" t="n"/>
    </row>
    <row r="124">
      <c r="A124" s="18" t="n"/>
      <c r="B124" s="18" t="n"/>
      <c r="C124" s="18" t="n"/>
      <c r="D124" s="18" t="n"/>
      <c r="E124" s="18" t="n"/>
      <c r="F124" s="18" t="n"/>
      <c r="G124" s="18" t="n"/>
      <c r="H124" s="18" t="n"/>
      <c r="I124" s="18" t="n"/>
    </row>
    <row r="125">
      <c r="A125" s="18" t="n"/>
      <c r="B125" s="18" t="n"/>
      <c r="C125" s="18" t="n"/>
      <c r="D125" s="18" t="n"/>
      <c r="E125" s="18" t="n"/>
      <c r="F125" s="18" t="n"/>
      <c r="G125" s="18" t="n"/>
      <c r="H125" s="18" t="n"/>
      <c r="I125" s="18" t="n"/>
    </row>
    <row r="126">
      <c r="A126" s="18" t="n"/>
      <c r="B126" s="18" t="n"/>
      <c r="C126" s="18" t="n"/>
      <c r="D126" s="18" t="n"/>
      <c r="E126" s="18" t="n"/>
      <c r="F126" s="18" t="n"/>
      <c r="G126" s="18" t="n"/>
      <c r="H126" s="18" t="n"/>
      <c r="I126" s="18" t="n"/>
    </row>
    <row r="127">
      <c r="A127" s="18" t="n"/>
      <c r="B127" s="18" t="n"/>
      <c r="C127" s="18" t="n"/>
      <c r="D127" s="18" t="n"/>
      <c r="E127" s="18" t="n"/>
      <c r="F127" s="18" t="n"/>
      <c r="G127" s="18" t="n"/>
      <c r="H127" s="18" t="n"/>
      <c r="I127" s="18" t="n"/>
    </row>
    <row r="128">
      <c r="A128" s="18" t="n"/>
      <c r="B128" s="18" t="n"/>
      <c r="C128" s="18" t="n"/>
      <c r="D128" s="18" t="n"/>
      <c r="E128" s="18" t="n"/>
      <c r="F128" s="18" t="n"/>
      <c r="G128" s="18" t="n"/>
      <c r="H128" s="18" t="n"/>
      <c r="I128" s="18" t="n"/>
    </row>
    <row r="129">
      <c r="A129" s="18" t="n"/>
      <c r="B129" s="18" t="n"/>
      <c r="C129" s="18" t="n"/>
      <c r="D129" s="18" t="n"/>
      <c r="E129" s="18" t="n"/>
      <c r="F129" s="18" t="n"/>
      <c r="G129" s="18" t="n"/>
      <c r="H129" s="18" t="n"/>
      <c r="I129" s="18" t="n"/>
    </row>
    <row r="130">
      <c r="A130" s="18" t="n"/>
      <c r="B130" s="18" t="n"/>
      <c r="C130" s="18" t="n"/>
      <c r="D130" s="18" t="n"/>
      <c r="E130" s="18" t="n"/>
      <c r="F130" s="18" t="n"/>
      <c r="G130" s="18" t="n"/>
      <c r="H130" s="18" t="n"/>
      <c r="I130" s="18" t="n"/>
    </row>
    <row r="131">
      <c r="A131" s="18" t="n"/>
      <c r="B131" s="18" t="n"/>
      <c r="C131" s="18" t="n"/>
      <c r="D131" s="18" t="n"/>
      <c r="E131" s="18" t="n"/>
      <c r="F131" s="18" t="n"/>
      <c r="G131" s="18" t="n"/>
      <c r="H131" s="18" t="n"/>
      <c r="I131" s="18" t="n"/>
    </row>
    <row r="132">
      <c r="A132" s="18" t="n"/>
      <c r="B132" s="18" t="n"/>
      <c r="C132" s="18" t="n"/>
      <c r="D132" s="18" t="n"/>
      <c r="E132" s="18" t="n"/>
      <c r="F132" s="18" t="n"/>
      <c r="G132" s="18" t="n"/>
      <c r="H132" s="18" t="n"/>
      <c r="I132" s="18" t="n"/>
    </row>
    <row r="133">
      <c r="A133" s="18" t="n"/>
      <c r="B133" s="18" t="n"/>
      <c r="C133" s="18" t="n"/>
      <c r="D133" s="18" t="n"/>
      <c r="E133" s="18" t="n"/>
      <c r="F133" s="18" t="n"/>
      <c r="G133" s="18" t="n"/>
      <c r="H133" s="18" t="n"/>
      <c r="I133" s="18" t="n"/>
    </row>
    <row r="134">
      <c r="A134" s="18" t="n"/>
      <c r="B134" s="18" t="n"/>
      <c r="C134" s="18" t="n"/>
      <c r="D134" s="18" t="n"/>
      <c r="E134" s="18" t="n"/>
      <c r="F134" s="18" t="n"/>
      <c r="G134" s="18" t="n"/>
      <c r="H134" s="18" t="n"/>
      <c r="I134" s="18" t="n"/>
    </row>
    <row r="135">
      <c r="A135" s="18" t="n"/>
      <c r="B135" s="18" t="n"/>
      <c r="C135" s="18" t="n"/>
      <c r="D135" s="18" t="n"/>
      <c r="E135" s="18" t="n"/>
      <c r="F135" s="18" t="n"/>
      <c r="G135" s="18" t="n"/>
      <c r="H135" s="18" t="n"/>
      <c r="I135" s="18" t="n"/>
    </row>
    <row r="136">
      <c r="A136" s="18" t="n"/>
      <c r="B136" s="18" t="n"/>
      <c r="C136" s="18" t="n"/>
      <c r="D136" s="18" t="n"/>
      <c r="E136" s="18" t="n"/>
      <c r="F136" s="18" t="n"/>
      <c r="G136" s="18" t="n"/>
      <c r="H136" s="18" t="n"/>
      <c r="I136" s="18" t="n"/>
    </row>
    <row r="137">
      <c r="A137" s="18" t="n"/>
      <c r="B137" s="18" t="n"/>
      <c r="C137" s="18" t="n"/>
      <c r="D137" s="18" t="n"/>
      <c r="E137" s="18" t="n"/>
      <c r="F137" s="18" t="n"/>
      <c r="G137" s="18" t="n"/>
      <c r="H137" s="18" t="n"/>
      <c r="I137" s="18" t="n"/>
    </row>
    <row r="138">
      <c r="A138" s="18" t="n"/>
      <c r="B138" s="18" t="n"/>
      <c r="C138" s="18" t="n"/>
      <c r="D138" s="18" t="n"/>
      <c r="E138" s="18" t="n"/>
      <c r="F138" s="18" t="n"/>
      <c r="G138" s="18" t="n"/>
      <c r="H138" s="18" t="n"/>
      <c r="I138" s="18" t="n"/>
    </row>
    <row r="139">
      <c r="A139" s="18" t="n"/>
      <c r="B139" s="18" t="n"/>
      <c r="C139" s="18" t="n"/>
      <c r="D139" s="18" t="n"/>
      <c r="E139" s="18" t="n"/>
      <c r="F139" s="18" t="n"/>
      <c r="G139" s="18" t="n"/>
      <c r="H139" s="18" t="n"/>
      <c r="I139" s="18" t="n"/>
    </row>
    <row r="140">
      <c r="A140" s="18" t="n"/>
      <c r="B140" s="18" t="n"/>
      <c r="C140" s="18" t="n"/>
      <c r="D140" s="18" t="n"/>
      <c r="E140" s="18" t="n"/>
      <c r="F140" s="18" t="n"/>
      <c r="G140" s="18" t="n"/>
      <c r="H140" s="18" t="n"/>
      <c r="I140" s="18" t="n"/>
    </row>
    <row r="141">
      <c r="A141" s="18" t="n"/>
      <c r="B141" s="18" t="n"/>
      <c r="C141" s="18" t="n"/>
      <c r="D141" s="18" t="n"/>
      <c r="E141" s="18" t="n"/>
      <c r="F141" s="18" t="n"/>
      <c r="G141" s="18" t="n"/>
      <c r="H141" s="18" t="n"/>
      <c r="I141" s="18" t="n"/>
    </row>
    <row r="142">
      <c r="A142" s="18" t="n"/>
      <c r="B142" s="18" t="n"/>
      <c r="C142" s="18" t="n"/>
      <c r="D142" s="18" t="n"/>
      <c r="E142" s="18" t="n"/>
      <c r="F142" s="18" t="n"/>
      <c r="G142" s="18" t="n"/>
      <c r="H142" s="18" t="n"/>
      <c r="I142" s="18" t="n"/>
    </row>
    <row r="143">
      <c r="A143" s="18" t="n"/>
      <c r="B143" s="18" t="n"/>
      <c r="C143" s="18" t="n"/>
      <c r="D143" s="18" t="n"/>
      <c r="E143" s="18" t="n"/>
      <c r="F143" s="18" t="n"/>
      <c r="G143" s="18" t="n"/>
      <c r="H143" s="18" t="n"/>
      <c r="I143" s="18" t="n"/>
    </row>
    <row r="144">
      <c r="A144" s="18" t="n"/>
      <c r="B144" s="18" t="n"/>
      <c r="C144" s="18" t="n"/>
      <c r="D144" s="18" t="n"/>
      <c r="E144" s="18" t="n"/>
      <c r="F144" s="18" t="n"/>
      <c r="G144" s="18" t="n"/>
      <c r="H144" s="18" t="n"/>
      <c r="I144" s="18" t="n"/>
    </row>
    <row r="145">
      <c r="A145" s="18" t="n"/>
      <c r="B145" s="18" t="n"/>
      <c r="C145" s="18" t="n"/>
      <c r="D145" s="18" t="n"/>
      <c r="E145" s="18" t="n"/>
      <c r="F145" s="18" t="n"/>
      <c r="G145" s="18" t="n"/>
      <c r="H145" s="18" t="n"/>
      <c r="I145" s="18" t="n"/>
    </row>
    <row r="146">
      <c r="A146" s="18" t="n"/>
      <c r="B146" s="18" t="n"/>
      <c r="C146" s="18" t="n"/>
      <c r="D146" s="18" t="n"/>
      <c r="E146" s="18" t="n"/>
      <c r="F146" s="18" t="n"/>
      <c r="G146" s="18" t="n"/>
      <c r="H146" s="18" t="n"/>
      <c r="I146" s="18" t="n"/>
    </row>
    <row r="147">
      <c r="A147" s="18" t="n"/>
      <c r="B147" s="18" t="n"/>
      <c r="C147" s="18" t="n"/>
      <c r="D147" s="18" t="n"/>
      <c r="E147" s="18" t="n"/>
      <c r="F147" s="18" t="n"/>
      <c r="G147" s="18" t="n"/>
      <c r="H147" s="18" t="n"/>
      <c r="I147" s="18" t="n"/>
    </row>
    <row r="148">
      <c r="A148" s="18" t="n"/>
      <c r="B148" s="18" t="n"/>
      <c r="C148" s="18" t="n"/>
      <c r="D148" s="18" t="n"/>
      <c r="E148" s="18" t="n"/>
      <c r="F148" s="18" t="n"/>
      <c r="G148" s="18" t="n"/>
      <c r="H148" s="18" t="n"/>
      <c r="I148" s="18" t="n"/>
    </row>
    <row r="149">
      <c r="A149" s="18" t="n"/>
      <c r="B149" s="18" t="n"/>
      <c r="C149" s="18" t="n"/>
      <c r="D149" s="18" t="n"/>
      <c r="E149" s="18" t="n"/>
      <c r="F149" s="18" t="n"/>
      <c r="G149" s="18" t="n"/>
      <c r="H149" s="18" t="n"/>
      <c r="I149" s="18" t="n"/>
    </row>
    <row r="150">
      <c r="A150" s="18" t="n"/>
      <c r="B150" s="18" t="n"/>
      <c r="C150" s="18" t="n"/>
      <c r="D150" s="18" t="n"/>
      <c r="E150" s="18" t="n"/>
      <c r="F150" s="18" t="n"/>
      <c r="G150" s="18" t="n"/>
      <c r="H150" s="18" t="n"/>
      <c r="I150" s="18" t="n"/>
    </row>
    <row r="151">
      <c r="A151" s="18" t="n"/>
      <c r="B151" s="18" t="n"/>
      <c r="C151" s="18" t="n"/>
      <c r="D151" s="18" t="n"/>
      <c r="E151" s="18" t="n"/>
      <c r="F151" s="18" t="n"/>
      <c r="G151" s="18" t="n"/>
      <c r="H151" s="18" t="n"/>
      <c r="I151" s="18" t="n"/>
    </row>
    <row r="152">
      <c r="A152" s="18" t="n"/>
      <c r="B152" s="18" t="n"/>
      <c r="C152" s="18" t="n"/>
      <c r="D152" s="18" t="n"/>
      <c r="E152" s="18" t="n"/>
      <c r="F152" s="18" t="n"/>
      <c r="G152" s="18" t="n"/>
      <c r="H152" s="18" t="n"/>
      <c r="I152" s="18" t="n"/>
    </row>
    <row r="153">
      <c r="A153" s="18" t="n"/>
      <c r="B153" s="18" t="n"/>
      <c r="C153" s="18" t="n"/>
      <c r="D153" s="18" t="n"/>
      <c r="E153" s="18" t="n"/>
      <c r="F153" s="18" t="n"/>
      <c r="G153" s="18" t="n"/>
      <c r="H153" s="18" t="n"/>
      <c r="I153" s="18" t="n"/>
    </row>
    <row r="154">
      <c r="A154" s="18" t="n"/>
      <c r="B154" s="18" t="n"/>
      <c r="C154" s="18" t="n"/>
      <c r="D154" s="18" t="n"/>
      <c r="E154" s="18" t="n"/>
      <c r="F154" s="18" t="n"/>
      <c r="G154" s="18" t="n"/>
      <c r="H154" s="18" t="n"/>
      <c r="I154" s="18" t="n"/>
    </row>
    <row r="155">
      <c r="A155" s="18" t="n"/>
      <c r="B155" s="18" t="n"/>
      <c r="C155" s="18" t="n"/>
      <c r="D155" s="18" t="n"/>
      <c r="E155" s="18" t="n"/>
      <c r="F155" s="18" t="n"/>
      <c r="G155" s="18" t="n"/>
      <c r="H155" s="18" t="n"/>
      <c r="I155" s="18" t="n"/>
    </row>
    <row r="156">
      <c r="A156" s="18" t="n"/>
      <c r="B156" s="18" t="n"/>
      <c r="C156" s="18" t="n"/>
      <c r="D156" s="18" t="n"/>
      <c r="E156" s="18" t="n"/>
      <c r="F156" s="18" t="n"/>
      <c r="G156" s="18" t="n"/>
      <c r="H156" s="18" t="n"/>
      <c r="I156" s="18" t="n"/>
    </row>
    <row r="157">
      <c r="A157" s="18" t="n"/>
      <c r="B157" s="18" t="n"/>
      <c r="C157" s="18" t="n"/>
      <c r="D157" s="18" t="n"/>
      <c r="E157" s="18" t="n"/>
      <c r="F157" s="18" t="n"/>
      <c r="G157" s="18" t="n"/>
      <c r="H157" s="18" t="n"/>
      <c r="I157" s="18" t="n"/>
    </row>
    <row r="158">
      <c r="A158" s="18" t="n"/>
      <c r="B158" s="18" t="n"/>
      <c r="C158" s="18" t="n"/>
      <c r="D158" s="18" t="n"/>
      <c r="E158" s="18" t="n"/>
      <c r="F158" s="18" t="n"/>
      <c r="G158" s="18" t="n"/>
      <c r="H158" s="18" t="n"/>
      <c r="I158" s="18" t="n"/>
    </row>
    <row r="159">
      <c r="A159" s="18" t="n"/>
      <c r="B159" s="18" t="n"/>
      <c r="C159" s="18" t="n"/>
      <c r="D159" s="18" t="n"/>
      <c r="E159" s="18" t="n"/>
      <c r="F159" s="18" t="n"/>
      <c r="G159" s="18" t="n"/>
      <c r="H159" s="18" t="n"/>
      <c r="I159" s="18" t="n"/>
    </row>
    <row r="160">
      <c r="A160" s="18" t="n"/>
      <c r="B160" s="18" t="n"/>
      <c r="C160" s="18" t="n"/>
      <c r="D160" s="18" t="n"/>
      <c r="E160" s="18" t="n"/>
      <c r="F160" s="18" t="n"/>
      <c r="G160" s="18" t="n"/>
      <c r="H160" s="18" t="n"/>
      <c r="I160" s="18" t="n"/>
    </row>
    <row r="161">
      <c r="A161" s="18" t="n"/>
      <c r="B161" s="18" t="n"/>
      <c r="C161" s="18" t="n"/>
      <c r="D161" s="18" t="n"/>
      <c r="E161" s="18" t="n"/>
      <c r="F161" s="18" t="n"/>
      <c r="G161" s="18" t="n"/>
      <c r="H161" s="18" t="n"/>
      <c r="I161" s="18" t="n"/>
    </row>
    <row r="162">
      <c r="A162" s="18" t="n"/>
      <c r="B162" s="18" t="n"/>
      <c r="C162" s="18" t="n"/>
      <c r="D162" s="18" t="n"/>
      <c r="E162" s="18" t="n"/>
      <c r="F162" s="18" t="n"/>
      <c r="G162" s="18" t="n"/>
      <c r="H162" s="18" t="n"/>
      <c r="I162" s="18" t="n"/>
    </row>
    <row r="163">
      <c r="A163" s="18" t="n"/>
      <c r="B163" s="18" t="n"/>
      <c r="C163" s="18" t="n"/>
      <c r="D163" s="18" t="n"/>
      <c r="E163" s="18" t="n"/>
      <c r="F163" s="18" t="n"/>
      <c r="G163" s="18" t="n"/>
      <c r="H163" s="18" t="n"/>
      <c r="I163" s="18" t="n"/>
    </row>
    <row r="164">
      <c r="A164" s="18" t="n"/>
      <c r="B164" s="18" t="n"/>
      <c r="C164" s="18" t="n"/>
      <c r="D164" s="18" t="n"/>
      <c r="E164" s="18" t="n"/>
      <c r="F164" s="18" t="n"/>
      <c r="G164" s="18" t="n"/>
      <c r="H164" s="18" t="n"/>
      <c r="I164" s="18" t="n"/>
    </row>
    <row r="165">
      <c r="A165" s="18" t="n"/>
      <c r="B165" s="18" t="n"/>
      <c r="C165" s="18" t="n"/>
      <c r="D165" s="18" t="n"/>
      <c r="E165" s="18" t="n"/>
      <c r="F165" s="18" t="n"/>
      <c r="G165" s="18" t="n"/>
      <c r="H165" s="18" t="n"/>
      <c r="I165" s="18" t="n"/>
    </row>
    <row r="166">
      <c r="A166" s="18" t="n"/>
      <c r="B166" s="18" t="n"/>
      <c r="C166" s="18" t="n"/>
      <c r="D166" s="18" t="n"/>
      <c r="E166" s="18" t="n"/>
      <c r="F166" s="18" t="n"/>
      <c r="G166" s="18" t="n"/>
      <c r="H166" s="18" t="n"/>
      <c r="I166" s="18" t="n"/>
    </row>
    <row r="167">
      <c r="A167" s="18" t="n"/>
      <c r="B167" s="18" t="n"/>
      <c r="C167" s="18" t="n"/>
      <c r="D167" s="18" t="n"/>
      <c r="E167" s="18" t="n"/>
      <c r="F167" s="18" t="n"/>
      <c r="G167" s="18" t="n"/>
      <c r="H167" s="18" t="n"/>
      <c r="I167" s="18" t="n"/>
    </row>
    <row r="168">
      <c r="A168" s="18" t="n"/>
      <c r="B168" s="18" t="n"/>
      <c r="C168" s="18" t="n"/>
      <c r="D168" s="18" t="n"/>
      <c r="E168" s="18" t="n"/>
      <c r="F168" s="18" t="n"/>
      <c r="G168" s="18" t="n"/>
      <c r="H168" s="18" t="n"/>
      <c r="I168" s="18" t="n"/>
    </row>
    <row r="169">
      <c r="A169" s="18" t="n"/>
      <c r="B169" s="18" t="n"/>
      <c r="C169" s="18" t="n"/>
      <c r="D169" s="18" t="n"/>
      <c r="E169" s="18" t="n"/>
      <c r="F169" s="18" t="n"/>
      <c r="G169" s="18" t="n"/>
      <c r="H169" s="18" t="n"/>
      <c r="I169" s="18" t="n"/>
    </row>
    <row r="170">
      <c r="A170" s="18" t="n"/>
      <c r="B170" s="18" t="n"/>
      <c r="C170" s="18" t="n"/>
      <c r="D170" s="18" t="n"/>
      <c r="E170" s="18" t="n"/>
      <c r="F170" s="18" t="n"/>
      <c r="G170" s="18" t="n"/>
      <c r="H170" s="18" t="n"/>
      <c r="I170" s="18" t="n"/>
    </row>
    <row r="171">
      <c r="A171" s="18" t="n"/>
      <c r="B171" s="18" t="n"/>
      <c r="C171" s="18" t="n"/>
      <c r="D171" s="18" t="n"/>
      <c r="E171" s="18" t="n"/>
      <c r="F171" s="18" t="n"/>
      <c r="G171" s="18" t="n"/>
      <c r="H171" s="18" t="n"/>
      <c r="I171" s="18" t="n"/>
    </row>
    <row r="172">
      <c r="A172" s="18" t="n"/>
      <c r="B172" s="18" t="n"/>
      <c r="C172" s="18" t="n"/>
      <c r="D172" s="18" t="n"/>
      <c r="E172" s="18" t="n"/>
      <c r="F172" s="18" t="n"/>
      <c r="G172" s="18" t="n"/>
      <c r="H172" s="18" t="n"/>
      <c r="I172" s="18" t="n"/>
    </row>
    <row r="173">
      <c r="A173" s="18" t="n"/>
      <c r="B173" s="18" t="n"/>
      <c r="C173" s="18" t="n"/>
      <c r="D173" s="18" t="n"/>
      <c r="E173" s="18" t="n"/>
      <c r="F173" s="18" t="n"/>
      <c r="G173" s="18" t="n"/>
      <c r="H173" s="18" t="n"/>
      <c r="I173" s="18" t="n"/>
    </row>
    <row r="174">
      <c r="A174" s="18" t="n"/>
      <c r="B174" s="18" t="n"/>
      <c r="C174" s="18" t="n"/>
      <c r="D174" s="18" t="n"/>
      <c r="E174" s="18" t="n"/>
      <c r="F174" s="18" t="n"/>
      <c r="G174" s="18" t="n"/>
      <c r="H174" s="18" t="n"/>
      <c r="I174" s="18" t="n"/>
    </row>
    <row r="175">
      <c r="A175" s="18" t="n"/>
      <c r="B175" s="18" t="n"/>
      <c r="C175" s="18" t="n"/>
      <c r="D175" s="18" t="n"/>
      <c r="E175" s="18" t="n"/>
      <c r="F175" s="18" t="n"/>
      <c r="G175" s="18" t="n"/>
      <c r="H175" s="18" t="n"/>
      <c r="I175" s="18" t="n"/>
    </row>
    <row r="176">
      <c r="A176" s="18" t="n"/>
      <c r="B176" s="18" t="n"/>
      <c r="C176" s="18" t="n"/>
      <c r="D176" s="18" t="n"/>
      <c r="E176" s="18" t="n"/>
      <c r="F176" s="18" t="n"/>
      <c r="G176" s="18" t="n"/>
      <c r="H176" s="18" t="n"/>
      <c r="I176" s="18" t="n"/>
    </row>
    <row r="177">
      <c r="A177" s="18" t="n"/>
      <c r="B177" s="18" t="n"/>
      <c r="C177" s="18" t="n"/>
      <c r="D177" s="18" t="n"/>
      <c r="E177" s="18" t="n"/>
      <c r="F177" s="18" t="n"/>
      <c r="G177" s="18" t="n"/>
      <c r="H177" s="18" t="n"/>
      <c r="I177" s="18" t="n"/>
    </row>
    <row r="178">
      <c r="A178" s="18" t="n"/>
      <c r="B178" s="18" t="n"/>
      <c r="C178" s="18" t="n"/>
      <c r="D178" s="18" t="n"/>
      <c r="E178" s="18" t="n"/>
      <c r="F178" s="18" t="n"/>
      <c r="G178" s="18" t="n"/>
      <c r="H178" s="18" t="n"/>
      <c r="I178" s="18" t="n"/>
    </row>
    <row r="179">
      <c r="A179" s="18" t="n"/>
      <c r="B179" s="18" t="n"/>
      <c r="C179" s="18" t="n"/>
      <c r="D179" s="18" t="n"/>
      <c r="E179" s="18" t="n"/>
      <c r="F179" s="18" t="n"/>
      <c r="G179" s="18" t="n"/>
      <c r="H179" s="18" t="n"/>
      <c r="I179" s="18" t="n"/>
    </row>
    <row r="180">
      <c r="A180" s="18" t="n"/>
      <c r="B180" s="18" t="n"/>
      <c r="C180" s="18" t="n"/>
      <c r="D180" s="18" t="n"/>
      <c r="E180" s="18" t="n"/>
      <c r="F180" s="18" t="n"/>
      <c r="G180" s="18" t="n"/>
      <c r="H180" s="18" t="n"/>
      <c r="I180" s="18" t="n"/>
    </row>
    <row r="181">
      <c r="A181" s="18" t="n"/>
      <c r="B181" s="18" t="n"/>
      <c r="C181" s="18" t="n"/>
      <c r="D181" s="18" t="n"/>
      <c r="E181" s="18" t="n"/>
      <c r="F181" s="18" t="n"/>
      <c r="G181" s="18" t="n"/>
      <c r="H181" s="18" t="n"/>
      <c r="I181" s="18" t="n"/>
    </row>
    <row r="182">
      <c r="A182" s="18" t="n"/>
      <c r="B182" s="18" t="n"/>
      <c r="C182" s="18" t="n"/>
      <c r="D182" s="18" t="n"/>
      <c r="E182" s="18" t="n"/>
      <c r="F182" s="18" t="n"/>
      <c r="G182" s="18" t="n"/>
      <c r="H182" s="18" t="n"/>
      <c r="I182" s="18" t="n"/>
    </row>
    <row r="183">
      <c r="A183" s="18" t="n"/>
      <c r="B183" s="18" t="n"/>
      <c r="C183" s="18" t="n"/>
      <c r="D183" s="18" t="n"/>
      <c r="E183" s="18" t="n"/>
      <c r="F183" s="18" t="n"/>
      <c r="G183" s="18" t="n"/>
      <c r="H183" s="18" t="n"/>
      <c r="I183" s="18" t="n"/>
    </row>
    <row r="184">
      <c r="A184" s="18" t="n"/>
      <c r="B184" s="18" t="n"/>
      <c r="C184" s="18" t="n"/>
      <c r="D184" s="18" t="n"/>
      <c r="E184" s="18" t="n"/>
      <c r="F184" s="18" t="n"/>
      <c r="G184" s="18" t="n"/>
      <c r="H184" s="18" t="n"/>
      <c r="I184" s="18" t="n"/>
    </row>
    <row r="185">
      <c r="A185" s="18" t="n"/>
      <c r="B185" s="18" t="n"/>
      <c r="C185" s="18" t="n"/>
      <c r="D185" s="18" t="n"/>
      <c r="E185" s="18" t="n"/>
      <c r="F185" s="18" t="n"/>
      <c r="G185" s="18" t="n"/>
      <c r="H185" s="18" t="n"/>
      <c r="I185" s="18" t="n"/>
    </row>
    <row r="186">
      <c r="A186" s="18" t="n"/>
      <c r="B186" s="18" t="n"/>
      <c r="C186" s="18" t="n"/>
      <c r="D186" s="18" t="n"/>
      <c r="E186" s="18" t="n"/>
      <c r="F186" s="18" t="n"/>
      <c r="G186" s="18" t="n"/>
      <c r="H186" s="18" t="n"/>
      <c r="I186" s="18" t="n"/>
    </row>
    <row r="187">
      <c r="A187" s="18" t="n"/>
      <c r="B187" s="18" t="n"/>
      <c r="C187" s="18" t="n"/>
      <c r="D187" s="18" t="n"/>
      <c r="E187" s="18" t="n"/>
      <c r="F187" s="18" t="n"/>
      <c r="G187" s="18" t="n"/>
      <c r="H187" s="18" t="n"/>
      <c r="I187" s="18" t="n"/>
    </row>
    <row r="188">
      <c r="A188" s="18" t="n"/>
      <c r="B188" s="18" t="n"/>
      <c r="C188" s="18" t="n"/>
      <c r="D188" s="18" t="n"/>
      <c r="E188" s="18" t="n"/>
      <c r="F188" s="18" t="n"/>
      <c r="G188" s="18" t="n"/>
      <c r="H188" s="18" t="n"/>
      <c r="I188" s="18" t="n"/>
    </row>
    <row r="189">
      <c r="A189" s="18" t="n"/>
      <c r="B189" s="18" t="n"/>
      <c r="C189" s="18" t="n"/>
      <c r="D189" s="18" t="n"/>
      <c r="E189" s="18" t="n"/>
      <c r="F189" s="18" t="n"/>
      <c r="G189" s="18" t="n"/>
      <c r="H189" s="18" t="n"/>
      <c r="I189" s="18" t="n"/>
    </row>
    <row r="190">
      <c r="A190" s="18" t="n"/>
      <c r="B190" s="18" t="n"/>
      <c r="C190" s="18" t="n"/>
      <c r="D190" s="18" t="n"/>
      <c r="E190" s="18" t="n"/>
      <c r="F190" s="18" t="n"/>
      <c r="G190" s="18" t="n"/>
      <c r="H190" s="18" t="n"/>
      <c r="I190" s="18" t="n"/>
    </row>
    <row r="191">
      <c r="A191" s="18" t="n"/>
      <c r="B191" s="18" t="n"/>
      <c r="C191" s="18" t="n"/>
      <c r="D191" s="18" t="n"/>
      <c r="E191" s="18" t="n"/>
      <c r="F191" s="18" t="n"/>
      <c r="G191" s="18" t="n"/>
      <c r="H191" s="18" t="n"/>
      <c r="I191" s="18" t="n"/>
    </row>
    <row r="192">
      <c r="A192" s="18" t="n"/>
      <c r="B192" s="18" t="n"/>
      <c r="C192" s="18" t="n"/>
      <c r="D192" s="18" t="n"/>
      <c r="E192" s="18" t="n"/>
      <c r="F192" s="18" t="n"/>
      <c r="G192" s="18" t="n"/>
      <c r="H192" s="18" t="n"/>
      <c r="I192" s="18" t="n"/>
    </row>
    <row r="193">
      <c r="A193" s="18" t="n"/>
      <c r="B193" s="18" t="n"/>
      <c r="C193" s="18" t="n"/>
      <c r="D193" s="18" t="n"/>
      <c r="E193" s="18" t="n"/>
      <c r="F193" s="18" t="n"/>
      <c r="G193" s="18" t="n"/>
      <c r="H193" s="18" t="n"/>
      <c r="I193" s="18" t="n"/>
    </row>
    <row r="194">
      <c r="A194" s="18" t="n"/>
      <c r="B194" s="18" t="n"/>
      <c r="C194" s="18" t="n"/>
      <c r="D194" s="18" t="n"/>
      <c r="E194" s="18" t="n"/>
      <c r="F194" s="18" t="n"/>
      <c r="G194" s="18" t="n"/>
      <c r="H194" s="18" t="n"/>
      <c r="I194" s="18" t="n"/>
    </row>
    <row r="195">
      <c r="A195" s="18" t="n"/>
      <c r="B195" s="18" t="n"/>
      <c r="C195" s="18" t="n"/>
      <c r="D195" s="18" t="n"/>
      <c r="E195" s="18" t="n"/>
      <c r="F195" s="18" t="n"/>
      <c r="G195" s="18" t="n"/>
      <c r="H195" s="18" t="n"/>
      <c r="I195" s="18" t="n"/>
    </row>
    <row r="196">
      <c r="A196" s="18" t="n"/>
      <c r="B196" s="18" t="n"/>
      <c r="C196" s="18" t="n"/>
      <c r="D196" s="18" t="n"/>
      <c r="E196" s="18" t="n"/>
      <c r="F196" s="18" t="n"/>
      <c r="G196" s="18" t="n"/>
      <c r="H196" s="18" t="n"/>
      <c r="I196" s="18" t="n"/>
    </row>
    <row r="197">
      <c r="A197" s="18" t="n"/>
      <c r="B197" s="18" t="n"/>
      <c r="C197" s="18" t="n"/>
      <c r="D197" s="18" t="n"/>
      <c r="E197" s="18" t="n"/>
      <c r="F197" s="18" t="n"/>
      <c r="G197" s="18" t="n"/>
      <c r="H197" s="18" t="n"/>
      <c r="I197" s="18" t="n"/>
    </row>
    <row r="198">
      <c r="A198" s="18" t="n"/>
      <c r="B198" s="18" t="n"/>
      <c r="C198" s="18" t="n"/>
      <c r="D198" s="18" t="n"/>
      <c r="E198" s="18" t="n"/>
      <c r="F198" s="18" t="n"/>
      <c r="G198" s="18" t="n"/>
      <c r="H198" s="18" t="n"/>
      <c r="I198" s="18" t="n"/>
    </row>
    <row r="199">
      <c r="A199" s="18" t="n"/>
      <c r="B199" s="18" t="n"/>
      <c r="C199" s="18" t="n"/>
      <c r="D199" s="18" t="n"/>
      <c r="E199" s="18" t="n"/>
      <c r="F199" s="18" t="n"/>
      <c r="G199" s="18" t="n"/>
      <c r="H199" s="18" t="n"/>
      <c r="I199" s="18" t="n"/>
    </row>
    <row r="200">
      <c r="A200" s="18" t="n"/>
      <c r="B200" s="18" t="n"/>
      <c r="C200" s="18" t="n"/>
      <c r="D200" s="18" t="n"/>
      <c r="E200" s="18" t="n"/>
      <c r="F200" s="18" t="n"/>
      <c r="G200" s="18" t="n"/>
      <c r="H200" s="18" t="n"/>
      <c r="I200" s="18" t="n"/>
    </row>
    <row r="201">
      <c r="A201" s="18" t="n"/>
      <c r="B201" s="18" t="n"/>
      <c r="C201" s="18" t="n"/>
      <c r="D201" s="18" t="n"/>
      <c r="E201" s="18" t="n"/>
      <c r="F201" s="18" t="n"/>
      <c r="G201" s="18" t="n"/>
      <c r="H201" s="18" t="n"/>
      <c r="I201" s="18" t="n"/>
    </row>
    <row r="202">
      <c r="A202" s="18" t="n"/>
      <c r="B202" s="18" t="n"/>
      <c r="C202" s="18" t="n"/>
      <c r="D202" s="18" t="n"/>
      <c r="E202" s="18" t="n"/>
      <c r="F202" s="18" t="n"/>
      <c r="G202" s="18" t="n"/>
      <c r="H202" s="18" t="n"/>
      <c r="I202" s="18" t="n"/>
    </row>
    <row r="203">
      <c r="A203" s="18" t="n"/>
      <c r="B203" s="18" t="n"/>
      <c r="C203" s="18" t="n"/>
      <c r="D203" s="18" t="n"/>
      <c r="E203" s="18" t="n"/>
      <c r="F203" s="18" t="n"/>
      <c r="G203" s="18" t="n"/>
      <c r="H203" s="18" t="n"/>
      <c r="I203" s="18" t="n"/>
    </row>
    <row r="204">
      <c r="A204" s="18" t="n"/>
      <c r="B204" s="18" t="n"/>
      <c r="C204" s="18" t="n"/>
      <c r="D204" s="18" t="n"/>
      <c r="E204" s="18" t="n"/>
      <c r="F204" s="18" t="n"/>
      <c r="G204" s="18" t="n"/>
      <c r="H204" s="18" t="n"/>
      <c r="I204" s="18" t="n"/>
    </row>
  </sheetData>
  <dataValidations count="1">
    <dataValidation sqref="F5:F13" showDropDown="0" showInputMessage="0" showErrorMessage="0" allowBlank="0" type="list">
      <formula1>"未开始,进行中,待确认,已完成,已回退"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48" customWidth="1" min="3" max="3"/>
  </cols>
  <sheetData>
    <row r="1">
      <c r="A1" s="1" t="inlineStr">
        <is>
          <t>项目说明</t>
        </is>
      </c>
    </row>
    <row r="2"/>
    <row r="3">
      <c r="A3" s="26" t="inlineStr">
        <is>
          <t>字段</t>
        </is>
      </c>
      <c r="B3" s="26" t="inlineStr">
        <is>
          <t>填写值</t>
        </is>
      </c>
      <c r="C3" s="26" t="inlineStr">
        <is>
          <t>说明</t>
        </is>
      </c>
    </row>
    <row r="4">
      <c r="A4" s="27" t="inlineStr">
        <is>
          <t>项目编号</t>
        </is>
      </c>
      <c r="B4" s="28" t="inlineStr">
        <is>
          <t>WHEY-LCI-2026-0927</t>
        </is>
      </c>
      <c r="C4" s="29" t="inlineStr">
        <is>
          <t>稳定工作编号</t>
        </is>
      </c>
    </row>
    <row r="5">
      <c r="A5" s="27" t="inlineStr">
        <is>
          <t>目标来源范围</t>
        </is>
      </c>
      <c r="B5" s="28" t="inlineStr">
        <is>
          <t>SYS-GUY-2024-DIB（DIB开放数据集5文件：原始清单SRC-RAW为权威框架来源；SRC-COMP/SRC-MODEL同数据集；v231127两份为衍生版，降级为参数来源）</t>
        </is>
      </c>
      <c r="C5" s="29" t="inlineStr">
        <is>
          <t>从完整清单文献池选择框架；没有候选则补充审查，不自动纯建模</t>
        </is>
      </c>
    </row>
    <row r="6">
      <c r="A6" s="27" t="inlineStr">
        <is>
          <t>目标产品系统</t>
        </is>
      </c>
      <c r="B6" s="28" t="inlineStr">
        <is>
          <t>乳清蛋白浓缩（WPI）产品系统：WPI浓缩液为主产品；奶油、胶束酪蛋白、浓缩乳糖、渗透水为联产品</t>
        </is>
      </c>
      <c r="C6" s="29" t="n"/>
    </row>
    <row r="7">
      <c r="A7" s="27" t="inlineStr">
        <is>
          <t>产品名称</t>
        </is>
      </c>
      <c r="B7" s="28" t="inlineStr">
        <is>
          <t>WPI浓缩液（Whey Protein Isolate concentrate，11.7 m³/d）</t>
        </is>
      </c>
      <c r="C7" s="29" t="n"/>
    </row>
    <row r="8">
      <c r="A8" s="27" t="inlineStr">
        <is>
          <t>功能单位</t>
        </is>
      </c>
      <c r="B8" s="28" t="inlineStr">
        <is>
          <t>1 天生产（原始基准以体积 m³/d 为主；主产品 WPI 浓缩液 11.7 m³/d，对应原料奶 583 m³/d。用户决定不分配：全产品系统清单，主产品/联产品/废水并列输出）</t>
        </is>
      </c>
      <c r="C8" s="29" t="n"/>
    </row>
    <row r="9">
      <c r="A9" s="27" t="inlineStr">
        <is>
          <t>系统边界</t>
        </is>
      </c>
      <c r="B9" s="28" t="inlineStr">
        <is>
          <t>原料奶接收（农场大门之后）→ WPI 浓缩液出厂（含第10步 4°C 100 km 冷藏运输）；含乳糖回收（PR11-12）、清洗废水处理（PR20，原文标注为背景过程但清单值给出）；含设备资本品（Machines段设备/部件级材料按天摊销）；α/β 乳清蛋白分离（PR13-19）按用户 2026-09-28 裁定移出系统边界；不含电力/化学品生产等背景过程</t>
        </is>
      </c>
      <c r="C9" s="29" t="n"/>
    </row>
    <row r="10">
      <c r="A10" s="27" t="inlineStr">
        <is>
          <t>建模模式</t>
        </is>
      </c>
      <c r="B10" s="28" t="inlineStr">
        <is>
          <t>consequential</t>
        </is>
      </c>
      <c r="C10" s="29" t="inlineStr">
        <is>
          <t>用户确认目标 ALCA 或 CLCA；不得由来源自动代填</t>
        </is>
      </c>
    </row>
    <row r="11">
      <c r="A11" s="27" t="inlineStr">
        <is>
          <t>背景数据库类型</t>
        </is>
      </c>
      <c r="B11" s="28" t="inlineStr">
        <is>
          <t>未连接（缺口见 Q-08/待补参数清单）</t>
        </is>
      </c>
      <c r="C11" s="29" t="inlineStr">
        <is>
          <t>按目标研究记录背景数据库及版本</t>
        </is>
      </c>
    </row>
    <row r="12">
      <c r="A12" s="27" t="inlineStr">
        <is>
          <t>分配政策</t>
        </is>
      </c>
      <c r="B12" s="28" t="inlineStr">
        <is>
          <t>用户决定（2026-09-29 更正，见 Q-19）：课题 CLCA 与框架文献（ALCA）范式不同——放弃文献分配因子（四套 AF 保留候选作对照留档，不进入课题模型）；边际供应商与副产品替代接口待功能三确定；物理流不执行分配/替代处理；不做 LCIA</t>
        </is>
      </c>
      <c r="C12" s="29" t="inlineStr">
        <is>
          <t>物理流与 ALCA 分配或 CLCA 替代处理分开</t>
        </is>
      </c>
    </row>
    <row r="13">
      <c r="A13" s="27" t="inlineStr">
        <is>
          <t>副产品替代状态</t>
        </is>
      </c>
      <c r="B13" s="28" t="inlineStr">
        <is>
          <t>待建（用户 2026-09-29 更正，见 Q-19）：课题 CLCA——副产品替代接口与边际供应商由目标研究在功能三确定</t>
        </is>
      </c>
      <c r="C13" s="29" t="inlineStr">
        <is>
          <t>副产品替代接口及供应商待目标研究确认</t>
        </is>
      </c>
    </row>
    <row r="14">
      <c r="A14" s="27" t="inlineStr">
        <is>
          <t>数值情景</t>
        </is>
      </c>
      <c r="B14" s="28" t="inlineStr">
        <is>
          <t>representative</t>
        </is>
      </c>
      <c r="C14" s="29" t="inlineStr">
        <is>
          <t>经确认的图示代表情景；不把全部代表值称为中位数</t>
        </is>
      </c>
    </row>
    <row r="15">
      <c r="A15" s="27" t="inlineStr">
        <is>
          <t>工作簿版本</t>
        </is>
      </c>
      <c r="B15" s="28" t="inlineStr">
        <is>
          <t>4.2</t>
        </is>
      </c>
      <c r="C15" s="29" t="n"/>
    </row>
    <row r="16">
      <c r="A16" s="27" t="inlineStr">
        <is>
          <t>数据功能状态</t>
        </is>
      </c>
      <c r="B16" s="28" t="inlineStr">
        <is>
          <t>frozen</t>
        </is>
      </c>
      <c r="C16" s="29" t="n"/>
    </row>
    <row r="17">
      <c r="A17" s="27" t="inlineStr">
        <is>
          <t>冻结版本</t>
        </is>
      </c>
      <c r="B17" s="28" t="inlineStr">
        <is>
          <t>v2.2（2026-09-28 确认；WPI边界：原料奶→WPI浓缩液出厂，PR13-19 α/β蛋白分离移出；基线SRC-RAW原始记录层，体积基准 m³/d，功能单位1天生产；v2.1补3条联产品出厂流，v2.2补WPI出厂流FL-O-WPI）；2026-09-29 范式口径更正见 Q-19</t>
        </is>
      </c>
      <c r="C17" s="29" t="inlineStr">
        <is>
          <t>数据功能确认后填写</t>
        </is>
      </c>
    </row>
    <row r="18" ht="25" customHeight="1">
      <c r="A18" s="34" t="inlineStr">
        <is>
          <t>工艺路线</t>
        </is>
      </c>
      <c r="B18" s="36" t="inlineStr">
        <is>
          <t>主文献锚定</t>
        </is>
      </c>
      <c r="C18" s="37" t="inlineStr">
        <is>
          <t>当前工作流只允许经闸门A确认的主文献锚定路线</t>
        </is>
      </c>
    </row>
    <row r="19" ht="25" customHeight="1">
      <c r="A19" s="34" t="inlineStr">
        <is>
          <t>整链主来源体系ID</t>
        </is>
      </c>
      <c r="B19" s="36" t="inlineStr">
        <is>
          <t>SYS-GUY-2024-DIB</t>
        </is>
      </c>
      <c r="C19" s="37" t="inlineStr">
        <is>
          <t>闸门A确认的框架来源体系ID</t>
        </is>
      </c>
    </row>
    <row r="20" ht="25" customHeight="1">
      <c r="A20" s="34" t="inlineStr">
        <is>
          <t>产品质量规格</t>
        </is>
      </c>
      <c r="B20" s="36" t="inlineStr">
        <is>
          <t>主产品：WPI 浓缩液 11.7 m³/d（8_UF1 输出、10_TS 后出厂；原文未给 WPI 干物质组成规格）</t>
        </is>
      </c>
      <c r="C20" s="37" t="inlineStr">
        <is>
          <t>纯度、湿干基或其他可比性条件</t>
        </is>
      </c>
    </row>
    <row r="21" ht="25" customHeight="1">
      <c r="A21" s="34" t="inlineStr">
        <is>
          <t>来源路线确认记录</t>
        </is>
      </c>
      <c r="B21" s="36" t="inlineStr">
        <is>
          <t>D-A2（用户2026-09-27确认：采用DIB数据集原始版为权威框架，取代v1.0之D-A1衍生版锚定）</t>
        </is>
      </c>
      <c r="C21" s="37" t="inlineStr">
        <is>
          <t>关联问题与决策 ID 或确认日期</t>
        </is>
      </c>
    </row>
    <row r="22" ht="25" customHeight="1">
      <c r="A22" s="34" t="inlineStr">
        <is>
          <t>数据功能用户确认</t>
        </is>
      </c>
      <c r="B22" s="36" t="inlineStr">
        <is>
          <t>用户确认（2026-09-28，WPI边界重建）：功能单位按原文1天生产（原料奶583 m³/d，WPI浓缩液11.7 m³/d）；系统边界至WPI浓缩液出厂（含第10步4°C 100km冷藏运输），PR13-19 α/β蛋白分离移出，乳糖回收保留；基线=SRC-RAW原始记录层；全产品系统清单；不分配/不替代/不做LCIA；资本品纳入；唯一开放待补项GB-04（污水站proxy口径）</t>
        </is>
      </c>
      <c r="C22" s="37" t="inlineStr">
        <is>
          <t>未明确确认不得将工作簿标为冻结</t>
        </is>
      </c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dataValidations count="2">
    <dataValidation sqref="B10:B11" showDropDown="0" showInputMessage="0" showErrorMessage="0" allowBlank="0" type="list">
      <formula1>"consequential,attributional"</formula1>
    </dataValidation>
    <dataValidation sqref="B12" showDropDown="0" showInputMessage="0" showErrorMessage="0" allowBlank="0" type="list">
      <formula1>"physical_unallocated,source_allocation,other"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04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28" customWidth="1" min="4" max="4"/>
    <col width="24" customWidth="1" min="5" max="5"/>
    <col width="42" customWidth="1" min="6" max="6"/>
    <col width="22" customWidth="1" min="7" max="7"/>
    <col width="18" customWidth="1" min="8" max="8"/>
    <col width="32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24" customWidth="1" min="18" max="18"/>
    <col width="35" customWidth="1" min="19" max="19"/>
  </cols>
  <sheetData>
    <row r="1" ht="24" customHeight="1">
      <c r="A1" s="1" t="inlineStr">
        <is>
          <t>数据来源</t>
        </is>
      </c>
    </row>
    <row r="2" ht="24" customHeight="1">
      <c r="A2" s="2" t="inlineStr">
        <is>
          <t>一行一个文件；候选值的页码/单元格见“候选数据”。同一研究的正文、附件和代码共用来源体系ID。</t>
        </is>
      </c>
    </row>
    <row r="4" ht="28" customHeight="1">
      <c r="A4" s="14" t="inlineStr">
        <is>
          <t>来源ID</t>
        </is>
      </c>
      <c r="B4" s="15" t="inlineStr">
        <is>
          <t>文件名</t>
        </is>
      </c>
      <c r="C4" s="15" t="inlineStr">
        <is>
          <t>来源类型</t>
        </is>
      </c>
      <c r="D4" s="15" t="inlineStr">
        <is>
          <t>页码/章节/工作表</t>
        </is>
      </c>
      <c r="E4" s="15" t="inlineStr">
        <is>
          <t>单元格/公式位置</t>
        </is>
      </c>
      <c r="F4" s="15" t="inlineStr">
        <is>
          <t>原始内容摘要</t>
        </is>
      </c>
      <c r="G4" s="15" t="inlineStr">
        <is>
          <t>适用对象ID</t>
        </is>
      </c>
      <c r="H4" s="15" t="inlineStr">
        <is>
          <t>证据状态</t>
        </is>
      </c>
      <c r="I4" s="16" t="inlineStr">
        <is>
          <t>备注</t>
        </is>
      </c>
      <c r="J4" s="42" t="inlineStr">
        <is>
          <t>来源体系ID</t>
        </is>
      </c>
      <c r="K4" s="42" t="inlineStr">
        <is>
          <t>文件角色</t>
        </is>
      </c>
      <c r="L4" s="42" t="inlineStr">
        <is>
          <t>来源独立性</t>
        </is>
      </c>
      <c r="M4" s="42" t="inlineStr">
        <is>
          <t>上游依赖</t>
        </is>
      </c>
      <c r="N4" s="42" t="inlineStr">
        <is>
          <t>原研究方法</t>
        </is>
      </c>
      <c r="O4" s="42" t="inlineStr">
        <is>
          <t>工艺覆盖</t>
        </is>
      </c>
      <c r="P4" s="42" t="inlineStr">
        <is>
          <t>原功能单位</t>
        </is>
      </c>
      <c r="Q4" s="42" t="inlineStr">
        <is>
          <t>详细提取状态</t>
        </is>
      </c>
      <c r="R4" s="49" t="inlineStr">
        <is>
          <t>文献池角色</t>
        </is>
      </c>
      <c r="S4" s="49" t="inlineStr">
        <is>
          <t>完整清单证据</t>
        </is>
      </c>
    </row>
    <row r="5">
      <c r="A5" s="18" t="inlineStr">
        <is>
          <t>SRC-PDF</t>
        </is>
      </c>
      <c r="B5" s="18" t="inlineStr">
        <is>
          <t>LCI_Process_diagram_and_allocation_data_v231127.pdf</t>
        </is>
      </c>
      <c r="C5" s="18" t="inlineStr">
        <is>
          <t>工艺图PDF（整链前景清单）</t>
        </is>
      </c>
      <c r="D5" s="18" t="inlineStr">
        <is>
          <t>p1（单页流程图）</t>
        </is>
      </c>
      <c r="E5" s="18" t="inlineStr">
        <is>
          <t>19个步骤框及逐流参数表</t>
        </is>
      </c>
      <c r="F5" s="18" t="inlineStr">
        <is>
          <t>19步乳清蛋白分级工艺逐流 V/m/ρ/脂肪/DM/蛋白/价格/AF；水输入 63/35/31.1/2.7/66.93/4.6/5.7/1.0 m³/j；MF2两级计算框；干燥专家参数；组成小图（Figure n°X）</t>
        </is>
      </c>
      <c r="G5" s="18" t="inlineStr">
        <is>
          <t>PR01-PR19</t>
        </is>
      </c>
      <c r="H5" s="18" t="inlineStr">
        <is>
          <t>已提取</t>
        </is>
      </c>
      <c r="I5" s="18" t="inlineStr">
        <is>
          <t>数据集示意图层文件（v231127，与SRC-RAW同属DIB数据集包，recherche.data.gouv.fr DOI 10.57745/7D0ROH）：由原始体积×密度换算质量、AF修约至2位小数、丢弃能源/清洗/化学品/污水；独有内容：组成%%、虚构价格、干燥专家参数、Figure n°X组成图——保留为候选并标注衍生版来源。多版本核验见Q-12；用户2026-09-28指示：示意图层全部数据仅作简单参考，不作基准/标准；基线=数据集原始记录层（SRC-RAW）</t>
        </is>
      </c>
      <c r="J5" t="inlineStr">
        <is>
          <t>SYS-WHEY-2023</t>
        </is>
      </c>
      <c r="K5" t="inlineStr">
        <is>
          <t>主文（工艺图与清单）</t>
        </is>
      </c>
      <c r="L5" t="inlineStr">
        <is>
          <t>独立（单源体系）</t>
        </is>
      </c>
      <c r="M5" t="inlineStr">
        <is>
          <t>部分参数二手引用 Gesan-Guiziou et al (2019)（未核原文）</t>
        </is>
      </c>
      <c r="N5" t="inlineStr">
        <is>
          <t>ALCA（提供4种分配规则因子）</t>
        </is>
      </c>
      <c r="O5" t="inlineStr">
        <is>
          <t>收奶→乳清蛋白分级全链（19步）</t>
        </is>
      </c>
      <c r="P5" t="inlineStr">
        <is>
          <t>1 天生产（kg/j）</t>
        </is>
      </c>
      <c r="Q5" t="inlineStr">
        <is>
          <t>已提取</t>
        </is>
      </c>
      <c r="R5" t="inlineStr">
        <is>
          <t>参数选取文献池</t>
        </is>
      </c>
      <c r="S5" t="inlineStr">
        <is>
          <t>整链清单：全工艺19步逐流数值表（本PDF单页，含全部输入/输出/内部流质量与组成）</t>
        </is>
      </c>
    </row>
    <row r="6">
      <c r="A6" s="18" t="inlineStr">
        <is>
          <t>SRC-XLSX</t>
        </is>
      </c>
      <c r="B6" s="18" t="inlineStr">
        <is>
          <t>LCI_Allocations_factors_v231127.xlsx</t>
        </is>
      </c>
      <c r="C6" s="18" t="inlineStr">
        <is>
          <t>Excel附件（分配因子表）</t>
        </is>
      </c>
      <c r="D6" s="18" t="inlineStr">
        <is>
          <t>allocation_tables</t>
        </is>
      </c>
      <c r="E6" s="18" t="inlineStr">
        <is>
          <t>A1:T8</t>
        </is>
      </c>
      <c r="F6" s="18" t="inlineStr">
        <is>
          <t>8个分配步骤 × 4规则（mass/dry matter/protein/economic）共42个非零分配因子</t>
        </is>
      </c>
      <c r="G6" s="18" t="inlineStr">
        <is>
          <t>联产品分配参数 PA-AF-*</t>
        </is>
      </c>
      <c r="H6" s="18" t="inlineStr">
        <is>
          <t>已提取</t>
        </is>
      </c>
      <c r="I6" s="18" t="inlineStr">
        <is>
          <t>衍生版分配因子表（2位小数修约）；数值与 SRC-COMP 未修约值一致；SRC-COMP 存在 cream AF eco 抄录疑似笔误，本表修约值经交叉核对采用</t>
        </is>
      </c>
      <c r="J6" t="inlineStr">
        <is>
          <t>SYS-WHEY-2023</t>
        </is>
      </c>
      <c r="K6" t="inlineStr">
        <is>
          <t>附件（分配因子汇总表）</t>
        </is>
      </c>
      <c r="L6" t="inlineStr">
        <is>
          <t>与 SRC-PDF 同源</t>
        </is>
      </c>
      <c r="M6" t="inlineStr">
        <is>
          <t>转引 SRC-PDF 各框 AF</t>
        </is>
      </c>
      <c r="N6" t="inlineStr">
        <is>
          <t>ALCA（4规则）</t>
        </is>
      </c>
      <c r="O6" t="inlineStr">
        <is>
          <t>同上</t>
        </is>
      </c>
      <c r="P6" t="inlineStr">
        <is>
          <t>1 天生产（kg/j）</t>
        </is>
      </c>
      <c r="Q6" t="inlineStr">
        <is>
          <t>已提取</t>
        </is>
      </c>
      <c r="R6" t="inlineStr">
        <is>
          <t>参数选取文献池</t>
        </is>
      </c>
      <c r="S6" t="inlineStr">
        <is>
          <t>分配因子汇总表（SRC-PDF 数值的结构化整理，同一来源体系）</t>
        </is>
      </c>
    </row>
    <row r="7">
      <c r="A7" s="18" t="inlineStr">
        <is>
          <t>SRC-RAW</t>
        </is>
      </c>
      <c r="B7" s="18" t="inlineStr">
        <is>
          <t>WPI-Guyomarc'h2024.xlsx</t>
        </is>
      </c>
      <c r="C7" s="18" t="inlineStr">
        <is>
          <t>Excel原始清单（DIB数据集权威版）</t>
        </is>
      </c>
      <c r="D7" s="18" t="inlineStr">
        <is>
          <t>20张步骤表(1_RCS~20_STEP)+Process diagram</t>
        </is>
      </c>
      <c r="E7" s="18" t="inlineStr">
        <is>
          <t>每表 Materials/Energy/Others/Machines/TOTALs/Cleaning/Outputs 段</t>
        </is>
      </c>
      <c r="F7" s="18" t="inlineStr">
        <is>
          <t>逐步原始LCI：体积基准物料流、逐步电力(kWh/d)与燃气热(MJ/d)、化学品(NH3/柠檬酸/CaCl2/NaOH/FeCl)、清洗段(电/热/水/NaOH/HNO3/COD废水)、机器材料、第20步污水处理及出水负荷</t>
        </is>
      </c>
      <c r="G7" s="18" t="inlineStr">
        <is>
          <t>PR01-PR20（本清单按WPI边界采用PR01-12+PR20；PR13-19 α/β蛋白分离移出）</t>
        </is>
      </c>
      <c r="H7" s="18" t="inlineStr">
        <is>
          <t>已提取</t>
        </is>
      </c>
      <c r="I7" s="18" t="inlineStr">
        <is>
          <t>Process diagram表自述：Figure 1 &amp; Table 2 of Gesan-Guiziou et al. (2019) 的简化汇编；数据源自2009/2010实测campaign</t>
        </is>
      </c>
      <c r="J7" t="inlineStr">
        <is>
          <t>SYS-GUY-2024-DIB</t>
        </is>
      </c>
      <c r="K7" t="inlineStr">
        <is>
          <t>框架主数据（原始清单）</t>
        </is>
      </c>
      <c r="L7" t="inlineStr">
        <is>
          <t>独立</t>
        </is>
      </c>
      <c r="M7" t="inlineStr">
        <is>
          <t>底层引用 Gesan-Guiziou et al. (2019)</t>
        </is>
      </c>
      <c r="N7" t="inlineStr">
        <is>
          <t>ALCA（4种分配规则，分配表见SRC-XLSX）</t>
        </is>
      </c>
      <c r="O7" t="inlineStr">
        <is>
          <t>收奶→WPI浓缩液出厂（PR01-12）＋乳糖回收＋清洗废水处理（PR20）；PR13-19 α/β蛋白分离按用户2026-09-28裁定移出系统边界</t>
        </is>
      </c>
      <c r="P7" t="inlineStr">
        <is>
          <t>1 天生产（体积基准 m³/d 为主）</t>
        </is>
      </c>
      <c r="Q7" t="inlineStr">
        <is>
          <t>已提取</t>
        </is>
      </c>
      <c r="R7" t="inlineStr">
        <is>
          <t>完整清单文献池;参数选取文献池</t>
        </is>
      </c>
      <c r="S7" t="inlineStr">
        <is>
          <t>整链清单：20步逐步LCI（本工作簿框架来源，权威版）</t>
        </is>
      </c>
    </row>
    <row r="8">
      <c r="A8" s="18" t="inlineStr">
        <is>
          <t>SRC-COMP</t>
        </is>
      </c>
      <c r="B8" s="18" t="inlineStr">
        <is>
          <t>WPI-流程-成分Guyomarc'h2024.xlsx</t>
        </is>
      </c>
      <c r="C8" s="18" t="inlineStr">
        <is>
          <t>Excel工作底稿（流程框全精度值）</t>
        </is>
      </c>
      <c r="D8" s="18" t="inlineStr">
        <is>
          <t>Feuil1</t>
        </is>
      </c>
      <c r="E8" s="18" t="inlineStr">
        <is>
          <t>框式布局</t>
        </is>
      </c>
      <c r="F8" s="18" t="inlineStr">
        <is>
          <t>各流V/m/ρ/组成/价格/AF未修约全精度值；与SRC-PDF框值同版（2位小数修约前）</t>
        </is>
      </c>
      <c r="G8" s="18" t="inlineStr">
        <is>
          <t>组成/AF候选核对</t>
        </is>
      </c>
      <c r="H8" s="18" t="inlineStr">
        <is>
          <t>已提取</t>
        </is>
      </c>
      <c r="I8" s="18" t="inlineStr">
        <is>
          <t>排版为工作底稿（左右框行交错、cream AF eco疑似抄录笔误），仅作数值核对证据，不直接取数</t>
        </is>
      </c>
      <c r="J8" t="inlineStr">
        <is>
          <t>SYS-GUY-2024-DIB</t>
        </is>
      </c>
      <c r="K8" t="inlineStr">
        <is>
          <t>同数据集工作底稿</t>
        </is>
      </c>
      <c r="L8" t="inlineStr">
        <is>
          <t>与SRC-RAW同源</t>
        </is>
      </c>
      <c r="M8" t="inlineStr">
        <is>
          <t>转引SRC-PDF框值</t>
        </is>
      </c>
      <c r="N8" t="inlineStr">
        <is>
          <t>ALCA</t>
        </is>
      </c>
      <c r="O8" t="inlineStr">
        <is>
          <t>同上</t>
        </is>
      </c>
      <c r="P8" t="inlineStr">
        <is>
          <t>1 天生产</t>
        </is>
      </c>
      <c r="Q8" t="inlineStr">
        <is>
          <t>已提取</t>
        </is>
      </c>
      <c r="R8" t="inlineStr">
        <is>
          <t>参数选取文献池</t>
        </is>
      </c>
      <c r="S8" t="inlineStr">
        <is>
          <t>未修约数值核对证据</t>
        </is>
      </c>
    </row>
    <row r="9">
      <c r="A9" s="18" t="inlineStr">
        <is>
          <t>SRC-MODEL</t>
        </is>
      </c>
      <c r="B9" s="18" t="inlineStr">
        <is>
          <t>WPI-建模Guyomarc'h2024.xlsx</t>
        </is>
      </c>
      <c r="C9" s="18" t="inlineStr">
        <is>
          <t>Excel建模实现（SimaPro版）</t>
        </is>
      </c>
      <c r="D9" s="18" t="inlineStr">
        <is>
          <t>1_RCS~19_D2+Explorer</t>
        </is>
      </c>
      <c r="E9" s="18" t="inlineStr">
        <is>
          <t>逐步背景映射表</t>
        </is>
      </c>
      <c r="F9" s="18" t="inlineStr">
        <is>
          <t>每步SimaPro实现：ecoinvent 3.8背景过程映射（电力/蒸汽/自来水/废水/钢材）、mass与dry matter两种分配变体</t>
        </is>
      </c>
      <c r="G9" s="18" t="inlineStr">
        <is>
          <t>背景接口元数据</t>
        </is>
      </c>
      <c r="H9" s="18" t="inlineStr">
        <is>
          <t>已提取</t>
        </is>
      </c>
      <c r="I9" s="18" t="inlineStr">
        <is>
          <t>提供背景数据库接口位置（未来接背景库时的映射依据）；本工作簿不计算LCIA</t>
        </is>
      </c>
      <c r="J9" t="inlineStr">
        <is>
          <t>SYS-GUY-2024-DIB</t>
        </is>
      </c>
      <c r="K9" t="inlineStr">
        <is>
          <t>同数据集建模版</t>
        </is>
      </c>
      <c r="L9" t="inlineStr">
        <is>
          <t>与SRC-RAW同源</t>
        </is>
      </c>
      <c r="M9" t="inlineStr">
        <is>
          <t>ecoinvent 3.8</t>
        </is>
      </c>
      <c r="N9" t="inlineStr">
        <is>
          <t>ALCA（mass/dry matter两变体）</t>
        </is>
      </c>
      <c r="O9" t="inlineStr">
        <is>
          <t>同上</t>
        </is>
      </c>
      <c r="P9" t="inlineStr">
        <is>
          <t>1 天生产</t>
        </is>
      </c>
      <c r="Q9" t="inlineStr">
        <is>
          <t>已提取</t>
        </is>
      </c>
      <c r="R9" t="inlineStr">
        <is>
          <t>参数选取文献池</t>
        </is>
      </c>
      <c r="S9" t="inlineStr">
        <is>
          <t>背景映射证据（ecoinvent 3.8）</t>
        </is>
      </c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</row>
    <row r="13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</row>
    <row r="15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</row>
    <row r="22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</row>
    <row r="24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</row>
    <row r="47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</row>
    <row r="48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</row>
    <row r="49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</row>
    <row r="50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</row>
    <row r="5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</row>
    <row r="52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</row>
    <row r="53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</row>
    <row r="54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</row>
    <row r="55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</row>
    <row r="56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</row>
    <row r="57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</row>
    <row r="58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</row>
    <row r="59">
      <c r="A59" s="18" t="n"/>
      <c r="B59" s="18" t="n"/>
      <c r="C59" s="18" t="n"/>
      <c r="D59" s="18" t="n"/>
      <c r="E59" s="18" t="n"/>
      <c r="F59" s="18" t="n"/>
      <c r="G59" s="18" t="n"/>
      <c r="H59" s="18" t="n"/>
      <c r="I59" s="18" t="n"/>
    </row>
    <row r="60">
      <c r="A60" s="18" t="n"/>
      <c r="B60" s="18" t="n"/>
      <c r="C60" s="18" t="n"/>
      <c r="D60" s="18" t="n"/>
      <c r="E60" s="18" t="n"/>
      <c r="F60" s="18" t="n"/>
      <c r="G60" s="18" t="n"/>
      <c r="H60" s="18" t="n"/>
      <c r="I60" s="18" t="n"/>
    </row>
    <row r="61">
      <c r="A61" s="18" t="n"/>
      <c r="B61" s="18" t="n"/>
      <c r="C61" s="18" t="n"/>
      <c r="D61" s="18" t="n"/>
      <c r="E61" s="18" t="n"/>
      <c r="F61" s="18" t="n"/>
      <c r="G61" s="18" t="n"/>
      <c r="H61" s="18" t="n"/>
      <c r="I61" s="18" t="n"/>
    </row>
    <row r="62">
      <c r="A62" s="18" t="n"/>
      <c r="B62" s="18" t="n"/>
      <c r="C62" s="18" t="n"/>
      <c r="D62" s="18" t="n"/>
      <c r="E62" s="18" t="n"/>
      <c r="F62" s="18" t="n"/>
      <c r="G62" s="18" t="n"/>
      <c r="H62" s="18" t="n"/>
      <c r="I62" s="18" t="n"/>
    </row>
    <row r="63">
      <c r="A63" s="18" t="n"/>
      <c r="B63" s="18" t="n"/>
      <c r="C63" s="18" t="n"/>
      <c r="D63" s="18" t="n"/>
      <c r="E63" s="18" t="n"/>
      <c r="F63" s="18" t="n"/>
      <c r="G63" s="18" t="n"/>
      <c r="H63" s="18" t="n"/>
      <c r="I63" s="18" t="n"/>
    </row>
    <row r="64">
      <c r="A64" s="18" t="n"/>
      <c r="B64" s="18" t="n"/>
      <c r="C64" s="18" t="n"/>
      <c r="D64" s="18" t="n"/>
      <c r="E64" s="18" t="n"/>
      <c r="F64" s="18" t="n"/>
      <c r="G64" s="18" t="n"/>
      <c r="H64" s="18" t="n"/>
      <c r="I64" s="18" t="n"/>
    </row>
    <row r="65">
      <c r="A65" s="18" t="n"/>
      <c r="B65" s="18" t="n"/>
      <c r="C65" s="18" t="n"/>
      <c r="D65" s="18" t="n"/>
      <c r="E65" s="18" t="n"/>
      <c r="F65" s="18" t="n"/>
      <c r="G65" s="18" t="n"/>
      <c r="H65" s="18" t="n"/>
      <c r="I65" s="18" t="n"/>
    </row>
    <row r="66">
      <c r="A66" s="18" t="n"/>
      <c r="B66" s="18" t="n"/>
      <c r="C66" s="18" t="n"/>
      <c r="D66" s="18" t="n"/>
      <c r="E66" s="18" t="n"/>
      <c r="F66" s="18" t="n"/>
      <c r="G66" s="18" t="n"/>
      <c r="H66" s="18" t="n"/>
      <c r="I66" s="18" t="n"/>
    </row>
    <row r="67">
      <c r="A67" s="18" t="n"/>
      <c r="B67" s="18" t="n"/>
      <c r="C67" s="18" t="n"/>
      <c r="D67" s="18" t="n"/>
      <c r="E67" s="18" t="n"/>
      <c r="F67" s="18" t="n"/>
      <c r="G67" s="18" t="n"/>
      <c r="H67" s="18" t="n"/>
      <c r="I67" s="18" t="n"/>
    </row>
    <row r="68">
      <c r="A68" s="18" t="n"/>
      <c r="B68" s="18" t="n"/>
      <c r="C68" s="18" t="n"/>
      <c r="D68" s="18" t="n"/>
      <c r="E68" s="18" t="n"/>
      <c r="F68" s="18" t="n"/>
      <c r="G68" s="18" t="n"/>
      <c r="H68" s="18" t="n"/>
      <c r="I68" s="18" t="n"/>
    </row>
    <row r="69">
      <c r="A69" s="18" t="n"/>
      <c r="B69" s="18" t="n"/>
      <c r="C69" s="18" t="n"/>
      <c r="D69" s="18" t="n"/>
      <c r="E69" s="18" t="n"/>
      <c r="F69" s="18" t="n"/>
      <c r="G69" s="18" t="n"/>
      <c r="H69" s="18" t="n"/>
      <c r="I69" s="18" t="n"/>
    </row>
    <row r="70">
      <c r="A70" s="18" t="n"/>
      <c r="B70" s="18" t="n"/>
      <c r="C70" s="18" t="n"/>
      <c r="D70" s="18" t="n"/>
      <c r="E70" s="18" t="n"/>
      <c r="F70" s="18" t="n"/>
      <c r="G70" s="18" t="n"/>
      <c r="H70" s="18" t="n"/>
      <c r="I70" s="18" t="n"/>
    </row>
    <row r="71">
      <c r="A71" s="18" t="n"/>
      <c r="B71" s="18" t="n"/>
      <c r="C71" s="18" t="n"/>
      <c r="D71" s="18" t="n"/>
      <c r="E71" s="18" t="n"/>
      <c r="F71" s="18" t="n"/>
      <c r="G71" s="18" t="n"/>
      <c r="H71" s="18" t="n"/>
      <c r="I71" s="18" t="n"/>
    </row>
    <row r="72">
      <c r="A72" s="18" t="n"/>
      <c r="B72" s="18" t="n"/>
      <c r="C72" s="18" t="n"/>
      <c r="D72" s="18" t="n"/>
      <c r="E72" s="18" t="n"/>
      <c r="F72" s="18" t="n"/>
      <c r="G72" s="18" t="n"/>
      <c r="H72" s="18" t="n"/>
      <c r="I72" s="18" t="n"/>
    </row>
    <row r="73">
      <c r="A73" s="18" t="n"/>
      <c r="B73" s="18" t="n"/>
      <c r="C73" s="18" t="n"/>
      <c r="D73" s="18" t="n"/>
      <c r="E73" s="18" t="n"/>
      <c r="F73" s="18" t="n"/>
      <c r="G73" s="18" t="n"/>
      <c r="H73" s="18" t="n"/>
      <c r="I73" s="18" t="n"/>
    </row>
    <row r="74">
      <c r="A74" s="18" t="n"/>
      <c r="B74" s="18" t="n"/>
      <c r="C74" s="18" t="n"/>
      <c r="D74" s="18" t="n"/>
      <c r="E74" s="18" t="n"/>
      <c r="F74" s="18" t="n"/>
      <c r="G74" s="18" t="n"/>
      <c r="H74" s="18" t="n"/>
      <c r="I74" s="18" t="n"/>
    </row>
    <row r="75">
      <c r="A75" s="18" t="n"/>
      <c r="B75" s="18" t="n"/>
      <c r="C75" s="18" t="n"/>
      <c r="D75" s="18" t="n"/>
      <c r="E75" s="18" t="n"/>
      <c r="F75" s="18" t="n"/>
      <c r="G75" s="18" t="n"/>
      <c r="H75" s="18" t="n"/>
      <c r="I75" s="18" t="n"/>
    </row>
    <row r="76">
      <c r="A76" s="18" t="n"/>
      <c r="B76" s="18" t="n"/>
      <c r="C76" s="18" t="n"/>
      <c r="D76" s="18" t="n"/>
      <c r="E76" s="18" t="n"/>
      <c r="F76" s="18" t="n"/>
      <c r="G76" s="18" t="n"/>
      <c r="H76" s="18" t="n"/>
      <c r="I76" s="18" t="n"/>
    </row>
    <row r="77">
      <c r="A77" s="18" t="n"/>
      <c r="B77" s="18" t="n"/>
      <c r="C77" s="18" t="n"/>
      <c r="D77" s="18" t="n"/>
      <c r="E77" s="18" t="n"/>
      <c r="F77" s="18" t="n"/>
      <c r="G77" s="18" t="n"/>
      <c r="H77" s="18" t="n"/>
      <c r="I77" s="18" t="n"/>
    </row>
    <row r="78">
      <c r="A78" s="18" t="n"/>
      <c r="B78" s="18" t="n"/>
      <c r="C78" s="18" t="n"/>
      <c r="D78" s="18" t="n"/>
      <c r="E78" s="18" t="n"/>
      <c r="F78" s="18" t="n"/>
      <c r="G78" s="18" t="n"/>
      <c r="H78" s="18" t="n"/>
      <c r="I78" s="18" t="n"/>
    </row>
    <row r="79">
      <c r="A79" s="18" t="n"/>
      <c r="B79" s="18" t="n"/>
      <c r="C79" s="18" t="n"/>
      <c r="D79" s="18" t="n"/>
      <c r="E79" s="18" t="n"/>
      <c r="F79" s="18" t="n"/>
      <c r="G79" s="18" t="n"/>
      <c r="H79" s="18" t="n"/>
      <c r="I79" s="18" t="n"/>
    </row>
    <row r="80">
      <c r="A80" s="18" t="n"/>
      <c r="B80" s="18" t="n"/>
      <c r="C80" s="18" t="n"/>
      <c r="D80" s="18" t="n"/>
      <c r="E80" s="18" t="n"/>
      <c r="F80" s="18" t="n"/>
      <c r="G80" s="18" t="n"/>
      <c r="H80" s="18" t="n"/>
      <c r="I80" s="18" t="n"/>
    </row>
    <row r="81">
      <c r="A81" s="18" t="n"/>
      <c r="B81" s="18" t="n"/>
      <c r="C81" s="18" t="n"/>
      <c r="D81" s="18" t="n"/>
      <c r="E81" s="18" t="n"/>
      <c r="F81" s="18" t="n"/>
      <c r="G81" s="18" t="n"/>
      <c r="H81" s="18" t="n"/>
      <c r="I81" s="18" t="n"/>
    </row>
    <row r="82">
      <c r="A82" s="18" t="n"/>
      <c r="B82" s="18" t="n"/>
      <c r="C82" s="18" t="n"/>
      <c r="D82" s="18" t="n"/>
      <c r="E82" s="18" t="n"/>
      <c r="F82" s="18" t="n"/>
      <c r="G82" s="18" t="n"/>
      <c r="H82" s="18" t="n"/>
      <c r="I82" s="18" t="n"/>
    </row>
    <row r="83">
      <c r="A83" s="18" t="n"/>
      <c r="B83" s="18" t="n"/>
      <c r="C83" s="18" t="n"/>
      <c r="D83" s="18" t="n"/>
      <c r="E83" s="18" t="n"/>
      <c r="F83" s="18" t="n"/>
      <c r="G83" s="18" t="n"/>
      <c r="H83" s="18" t="n"/>
      <c r="I83" s="18" t="n"/>
    </row>
    <row r="84">
      <c r="A84" s="18" t="n"/>
      <c r="B84" s="18" t="n"/>
      <c r="C84" s="18" t="n"/>
      <c r="D84" s="18" t="n"/>
      <c r="E84" s="18" t="n"/>
      <c r="F84" s="18" t="n"/>
      <c r="G84" s="18" t="n"/>
      <c r="H84" s="18" t="n"/>
      <c r="I84" s="18" t="n"/>
    </row>
    <row r="85">
      <c r="A85" s="18" t="n"/>
      <c r="B85" s="18" t="n"/>
      <c r="C85" s="18" t="n"/>
      <c r="D85" s="18" t="n"/>
      <c r="E85" s="18" t="n"/>
      <c r="F85" s="18" t="n"/>
      <c r="G85" s="18" t="n"/>
      <c r="H85" s="18" t="n"/>
      <c r="I85" s="18" t="n"/>
    </row>
    <row r="86">
      <c r="A86" s="18" t="n"/>
      <c r="B86" s="18" t="n"/>
      <c r="C86" s="18" t="n"/>
      <c r="D86" s="18" t="n"/>
      <c r="E86" s="18" t="n"/>
      <c r="F86" s="18" t="n"/>
      <c r="G86" s="18" t="n"/>
      <c r="H86" s="18" t="n"/>
      <c r="I86" s="18" t="n"/>
    </row>
    <row r="87">
      <c r="A87" s="18" t="n"/>
      <c r="B87" s="18" t="n"/>
      <c r="C87" s="18" t="n"/>
      <c r="D87" s="18" t="n"/>
      <c r="E87" s="18" t="n"/>
      <c r="F87" s="18" t="n"/>
      <c r="G87" s="18" t="n"/>
      <c r="H87" s="18" t="n"/>
      <c r="I87" s="18" t="n"/>
    </row>
    <row r="88">
      <c r="A88" s="18" t="n"/>
      <c r="B88" s="18" t="n"/>
      <c r="C88" s="18" t="n"/>
      <c r="D88" s="18" t="n"/>
      <c r="E88" s="18" t="n"/>
      <c r="F88" s="18" t="n"/>
      <c r="G88" s="18" t="n"/>
      <c r="H88" s="18" t="n"/>
      <c r="I88" s="18" t="n"/>
    </row>
    <row r="89">
      <c r="A89" s="18" t="n"/>
      <c r="B89" s="18" t="n"/>
      <c r="C89" s="18" t="n"/>
      <c r="D89" s="18" t="n"/>
      <c r="E89" s="18" t="n"/>
      <c r="F89" s="18" t="n"/>
      <c r="G89" s="18" t="n"/>
      <c r="H89" s="18" t="n"/>
      <c r="I89" s="18" t="n"/>
    </row>
    <row r="90">
      <c r="A90" s="18" t="n"/>
      <c r="B90" s="18" t="n"/>
      <c r="C90" s="18" t="n"/>
      <c r="D90" s="18" t="n"/>
      <c r="E90" s="18" t="n"/>
      <c r="F90" s="18" t="n"/>
      <c r="G90" s="18" t="n"/>
      <c r="H90" s="18" t="n"/>
      <c r="I90" s="18" t="n"/>
    </row>
    <row r="91">
      <c r="A91" s="18" t="n"/>
      <c r="B91" s="18" t="n"/>
      <c r="C91" s="18" t="n"/>
      <c r="D91" s="18" t="n"/>
      <c r="E91" s="18" t="n"/>
      <c r="F91" s="18" t="n"/>
      <c r="G91" s="18" t="n"/>
      <c r="H91" s="18" t="n"/>
      <c r="I91" s="18" t="n"/>
    </row>
    <row r="92">
      <c r="A92" s="18" t="n"/>
      <c r="B92" s="18" t="n"/>
      <c r="C92" s="18" t="n"/>
      <c r="D92" s="18" t="n"/>
      <c r="E92" s="18" t="n"/>
      <c r="F92" s="18" t="n"/>
      <c r="G92" s="18" t="n"/>
      <c r="H92" s="18" t="n"/>
      <c r="I92" s="18" t="n"/>
    </row>
    <row r="93">
      <c r="A93" s="18" t="n"/>
      <c r="B93" s="18" t="n"/>
      <c r="C93" s="18" t="n"/>
      <c r="D93" s="18" t="n"/>
      <c r="E93" s="18" t="n"/>
      <c r="F93" s="18" t="n"/>
      <c r="G93" s="18" t="n"/>
      <c r="H93" s="18" t="n"/>
      <c r="I93" s="18" t="n"/>
    </row>
    <row r="94">
      <c r="A94" s="18" t="n"/>
      <c r="B94" s="18" t="n"/>
      <c r="C94" s="18" t="n"/>
      <c r="D94" s="18" t="n"/>
      <c r="E94" s="18" t="n"/>
      <c r="F94" s="18" t="n"/>
      <c r="G94" s="18" t="n"/>
      <c r="H94" s="18" t="n"/>
      <c r="I94" s="18" t="n"/>
    </row>
    <row r="95">
      <c r="A95" s="18" t="n"/>
      <c r="B95" s="18" t="n"/>
      <c r="C95" s="18" t="n"/>
      <c r="D95" s="18" t="n"/>
      <c r="E95" s="18" t="n"/>
      <c r="F95" s="18" t="n"/>
      <c r="G95" s="18" t="n"/>
      <c r="H95" s="18" t="n"/>
      <c r="I95" s="18" t="n"/>
    </row>
    <row r="96">
      <c r="A96" s="18" t="n"/>
      <c r="B96" s="18" t="n"/>
      <c r="C96" s="18" t="n"/>
      <c r="D96" s="18" t="n"/>
      <c r="E96" s="18" t="n"/>
      <c r="F96" s="18" t="n"/>
      <c r="G96" s="18" t="n"/>
      <c r="H96" s="18" t="n"/>
      <c r="I96" s="18" t="n"/>
    </row>
    <row r="97">
      <c r="A97" s="18" t="n"/>
      <c r="B97" s="18" t="n"/>
      <c r="C97" s="18" t="n"/>
      <c r="D97" s="18" t="n"/>
      <c r="E97" s="18" t="n"/>
      <c r="F97" s="18" t="n"/>
      <c r="G97" s="18" t="n"/>
      <c r="H97" s="18" t="n"/>
      <c r="I97" s="18" t="n"/>
    </row>
    <row r="98">
      <c r="A98" s="18" t="n"/>
      <c r="B98" s="18" t="n"/>
      <c r="C98" s="18" t="n"/>
      <c r="D98" s="18" t="n"/>
      <c r="E98" s="18" t="n"/>
      <c r="F98" s="18" t="n"/>
      <c r="G98" s="18" t="n"/>
      <c r="H98" s="18" t="n"/>
      <c r="I98" s="18" t="n"/>
    </row>
    <row r="99">
      <c r="A99" s="18" t="n"/>
      <c r="B99" s="18" t="n"/>
      <c r="C99" s="18" t="n"/>
      <c r="D99" s="18" t="n"/>
      <c r="E99" s="18" t="n"/>
      <c r="F99" s="18" t="n"/>
      <c r="G99" s="18" t="n"/>
      <c r="H99" s="18" t="n"/>
      <c r="I99" s="18" t="n"/>
    </row>
    <row r="100">
      <c r="A100" s="18" t="n"/>
      <c r="B100" s="18" t="n"/>
      <c r="C100" s="18" t="n"/>
      <c r="D100" s="18" t="n"/>
      <c r="E100" s="18" t="n"/>
      <c r="F100" s="18" t="n"/>
      <c r="G100" s="18" t="n"/>
      <c r="H100" s="18" t="n"/>
      <c r="I100" s="18" t="n"/>
    </row>
    <row r="101">
      <c r="A101" s="18" t="n"/>
      <c r="B101" s="18" t="n"/>
      <c r="C101" s="18" t="n"/>
      <c r="D101" s="18" t="n"/>
      <c r="E101" s="18" t="n"/>
      <c r="F101" s="18" t="n"/>
      <c r="G101" s="18" t="n"/>
      <c r="H101" s="18" t="n"/>
      <c r="I101" s="18" t="n"/>
    </row>
    <row r="102">
      <c r="A102" s="18" t="n"/>
      <c r="B102" s="18" t="n"/>
      <c r="C102" s="18" t="n"/>
      <c r="D102" s="18" t="n"/>
      <c r="E102" s="18" t="n"/>
      <c r="F102" s="18" t="n"/>
      <c r="G102" s="18" t="n"/>
      <c r="H102" s="18" t="n"/>
      <c r="I102" s="18" t="n"/>
    </row>
    <row r="103">
      <c r="A103" s="18" t="n"/>
      <c r="B103" s="18" t="n"/>
      <c r="C103" s="18" t="n"/>
      <c r="D103" s="18" t="n"/>
      <c r="E103" s="18" t="n"/>
      <c r="F103" s="18" t="n"/>
      <c r="G103" s="18" t="n"/>
      <c r="H103" s="18" t="n"/>
      <c r="I103" s="18" t="n"/>
    </row>
    <row r="104">
      <c r="A104" s="18" t="n"/>
      <c r="B104" s="18" t="n"/>
      <c r="C104" s="18" t="n"/>
      <c r="D104" s="18" t="n"/>
      <c r="E104" s="18" t="n"/>
      <c r="F104" s="18" t="n"/>
      <c r="G104" s="18" t="n"/>
      <c r="H104" s="18" t="n"/>
      <c r="I104" s="18" t="n"/>
    </row>
    <row r="105">
      <c r="A105" s="18" t="n"/>
      <c r="B105" s="18" t="n"/>
      <c r="C105" s="18" t="n"/>
      <c r="D105" s="18" t="n"/>
      <c r="E105" s="18" t="n"/>
      <c r="F105" s="18" t="n"/>
      <c r="G105" s="18" t="n"/>
      <c r="H105" s="18" t="n"/>
      <c r="I105" s="18" t="n"/>
    </row>
    <row r="106">
      <c r="A106" s="18" t="n"/>
      <c r="B106" s="18" t="n"/>
      <c r="C106" s="18" t="n"/>
      <c r="D106" s="18" t="n"/>
      <c r="E106" s="18" t="n"/>
      <c r="F106" s="18" t="n"/>
      <c r="G106" s="18" t="n"/>
      <c r="H106" s="18" t="n"/>
      <c r="I106" s="18" t="n"/>
    </row>
    <row r="107">
      <c r="A107" s="18" t="n"/>
      <c r="B107" s="18" t="n"/>
      <c r="C107" s="18" t="n"/>
      <c r="D107" s="18" t="n"/>
      <c r="E107" s="18" t="n"/>
      <c r="F107" s="18" t="n"/>
      <c r="G107" s="18" t="n"/>
      <c r="H107" s="18" t="n"/>
      <c r="I107" s="18" t="n"/>
    </row>
    <row r="108">
      <c r="A108" s="18" t="n"/>
      <c r="B108" s="18" t="n"/>
      <c r="C108" s="18" t="n"/>
      <c r="D108" s="18" t="n"/>
      <c r="E108" s="18" t="n"/>
      <c r="F108" s="18" t="n"/>
      <c r="G108" s="18" t="n"/>
      <c r="H108" s="18" t="n"/>
      <c r="I108" s="18" t="n"/>
    </row>
    <row r="109">
      <c r="A109" s="18" t="n"/>
      <c r="B109" s="18" t="n"/>
      <c r="C109" s="18" t="n"/>
      <c r="D109" s="18" t="n"/>
      <c r="E109" s="18" t="n"/>
      <c r="F109" s="18" t="n"/>
      <c r="G109" s="18" t="n"/>
      <c r="H109" s="18" t="n"/>
      <c r="I109" s="18" t="n"/>
    </row>
    <row r="110">
      <c r="A110" s="18" t="n"/>
      <c r="B110" s="18" t="n"/>
      <c r="C110" s="18" t="n"/>
      <c r="D110" s="18" t="n"/>
      <c r="E110" s="18" t="n"/>
      <c r="F110" s="18" t="n"/>
      <c r="G110" s="18" t="n"/>
      <c r="H110" s="18" t="n"/>
      <c r="I110" s="18" t="n"/>
    </row>
    <row r="111">
      <c r="A111" s="18" t="n"/>
      <c r="B111" s="18" t="n"/>
      <c r="C111" s="18" t="n"/>
      <c r="D111" s="18" t="n"/>
      <c r="E111" s="18" t="n"/>
      <c r="F111" s="18" t="n"/>
      <c r="G111" s="18" t="n"/>
      <c r="H111" s="18" t="n"/>
      <c r="I111" s="18" t="n"/>
    </row>
    <row r="112">
      <c r="A112" s="18" t="n"/>
      <c r="B112" s="18" t="n"/>
      <c r="C112" s="18" t="n"/>
      <c r="D112" s="18" t="n"/>
      <c r="E112" s="18" t="n"/>
      <c r="F112" s="18" t="n"/>
      <c r="G112" s="18" t="n"/>
      <c r="H112" s="18" t="n"/>
      <c r="I112" s="18" t="n"/>
    </row>
    <row r="113">
      <c r="A113" s="18" t="n"/>
      <c r="B113" s="18" t="n"/>
      <c r="C113" s="18" t="n"/>
      <c r="D113" s="18" t="n"/>
      <c r="E113" s="18" t="n"/>
      <c r="F113" s="18" t="n"/>
      <c r="G113" s="18" t="n"/>
      <c r="H113" s="18" t="n"/>
      <c r="I113" s="18" t="n"/>
    </row>
    <row r="114">
      <c r="A114" s="18" t="n"/>
      <c r="B114" s="18" t="n"/>
      <c r="C114" s="18" t="n"/>
      <c r="D114" s="18" t="n"/>
      <c r="E114" s="18" t="n"/>
      <c r="F114" s="18" t="n"/>
      <c r="G114" s="18" t="n"/>
      <c r="H114" s="18" t="n"/>
      <c r="I114" s="18" t="n"/>
    </row>
    <row r="115">
      <c r="A115" s="18" t="n"/>
      <c r="B115" s="18" t="n"/>
      <c r="C115" s="18" t="n"/>
      <c r="D115" s="18" t="n"/>
      <c r="E115" s="18" t="n"/>
      <c r="F115" s="18" t="n"/>
      <c r="G115" s="18" t="n"/>
      <c r="H115" s="18" t="n"/>
      <c r="I115" s="18" t="n"/>
    </row>
    <row r="116">
      <c r="A116" s="18" t="n"/>
      <c r="B116" s="18" t="n"/>
      <c r="C116" s="18" t="n"/>
      <c r="D116" s="18" t="n"/>
      <c r="E116" s="18" t="n"/>
      <c r="F116" s="18" t="n"/>
      <c r="G116" s="18" t="n"/>
      <c r="H116" s="18" t="n"/>
      <c r="I116" s="18" t="n"/>
    </row>
    <row r="117">
      <c r="A117" s="18" t="n"/>
      <c r="B117" s="18" t="n"/>
      <c r="C117" s="18" t="n"/>
      <c r="D117" s="18" t="n"/>
      <c r="E117" s="18" t="n"/>
      <c r="F117" s="18" t="n"/>
      <c r="G117" s="18" t="n"/>
      <c r="H117" s="18" t="n"/>
      <c r="I117" s="18" t="n"/>
    </row>
    <row r="118">
      <c r="A118" s="18" t="n"/>
      <c r="B118" s="18" t="n"/>
      <c r="C118" s="18" t="n"/>
      <c r="D118" s="18" t="n"/>
      <c r="E118" s="18" t="n"/>
      <c r="F118" s="18" t="n"/>
      <c r="G118" s="18" t="n"/>
      <c r="H118" s="18" t="n"/>
      <c r="I118" s="18" t="n"/>
    </row>
    <row r="119">
      <c r="A119" s="18" t="n"/>
      <c r="B119" s="18" t="n"/>
      <c r="C119" s="18" t="n"/>
      <c r="D119" s="18" t="n"/>
      <c r="E119" s="18" t="n"/>
      <c r="F119" s="18" t="n"/>
      <c r="G119" s="18" t="n"/>
      <c r="H119" s="18" t="n"/>
      <c r="I119" s="18" t="n"/>
    </row>
    <row r="120">
      <c r="A120" s="18" t="n"/>
      <c r="B120" s="18" t="n"/>
      <c r="C120" s="18" t="n"/>
      <c r="D120" s="18" t="n"/>
      <c r="E120" s="18" t="n"/>
      <c r="F120" s="18" t="n"/>
      <c r="G120" s="18" t="n"/>
      <c r="H120" s="18" t="n"/>
      <c r="I120" s="18" t="n"/>
    </row>
    <row r="121">
      <c r="A121" s="18" t="n"/>
      <c r="B121" s="18" t="n"/>
      <c r="C121" s="18" t="n"/>
      <c r="D121" s="18" t="n"/>
      <c r="E121" s="18" t="n"/>
      <c r="F121" s="18" t="n"/>
      <c r="G121" s="18" t="n"/>
      <c r="H121" s="18" t="n"/>
      <c r="I121" s="18" t="n"/>
    </row>
    <row r="122">
      <c r="A122" s="18" t="n"/>
      <c r="B122" s="18" t="n"/>
      <c r="C122" s="18" t="n"/>
      <c r="D122" s="18" t="n"/>
      <c r="E122" s="18" t="n"/>
      <c r="F122" s="18" t="n"/>
      <c r="G122" s="18" t="n"/>
      <c r="H122" s="18" t="n"/>
      <c r="I122" s="18" t="n"/>
    </row>
    <row r="123">
      <c r="A123" s="18" t="n"/>
      <c r="B123" s="18" t="n"/>
      <c r="C123" s="18" t="n"/>
      <c r="D123" s="18" t="n"/>
      <c r="E123" s="18" t="n"/>
      <c r="F123" s="18" t="n"/>
      <c r="G123" s="18" t="n"/>
      <c r="H123" s="18" t="n"/>
      <c r="I123" s="18" t="n"/>
    </row>
    <row r="124">
      <c r="A124" s="18" t="n"/>
      <c r="B124" s="18" t="n"/>
      <c r="C124" s="18" t="n"/>
      <c r="D124" s="18" t="n"/>
      <c r="E124" s="18" t="n"/>
      <c r="F124" s="18" t="n"/>
      <c r="G124" s="18" t="n"/>
      <c r="H124" s="18" t="n"/>
      <c r="I124" s="18" t="n"/>
    </row>
    <row r="125">
      <c r="A125" s="18" t="n"/>
      <c r="B125" s="18" t="n"/>
      <c r="C125" s="18" t="n"/>
      <c r="D125" s="18" t="n"/>
      <c r="E125" s="18" t="n"/>
      <c r="F125" s="18" t="n"/>
      <c r="G125" s="18" t="n"/>
      <c r="H125" s="18" t="n"/>
      <c r="I125" s="18" t="n"/>
    </row>
    <row r="126">
      <c r="A126" s="18" t="n"/>
      <c r="B126" s="18" t="n"/>
      <c r="C126" s="18" t="n"/>
      <c r="D126" s="18" t="n"/>
      <c r="E126" s="18" t="n"/>
      <c r="F126" s="18" t="n"/>
      <c r="G126" s="18" t="n"/>
      <c r="H126" s="18" t="n"/>
      <c r="I126" s="18" t="n"/>
    </row>
    <row r="127">
      <c r="A127" s="18" t="n"/>
      <c r="B127" s="18" t="n"/>
      <c r="C127" s="18" t="n"/>
      <c r="D127" s="18" t="n"/>
      <c r="E127" s="18" t="n"/>
      <c r="F127" s="18" t="n"/>
      <c r="G127" s="18" t="n"/>
      <c r="H127" s="18" t="n"/>
      <c r="I127" s="18" t="n"/>
    </row>
    <row r="128">
      <c r="A128" s="18" t="n"/>
      <c r="B128" s="18" t="n"/>
      <c r="C128" s="18" t="n"/>
      <c r="D128" s="18" t="n"/>
      <c r="E128" s="18" t="n"/>
      <c r="F128" s="18" t="n"/>
      <c r="G128" s="18" t="n"/>
      <c r="H128" s="18" t="n"/>
      <c r="I128" s="18" t="n"/>
    </row>
    <row r="129">
      <c r="A129" s="18" t="n"/>
      <c r="B129" s="18" t="n"/>
      <c r="C129" s="18" t="n"/>
      <c r="D129" s="18" t="n"/>
      <c r="E129" s="18" t="n"/>
      <c r="F129" s="18" t="n"/>
      <c r="G129" s="18" t="n"/>
      <c r="H129" s="18" t="n"/>
      <c r="I129" s="18" t="n"/>
    </row>
    <row r="130">
      <c r="A130" s="18" t="n"/>
      <c r="B130" s="18" t="n"/>
      <c r="C130" s="18" t="n"/>
      <c r="D130" s="18" t="n"/>
      <c r="E130" s="18" t="n"/>
      <c r="F130" s="18" t="n"/>
      <c r="G130" s="18" t="n"/>
      <c r="H130" s="18" t="n"/>
      <c r="I130" s="18" t="n"/>
    </row>
    <row r="131">
      <c r="A131" s="18" t="n"/>
      <c r="B131" s="18" t="n"/>
      <c r="C131" s="18" t="n"/>
      <c r="D131" s="18" t="n"/>
      <c r="E131" s="18" t="n"/>
      <c r="F131" s="18" t="n"/>
      <c r="G131" s="18" t="n"/>
      <c r="H131" s="18" t="n"/>
      <c r="I131" s="18" t="n"/>
    </row>
    <row r="132">
      <c r="A132" s="18" t="n"/>
      <c r="B132" s="18" t="n"/>
      <c r="C132" s="18" t="n"/>
      <c r="D132" s="18" t="n"/>
      <c r="E132" s="18" t="n"/>
      <c r="F132" s="18" t="n"/>
      <c r="G132" s="18" t="n"/>
      <c r="H132" s="18" t="n"/>
      <c r="I132" s="18" t="n"/>
    </row>
    <row r="133">
      <c r="A133" s="18" t="n"/>
      <c r="B133" s="18" t="n"/>
      <c r="C133" s="18" t="n"/>
      <c r="D133" s="18" t="n"/>
      <c r="E133" s="18" t="n"/>
      <c r="F133" s="18" t="n"/>
      <c r="G133" s="18" t="n"/>
      <c r="H133" s="18" t="n"/>
      <c r="I133" s="18" t="n"/>
    </row>
    <row r="134">
      <c r="A134" s="18" t="n"/>
      <c r="B134" s="18" t="n"/>
      <c r="C134" s="18" t="n"/>
      <c r="D134" s="18" t="n"/>
      <c r="E134" s="18" t="n"/>
      <c r="F134" s="18" t="n"/>
      <c r="G134" s="18" t="n"/>
      <c r="H134" s="18" t="n"/>
      <c r="I134" s="18" t="n"/>
    </row>
    <row r="135">
      <c r="A135" s="18" t="n"/>
      <c r="B135" s="18" t="n"/>
      <c r="C135" s="18" t="n"/>
      <c r="D135" s="18" t="n"/>
      <c r="E135" s="18" t="n"/>
      <c r="F135" s="18" t="n"/>
      <c r="G135" s="18" t="n"/>
      <c r="H135" s="18" t="n"/>
      <c r="I135" s="18" t="n"/>
    </row>
    <row r="136">
      <c r="A136" s="18" t="n"/>
      <c r="B136" s="18" t="n"/>
      <c r="C136" s="18" t="n"/>
      <c r="D136" s="18" t="n"/>
      <c r="E136" s="18" t="n"/>
      <c r="F136" s="18" t="n"/>
      <c r="G136" s="18" t="n"/>
      <c r="H136" s="18" t="n"/>
      <c r="I136" s="18" t="n"/>
    </row>
    <row r="137">
      <c r="A137" s="18" t="n"/>
      <c r="B137" s="18" t="n"/>
      <c r="C137" s="18" t="n"/>
      <c r="D137" s="18" t="n"/>
      <c r="E137" s="18" t="n"/>
      <c r="F137" s="18" t="n"/>
      <c r="G137" s="18" t="n"/>
      <c r="H137" s="18" t="n"/>
      <c r="I137" s="18" t="n"/>
    </row>
    <row r="138">
      <c r="A138" s="18" t="n"/>
      <c r="B138" s="18" t="n"/>
      <c r="C138" s="18" t="n"/>
      <c r="D138" s="18" t="n"/>
      <c r="E138" s="18" t="n"/>
      <c r="F138" s="18" t="n"/>
      <c r="G138" s="18" t="n"/>
      <c r="H138" s="18" t="n"/>
      <c r="I138" s="18" t="n"/>
    </row>
    <row r="139">
      <c r="A139" s="18" t="n"/>
      <c r="B139" s="18" t="n"/>
      <c r="C139" s="18" t="n"/>
      <c r="D139" s="18" t="n"/>
      <c r="E139" s="18" t="n"/>
      <c r="F139" s="18" t="n"/>
      <c r="G139" s="18" t="n"/>
      <c r="H139" s="18" t="n"/>
      <c r="I139" s="18" t="n"/>
    </row>
    <row r="140">
      <c r="A140" s="18" t="n"/>
      <c r="B140" s="18" t="n"/>
      <c r="C140" s="18" t="n"/>
      <c r="D140" s="18" t="n"/>
      <c r="E140" s="18" t="n"/>
      <c r="F140" s="18" t="n"/>
      <c r="G140" s="18" t="n"/>
      <c r="H140" s="18" t="n"/>
      <c r="I140" s="18" t="n"/>
    </row>
    <row r="141">
      <c r="A141" s="18" t="n"/>
      <c r="B141" s="18" t="n"/>
      <c r="C141" s="18" t="n"/>
      <c r="D141" s="18" t="n"/>
      <c r="E141" s="18" t="n"/>
      <c r="F141" s="18" t="n"/>
      <c r="G141" s="18" t="n"/>
      <c r="H141" s="18" t="n"/>
      <c r="I141" s="18" t="n"/>
    </row>
    <row r="142">
      <c r="A142" s="18" t="n"/>
      <c r="B142" s="18" t="n"/>
      <c r="C142" s="18" t="n"/>
      <c r="D142" s="18" t="n"/>
      <c r="E142" s="18" t="n"/>
      <c r="F142" s="18" t="n"/>
      <c r="G142" s="18" t="n"/>
      <c r="H142" s="18" t="n"/>
      <c r="I142" s="18" t="n"/>
    </row>
    <row r="143">
      <c r="A143" s="18" t="n"/>
      <c r="B143" s="18" t="n"/>
      <c r="C143" s="18" t="n"/>
      <c r="D143" s="18" t="n"/>
      <c r="E143" s="18" t="n"/>
      <c r="F143" s="18" t="n"/>
      <c r="G143" s="18" t="n"/>
      <c r="H143" s="18" t="n"/>
      <c r="I143" s="18" t="n"/>
    </row>
    <row r="144">
      <c r="A144" s="18" t="n"/>
      <c r="B144" s="18" t="n"/>
      <c r="C144" s="18" t="n"/>
      <c r="D144" s="18" t="n"/>
      <c r="E144" s="18" t="n"/>
      <c r="F144" s="18" t="n"/>
      <c r="G144" s="18" t="n"/>
      <c r="H144" s="18" t="n"/>
      <c r="I144" s="18" t="n"/>
    </row>
    <row r="145">
      <c r="A145" s="18" t="n"/>
      <c r="B145" s="18" t="n"/>
      <c r="C145" s="18" t="n"/>
      <c r="D145" s="18" t="n"/>
      <c r="E145" s="18" t="n"/>
      <c r="F145" s="18" t="n"/>
      <c r="G145" s="18" t="n"/>
      <c r="H145" s="18" t="n"/>
      <c r="I145" s="18" t="n"/>
    </row>
    <row r="146">
      <c r="A146" s="18" t="n"/>
      <c r="B146" s="18" t="n"/>
      <c r="C146" s="18" t="n"/>
      <c r="D146" s="18" t="n"/>
      <c r="E146" s="18" t="n"/>
      <c r="F146" s="18" t="n"/>
      <c r="G146" s="18" t="n"/>
      <c r="H146" s="18" t="n"/>
      <c r="I146" s="18" t="n"/>
    </row>
    <row r="147">
      <c r="A147" s="18" t="n"/>
      <c r="B147" s="18" t="n"/>
      <c r="C147" s="18" t="n"/>
      <c r="D147" s="18" t="n"/>
      <c r="E147" s="18" t="n"/>
      <c r="F147" s="18" t="n"/>
      <c r="G147" s="18" t="n"/>
      <c r="H147" s="18" t="n"/>
      <c r="I147" s="18" t="n"/>
    </row>
    <row r="148">
      <c r="A148" s="18" t="n"/>
      <c r="B148" s="18" t="n"/>
      <c r="C148" s="18" t="n"/>
      <c r="D148" s="18" t="n"/>
      <c r="E148" s="18" t="n"/>
      <c r="F148" s="18" t="n"/>
      <c r="G148" s="18" t="n"/>
      <c r="H148" s="18" t="n"/>
      <c r="I148" s="18" t="n"/>
    </row>
    <row r="149">
      <c r="A149" s="18" t="n"/>
      <c r="B149" s="18" t="n"/>
      <c r="C149" s="18" t="n"/>
      <c r="D149" s="18" t="n"/>
      <c r="E149" s="18" t="n"/>
      <c r="F149" s="18" t="n"/>
      <c r="G149" s="18" t="n"/>
      <c r="H149" s="18" t="n"/>
      <c r="I149" s="18" t="n"/>
    </row>
    <row r="150">
      <c r="A150" s="18" t="n"/>
      <c r="B150" s="18" t="n"/>
      <c r="C150" s="18" t="n"/>
      <c r="D150" s="18" t="n"/>
      <c r="E150" s="18" t="n"/>
      <c r="F150" s="18" t="n"/>
      <c r="G150" s="18" t="n"/>
      <c r="H150" s="18" t="n"/>
      <c r="I150" s="18" t="n"/>
    </row>
    <row r="151">
      <c r="A151" s="18" t="n"/>
      <c r="B151" s="18" t="n"/>
      <c r="C151" s="18" t="n"/>
      <c r="D151" s="18" t="n"/>
      <c r="E151" s="18" t="n"/>
      <c r="F151" s="18" t="n"/>
      <c r="G151" s="18" t="n"/>
      <c r="H151" s="18" t="n"/>
      <c r="I151" s="18" t="n"/>
    </row>
    <row r="152">
      <c r="A152" s="18" t="n"/>
      <c r="B152" s="18" t="n"/>
      <c r="C152" s="18" t="n"/>
      <c r="D152" s="18" t="n"/>
      <c r="E152" s="18" t="n"/>
      <c r="F152" s="18" t="n"/>
      <c r="G152" s="18" t="n"/>
      <c r="H152" s="18" t="n"/>
      <c r="I152" s="18" t="n"/>
    </row>
    <row r="153">
      <c r="A153" s="18" t="n"/>
      <c r="B153" s="18" t="n"/>
      <c r="C153" s="18" t="n"/>
      <c r="D153" s="18" t="n"/>
      <c r="E153" s="18" t="n"/>
      <c r="F153" s="18" t="n"/>
      <c r="G153" s="18" t="n"/>
      <c r="H153" s="18" t="n"/>
      <c r="I153" s="18" t="n"/>
    </row>
    <row r="154">
      <c r="A154" s="18" t="n"/>
      <c r="B154" s="18" t="n"/>
      <c r="C154" s="18" t="n"/>
      <c r="D154" s="18" t="n"/>
      <c r="E154" s="18" t="n"/>
      <c r="F154" s="18" t="n"/>
      <c r="G154" s="18" t="n"/>
      <c r="H154" s="18" t="n"/>
      <c r="I154" s="18" t="n"/>
    </row>
    <row r="155">
      <c r="A155" s="18" t="n"/>
      <c r="B155" s="18" t="n"/>
      <c r="C155" s="18" t="n"/>
      <c r="D155" s="18" t="n"/>
      <c r="E155" s="18" t="n"/>
      <c r="F155" s="18" t="n"/>
      <c r="G155" s="18" t="n"/>
      <c r="H155" s="18" t="n"/>
      <c r="I155" s="18" t="n"/>
    </row>
    <row r="156">
      <c r="A156" s="18" t="n"/>
      <c r="B156" s="18" t="n"/>
      <c r="C156" s="18" t="n"/>
      <c r="D156" s="18" t="n"/>
      <c r="E156" s="18" t="n"/>
      <c r="F156" s="18" t="n"/>
      <c r="G156" s="18" t="n"/>
      <c r="H156" s="18" t="n"/>
      <c r="I156" s="18" t="n"/>
    </row>
    <row r="157">
      <c r="A157" s="18" t="n"/>
      <c r="B157" s="18" t="n"/>
      <c r="C157" s="18" t="n"/>
      <c r="D157" s="18" t="n"/>
      <c r="E157" s="18" t="n"/>
      <c r="F157" s="18" t="n"/>
      <c r="G157" s="18" t="n"/>
      <c r="H157" s="18" t="n"/>
      <c r="I157" s="18" t="n"/>
    </row>
    <row r="158">
      <c r="A158" s="18" t="n"/>
      <c r="B158" s="18" t="n"/>
      <c r="C158" s="18" t="n"/>
      <c r="D158" s="18" t="n"/>
      <c r="E158" s="18" t="n"/>
      <c r="F158" s="18" t="n"/>
      <c r="G158" s="18" t="n"/>
      <c r="H158" s="18" t="n"/>
      <c r="I158" s="18" t="n"/>
    </row>
    <row r="159">
      <c r="A159" s="18" t="n"/>
      <c r="B159" s="18" t="n"/>
      <c r="C159" s="18" t="n"/>
      <c r="D159" s="18" t="n"/>
      <c r="E159" s="18" t="n"/>
      <c r="F159" s="18" t="n"/>
      <c r="G159" s="18" t="n"/>
      <c r="H159" s="18" t="n"/>
      <c r="I159" s="18" t="n"/>
    </row>
    <row r="160">
      <c r="A160" s="18" t="n"/>
      <c r="B160" s="18" t="n"/>
      <c r="C160" s="18" t="n"/>
      <c r="D160" s="18" t="n"/>
      <c r="E160" s="18" t="n"/>
      <c r="F160" s="18" t="n"/>
      <c r="G160" s="18" t="n"/>
      <c r="H160" s="18" t="n"/>
      <c r="I160" s="18" t="n"/>
    </row>
    <row r="161">
      <c r="A161" s="18" t="n"/>
      <c r="B161" s="18" t="n"/>
      <c r="C161" s="18" t="n"/>
      <c r="D161" s="18" t="n"/>
      <c r="E161" s="18" t="n"/>
      <c r="F161" s="18" t="n"/>
      <c r="G161" s="18" t="n"/>
      <c r="H161" s="18" t="n"/>
      <c r="I161" s="18" t="n"/>
    </row>
    <row r="162">
      <c r="A162" s="18" t="n"/>
      <c r="B162" s="18" t="n"/>
      <c r="C162" s="18" t="n"/>
      <c r="D162" s="18" t="n"/>
      <c r="E162" s="18" t="n"/>
      <c r="F162" s="18" t="n"/>
      <c r="G162" s="18" t="n"/>
      <c r="H162" s="18" t="n"/>
      <c r="I162" s="18" t="n"/>
    </row>
    <row r="163">
      <c r="A163" s="18" t="n"/>
      <c r="B163" s="18" t="n"/>
      <c r="C163" s="18" t="n"/>
      <c r="D163" s="18" t="n"/>
      <c r="E163" s="18" t="n"/>
      <c r="F163" s="18" t="n"/>
      <c r="G163" s="18" t="n"/>
      <c r="H163" s="18" t="n"/>
      <c r="I163" s="18" t="n"/>
    </row>
    <row r="164">
      <c r="A164" s="18" t="n"/>
      <c r="B164" s="18" t="n"/>
      <c r="C164" s="18" t="n"/>
      <c r="D164" s="18" t="n"/>
      <c r="E164" s="18" t="n"/>
      <c r="F164" s="18" t="n"/>
      <c r="G164" s="18" t="n"/>
      <c r="H164" s="18" t="n"/>
      <c r="I164" s="18" t="n"/>
    </row>
    <row r="165">
      <c r="A165" s="18" t="n"/>
      <c r="B165" s="18" t="n"/>
      <c r="C165" s="18" t="n"/>
      <c r="D165" s="18" t="n"/>
      <c r="E165" s="18" t="n"/>
      <c r="F165" s="18" t="n"/>
      <c r="G165" s="18" t="n"/>
      <c r="H165" s="18" t="n"/>
      <c r="I165" s="18" t="n"/>
    </row>
    <row r="166">
      <c r="A166" s="18" t="n"/>
      <c r="B166" s="18" t="n"/>
      <c r="C166" s="18" t="n"/>
      <c r="D166" s="18" t="n"/>
      <c r="E166" s="18" t="n"/>
      <c r="F166" s="18" t="n"/>
      <c r="G166" s="18" t="n"/>
      <c r="H166" s="18" t="n"/>
      <c r="I166" s="18" t="n"/>
    </row>
    <row r="167">
      <c r="A167" s="18" t="n"/>
      <c r="B167" s="18" t="n"/>
      <c r="C167" s="18" t="n"/>
      <c r="D167" s="18" t="n"/>
      <c r="E167" s="18" t="n"/>
      <c r="F167" s="18" t="n"/>
      <c r="G167" s="18" t="n"/>
      <c r="H167" s="18" t="n"/>
      <c r="I167" s="18" t="n"/>
    </row>
    <row r="168">
      <c r="A168" s="18" t="n"/>
      <c r="B168" s="18" t="n"/>
      <c r="C168" s="18" t="n"/>
      <c r="D168" s="18" t="n"/>
      <c r="E168" s="18" t="n"/>
      <c r="F168" s="18" t="n"/>
      <c r="G168" s="18" t="n"/>
      <c r="H168" s="18" t="n"/>
      <c r="I168" s="18" t="n"/>
    </row>
    <row r="169">
      <c r="A169" s="18" t="n"/>
      <c r="B169" s="18" t="n"/>
      <c r="C169" s="18" t="n"/>
      <c r="D169" s="18" t="n"/>
      <c r="E169" s="18" t="n"/>
      <c r="F169" s="18" t="n"/>
      <c r="G169" s="18" t="n"/>
      <c r="H169" s="18" t="n"/>
      <c r="I169" s="18" t="n"/>
    </row>
    <row r="170">
      <c r="A170" s="18" t="n"/>
      <c r="B170" s="18" t="n"/>
      <c r="C170" s="18" t="n"/>
      <c r="D170" s="18" t="n"/>
      <c r="E170" s="18" t="n"/>
      <c r="F170" s="18" t="n"/>
      <c r="G170" s="18" t="n"/>
      <c r="H170" s="18" t="n"/>
      <c r="I170" s="18" t="n"/>
    </row>
    <row r="171">
      <c r="A171" s="18" t="n"/>
      <c r="B171" s="18" t="n"/>
      <c r="C171" s="18" t="n"/>
      <c r="D171" s="18" t="n"/>
      <c r="E171" s="18" t="n"/>
      <c r="F171" s="18" t="n"/>
      <c r="G171" s="18" t="n"/>
      <c r="H171" s="18" t="n"/>
      <c r="I171" s="18" t="n"/>
    </row>
    <row r="172">
      <c r="A172" s="18" t="n"/>
      <c r="B172" s="18" t="n"/>
      <c r="C172" s="18" t="n"/>
      <c r="D172" s="18" t="n"/>
      <c r="E172" s="18" t="n"/>
      <c r="F172" s="18" t="n"/>
      <c r="G172" s="18" t="n"/>
      <c r="H172" s="18" t="n"/>
      <c r="I172" s="18" t="n"/>
    </row>
    <row r="173">
      <c r="A173" s="18" t="n"/>
      <c r="B173" s="18" t="n"/>
      <c r="C173" s="18" t="n"/>
      <c r="D173" s="18" t="n"/>
      <c r="E173" s="18" t="n"/>
      <c r="F173" s="18" t="n"/>
      <c r="G173" s="18" t="n"/>
      <c r="H173" s="18" t="n"/>
      <c r="I173" s="18" t="n"/>
    </row>
    <row r="174">
      <c r="A174" s="18" t="n"/>
      <c r="B174" s="18" t="n"/>
      <c r="C174" s="18" t="n"/>
      <c r="D174" s="18" t="n"/>
      <c r="E174" s="18" t="n"/>
      <c r="F174" s="18" t="n"/>
      <c r="G174" s="18" t="n"/>
      <c r="H174" s="18" t="n"/>
      <c r="I174" s="18" t="n"/>
    </row>
    <row r="175">
      <c r="A175" s="18" t="n"/>
      <c r="B175" s="18" t="n"/>
      <c r="C175" s="18" t="n"/>
      <c r="D175" s="18" t="n"/>
      <c r="E175" s="18" t="n"/>
      <c r="F175" s="18" t="n"/>
      <c r="G175" s="18" t="n"/>
      <c r="H175" s="18" t="n"/>
      <c r="I175" s="18" t="n"/>
    </row>
    <row r="176">
      <c r="A176" s="18" t="n"/>
      <c r="B176" s="18" t="n"/>
      <c r="C176" s="18" t="n"/>
      <c r="D176" s="18" t="n"/>
      <c r="E176" s="18" t="n"/>
      <c r="F176" s="18" t="n"/>
      <c r="G176" s="18" t="n"/>
      <c r="H176" s="18" t="n"/>
      <c r="I176" s="18" t="n"/>
    </row>
    <row r="177">
      <c r="A177" s="18" t="n"/>
      <c r="B177" s="18" t="n"/>
      <c r="C177" s="18" t="n"/>
      <c r="D177" s="18" t="n"/>
      <c r="E177" s="18" t="n"/>
      <c r="F177" s="18" t="n"/>
      <c r="G177" s="18" t="n"/>
      <c r="H177" s="18" t="n"/>
      <c r="I177" s="18" t="n"/>
    </row>
    <row r="178">
      <c r="A178" s="18" t="n"/>
      <c r="B178" s="18" t="n"/>
      <c r="C178" s="18" t="n"/>
      <c r="D178" s="18" t="n"/>
      <c r="E178" s="18" t="n"/>
      <c r="F178" s="18" t="n"/>
      <c r="G178" s="18" t="n"/>
      <c r="H178" s="18" t="n"/>
      <c r="I178" s="18" t="n"/>
    </row>
    <row r="179">
      <c r="A179" s="18" t="n"/>
      <c r="B179" s="18" t="n"/>
      <c r="C179" s="18" t="n"/>
      <c r="D179" s="18" t="n"/>
      <c r="E179" s="18" t="n"/>
      <c r="F179" s="18" t="n"/>
      <c r="G179" s="18" t="n"/>
      <c r="H179" s="18" t="n"/>
      <c r="I179" s="18" t="n"/>
    </row>
    <row r="180">
      <c r="A180" s="18" t="n"/>
      <c r="B180" s="18" t="n"/>
      <c r="C180" s="18" t="n"/>
      <c r="D180" s="18" t="n"/>
      <c r="E180" s="18" t="n"/>
      <c r="F180" s="18" t="n"/>
      <c r="G180" s="18" t="n"/>
      <c r="H180" s="18" t="n"/>
      <c r="I180" s="18" t="n"/>
    </row>
    <row r="181">
      <c r="A181" s="18" t="n"/>
      <c r="B181" s="18" t="n"/>
      <c r="C181" s="18" t="n"/>
      <c r="D181" s="18" t="n"/>
      <c r="E181" s="18" t="n"/>
      <c r="F181" s="18" t="n"/>
      <c r="G181" s="18" t="n"/>
      <c r="H181" s="18" t="n"/>
      <c r="I181" s="18" t="n"/>
    </row>
    <row r="182">
      <c r="A182" s="18" t="n"/>
      <c r="B182" s="18" t="n"/>
      <c r="C182" s="18" t="n"/>
      <c r="D182" s="18" t="n"/>
      <c r="E182" s="18" t="n"/>
      <c r="F182" s="18" t="n"/>
      <c r="G182" s="18" t="n"/>
      <c r="H182" s="18" t="n"/>
      <c r="I182" s="18" t="n"/>
    </row>
    <row r="183">
      <c r="A183" s="18" t="n"/>
      <c r="B183" s="18" t="n"/>
      <c r="C183" s="18" t="n"/>
      <c r="D183" s="18" t="n"/>
      <c r="E183" s="18" t="n"/>
      <c r="F183" s="18" t="n"/>
      <c r="G183" s="18" t="n"/>
      <c r="H183" s="18" t="n"/>
      <c r="I183" s="18" t="n"/>
    </row>
    <row r="184">
      <c r="A184" s="18" t="n"/>
      <c r="B184" s="18" t="n"/>
      <c r="C184" s="18" t="n"/>
      <c r="D184" s="18" t="n"/>
      <c r="E184" s="18" t="n"/>
      <c r="F184" s="18" t="n"/>
      <c r="G184" s="18" t="n"/>
      <c r="H184" s="18" t="n"/>
      <c r="I184" s="18" t="n"/>
    </row>
    <row r="185">
      <c r="A185" s="18" t="n"/>
      <c r="B185" s="18" t="n"/>
      <c r="C185" s="18" t="n"/>
      <c r="D185" s="18" t="n"/>
      <c r="E185" s="18" t="n"/>
      <c r="F185" s="18" t="n"/>
      <c r="G185" s="18" t="n"/>
      <c r="H185" s="18" t="n"/>
      <c r="I185" s="18" t="n"/>
    </row>
    <row r="186">
      <c r="A186" s="18" t="n"/>
      <c r="B186" s="18" t="n"/>
      <c r="C186" s="18" t="n"/>
      <c r="D186" s="18" t="n"/>
      <c r="E186" s="18" t="n"/>
      <c r="F186" s="18" t="n"/>
      <c r="G186" s="18" t="n"/>
      <c r="H186" s="18" t="n"/>
      <c r="I186" s="18" t="n"/>
    </row>
    <row r="187">
      <c r="A187" s="18" t="n"/>
      <c r="B187" s="18" t="n"/>
      <c r="C187" s="18" t="n"/>
      <c r="D187" s="18" t="n"/>
      <c r="E187" s="18" t="n"/>
      <c r="F187" s="18" t="n"/>
      <c r="G187" s="18" t="n"/>
      <c r="H187" s="18" t="n"/>
      <c r="I187" s="18" t="n"/>
    </row>
    <row r="188">
      <c r="A188" s="18" t="n"/>
      <c r="B188" s="18" t="n"/>
      <c r="C188" s="18" t="n"/>
      <c r="D188" s="18" t="n"/>
      <c r="E188" s="18" t="n"/>
      <c r="F188" s="18" t="n"/>
      <c r="G188" s="18" t="n"/>
      <c r="H188" s="18" t="n"/>
      <c r="I188" s="18" t="n"/>
    </row>
    <row r="189">
      <c r="A189" s="18" t="n"/>
      <c r="B189" s="18" t="n"/>
      <c r="C189" s="18" t="n"/>
      <c r="D189" s="18" t="n"/>
      <c r="E189" s="18" t="n"/>
      <c r="F189" s="18" t="n"/>
      <c r="G189" s="18" t="n"/>
      <c r="H189" s="18" t="n"/>
      <c r="I189" s="18" t="n"/>
    </row>
    <row r="190">
      <c r="A190" s="18" t="n"/>
      <c r="B190" s="18" t="n"/>
      <c r="C190" s="18" t="n"/>
      <c r="D190" s="18" t="n"/>
      <c r="E190" s="18" t="n"/>
      <c r="F190" s="18" t="n"/>
      <c r="G190" s="18" t="n"/>
      <c r="H190" s="18" t="n"/>
      <c r="I190" s="18" t="n"/>
    </row>
    <row r="191">
      <c r="A191" s="18" t="n"/>
      <c r="B191" s="18" t="n"/>
      <c r="C191" s="18" t="n"/>
      <c r="D191" s="18" t="n"/>
      <c r="E191" s="18" t="n"/>
      <c r="F191" s="18" t="n"/>
      <c r="G191" s="18" t="n"/>
      <c r="H191" s="18" t="n"/>
      <c r="I191" s="18" t="n"/>
    </row>
    <row r="192">
      <c r="A192" s="18" t="n"/>
      <c r="B192" s="18" t="n"/>
      <c r="C192" s="18" t="n"/>
      <c r="D192" s="18" t="n"/>
      <c r="E192" s="18" t="n"/>
      <c r="F192" s="18" t="n"/>
      <c r="G192" s="18" t="n"/>
      <c r="H192" s="18" t="n"/>
      <c r="I192" s="18" t="n"/>
    </row>
    <row r="193">
      <c r="A193" s="18" t="n"/>
      <c r="B193" s="18" t="n"/>
      <c r="C193" s="18" t="n"/>
      <c r="D193" s="18" t="n"/>
      <c r="E193" s="18" t="n"/>
      <c r="F193" s="18" t="n"/>
      <c r="G193" s="18" t="n"/>
      <c r="H193" s="18" t="n"/>
      <c r="I193" s="18" t="n"/>
    </row>
    <row r="194">
      <c r="A194" s="18" t="n"/>
      <c r="B194" s="18" t="n"/>
      <c r="C194" s="18" t="n"/>
      <c r="D194" s="18" t="n"/>
      <c r="E194" s="18" t="n"/>
      <c r="F194" s="18" t="n"/>
      <c r="G194" s="18" t="n"/>
      <c r="H194" s="18" t="n"/>
      <c r="I194" s="18" t="n"/>
    </row>
    <row r="195">
      <c r="A195" s="18" t="n"/>
      <c r="B195" s="18" t="n"/>
      <c r="C195" s="18" t="n"/>
      <c r="D195" s="18" t="n"/>
      <c r="E195" s="18" t="n"/>
      <c r="F195" s="18" t="n"/>
      <c r="G195" s="18" t="n"/>
      <c r="H195" s="18" t="n"/>
      <c r="I195" s="18" t="n"/>
    </row>
    <row r="196">
      <c r="A196" s="18" t="n"/>
      <c r="B196" s="18" t="n"/>
      <c r="C196" s="18" t="n"/>
      <c r="D196" s="18" t="n"/>
      <c r="E196" s="18" t="n"/>
      <c r="F196" s="18" t="n"/>
      <c r="G196" s="18" t="n"/>
      <c r="H196" s="18" t="n"/>
      <c r="I196" s="18" t="n"/>
    </row>
    <row r="197">
      <c r="A197" s="18" t="n"/>
      <c r="B197" s="18" t="n"/>
      <c r="C197" s="18" t="n"/>
      <c r="D197" s="18" t="n"/>
      <c r="E197" s="18" t="n"/>
      <c r="F197" s="18" t="n"/>
      <c r="G197" s="18" t="n"/>
      <c r="H197" s="18" t="n"/>
      <c r="I197" s="18" t="n"/>
    </row>
    <row r="198">
      <c r="A198" s="18" t="n"/>
      <c r="B198" s="18" t="n"/>
      <c r="C198" s="18" t="n"/>
      <c r="D198" s="18" t="n"/>
      <c r="E198" s="18" t="n"/>
      <c r="F198" s="18" t="n"/>
      <c r="G198" s="18" t="n"/>
      <c r="H198" s="18" t="n"/>
      <c r="I198" s="18" t="n"/>
    </row>
    <row r="199">
      <c r="A199" s="18" t="n"/>
      <c r="B199" s="18" t="n"/>
      <c r="C199" s="18" t="n"/>
      <c r="D199" s="18" t="n"/>
      <c r="E199" s="18" t="n"/>
      <c r="F199" s="18" t="n"/>
      <c r="G199" s="18" t="n"/>
      <c r="H199" s="18" t="n"/>
      <c r="I199" s="18" t="n"/>
    </row>
    <row r="200">
      <c r="A200" s="18" t="n"/>
      <c r="B200" s="18" t="n"/>
      <c r="C200" s="18" t="n"/>
      <c r="D200" s="18" t="n"/>
      <c r="E200" s="18" t="n"/>
      <c r="F200" s="18" t="n"/>
      <c r="G200" s="18" t="n"/>
      <c r="H200" s="18" t="n"/>
      <c r="I200" s="18" t="n"/>
    </row>
    <row r="201">
      <c r="A201" s="18" t="n"/>
      <c r="B201" s="18" t="n"/>
      <c r="C201" s="18" t="n"/>
      <c r="D201" s="18" t="n"/>
      <c r="E201" s="18" t="n"/>
      <c r="F201" s="18" t="n"/>
      <c r="G201" s="18" t="n"/>
      <c r="H201" s="18" t="n"/>
      <c r="I201" s="18" t="n"/>
    </row>
    <row r="202">
      <c r="A202" s="18" t="n"/>
      <c r="B202" s="18" t="n"/>
      <c r="C202" s="18" t="n"/>
      <c r="D202" s="18" t="n"/>
      <c r="E202" s="18" t="n"/>
      <c r="F202" s="18" t="n"/>
      <c r="G202" s="18" t="n"/>
      <c r="H202" s="18" t="n"/>
      <c r="I202" s="18" t="n"/>
    </row>
    <row r="203">
      <c r="A203" s="18" t="n"/>
      <c r="B203" s="18" t="n"/>
      <c r="C203" s="18" t="n"/>
      <c r="D203" s="18" t="n"/>
      <c r="E203" s="18" t="n"/>
      <c r="F203" s="18" t="n"/>
      <c r="G203" s="18" t="n"/>
      <c r="H203" s="18" t="n"/>
      <c r="I203" s="18" t="n"/>
    </row>
    <row r="204">
      <c r="A204" s="18" t="n"/>
      <c r="B204" s="18" t="n"/>
      <c r="C204" s="18" t="n"/>
      <c r="D204" s="18" t="n"/>
      <c r="E204" s="18" t="n"/>
      <c r="F204" s="18" t="n"/>
      <c r="G204" s="18" t="n"/>
      <c r="H204" s="18" t="n"/>
      <c r="I204" s="18" t="n"/>
    </row>
  </sheetData>
  <dataValidations count="1">
    <dataValidation sqref="H5:H204" showDropDown="0" showInputMessage="0" showErrorMessage="0" allowBlank="0" type="list">
      <formula1>"已读取,待核实,缺失,不适用"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02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28" customWidth="1" min="4" max="4"/>
    <col width="24" customWidth="1" min="5" max="5"/>
    <col width="12" customWidth="1" min="6" max="6"/>
    <col width="17" customWidth="1" min="7" max="7"/>
    <col width="48" customWidth="1" min="8" max="8"/>
    <col width="16" customWidth="1" min="9" max="9"/>
    <col width="20" customWidth="1" min="10" max="10"/>
    <col width="18" customWidth="1" min="11" max="11"/>
    <col width="20" customWidth="1" min="12" max="12"/>
    <col width="16" customWidth="1" min="13" max="13"/>
    <col width="34" customWidth="1" min="14" max="14"/>
    <col width="18" customWidth="1" min="15" max="15"/>
    <col width="18" customWidth="1" min="16" max="16"/>
  </cols>
  <sheetData>
    <row r="1" ht="24" customHeight="1">
      <c r="A1" s="1" t="inlineStr">
        <is>
          <t>模型过程</t>
        </is>
      </c>
    </row>
    <row r="2" ht="24" customHeight="1">
      <c r="A2" s="2" t="inlineStr">
        <is>
          <t>以作者实际计算过程为主骨架；设备操作默认写入内部操作说明。</t>
        </is>
      </c>
    </row>
    <row r="4" ht="28" customHeight="1">
      <c r="A4" s="14" t="inlineStr">
        <is>
          <t>过程ID</t>
        </is>
      </c>
      <c r="B4" s="15" t="inlineStr">
        <is>
          <t>产品系统</t>
        </is>
      </c>
      <c r="C4" s="15" t="inlineStr">
        <is>
          <t>功能车间</t>
        </is>
      </c>
      <c r="D4" s="15" t="inlineStr">
        <is>
          <t>模型过程原名</t>
        </is>
      </c>
      <c r="E4" s="15" t="inlineStr">
        <is>
          <t>中文名称</t>
        </is>
      </c>
      <c r="F4" s="15" t="inlineStr">
        <is>
          <t>流程顺序</t>
        </is>
      </c>
      <c r="G4" s="15" t="inlineStr">
        <is>
          <t>模型粒度</t>
        </is>
      </c>
      <c r="H4" s="15" t="inlineStr">
        <is>
          <t>内部操作说明</t>
        </is>
      </c>
      <c r="I4" s="15" t="inlineStr">
        <is>
          <t>主支线角色</t>
        </is>
      </c>
      <c r="J4" s="15" t="inlineStr">
        <is>
          <t>来源ID</t>
        </is>
      </c>
      <c r="K4" s="15" t="inlineStr">
        <is>
          <t>模型采用状态</t>
        </is>
      </c>
      <c r="L4" s="15" t="inlineStr">
        <is>
          <t>图中展开方式</t>
        </is>
      </c>
      <c r="M4" s="15" t="inlineStr">
        <is>
          <t>确认状态</t>
        </is>
      </c>
      <c r="N4" s="16" t="inlineStr">
        <is>
          <t>备注</t>
        </is>
      </c>
      <c r="O4" s="42" t="inlineStr">
        <is>
          <t>工艺骨架依据</t>
        </is>
      </c>
      <c r="P4" s="42" t="inlineStr">
        <is>
          <t>骨架确认决策ID</t>
        </is>
      </c>
    </row>
    <row r="5">
      <c r="A5" s="18" t="inlineStr">
        <is>
          <t>PR01</t>
        </is>
      </c>
      <c r="B5" s="18" t="inlineStr">
        <is>
          <t>乳清蛋白分级产品系统</t>
        </is>
      </c>
      <c r="C5" s="18" t="inlineStr">
        <is>
          <t>M1 收奶与分离</t>
        </is>
      </c>
      <c r="D5" s="18" t="inlineStr">
        <is>
          <t>Reception (8°C) → Cooling (8°C-4°C) → Storage (4°C)</t>
        </is>
      </c>
      <c r="E5" s="18" t="inlineStr">
        <is>
          <t>收奶冷却储存</t>
        </is>
      </c>
      <c r="F5" s="18" t="inlineStr">
        <is>
          <t>1</t>
        </is>
      </c>
      <c r="G5" s="18" t="inlineStr">
        <is>
          <t>单元操作</t>
        </is>
      </c>
      <c r="H5" s="18" t="inlineStr"/>
      <c r="I5" s="18" t="inlineStr">
        <is>
          <t>主线</t>
        </is>
      </c>
      <c r="J5" s="18" t="inlineStr">
        <is>
          <t>SRC-PDF</t>
        </is>
      </c>
      <c r="K5" s="18" t="inlineStr">
        <is>
          <t>采用（草稿）</t>
        </is>
      </c>
      <c r="L5" s="18" t="inlineStr">
        <is>
          <t>单操作框</t>
        </is>
      </c>
      <c r="M5" s="18" t="inlineStr">
        <is>
          <t>草稿</t>
        </is>
      </c>
      <c r="N5" s="18" t="inlineStr">
        <is>
          <t>骨架依据：SRC-PDF p1 步骤1框</t>
        </is>
      </c>
      <c r="O5" t="inlineStr">
        <is>
          <t>SRC-RAW 01_* 步骤表＋SRC-PDF p1 步骤框</t>
        </is>
      </c>
      <c r="P5" t="inlineStr">
        <is>
          <t>D-A2（用户2026-09-27确认）</t>
        </is>
      </c>
    </row>
    <row r="6">
      <c r="A6" s="18" t="inlineStr">
        <is>
          <t>PR02</t>
        </is>
      </c>
      <c r="B6" s="18" t="inlineStr">
        <is>
          <t>乳清蛋白分级产品系统</t>
        </is>
      </c>
      <c r="C6" s="18" t="inlineStr">
        <is>
          <t>M1 收奶与分离</t>
        </is>
      </c>
      <c r="D6" s="18" t="inlineStr">
        <is>
          <t>Milk skimming (50°C)</t>
        </is>
      </c>
      <c r="E6" s="18" t="inlineStr">
        <is>
          <t>奶脂离心分离</t>
        </is>
      </c>
      <c r="F6" s="18" t="inlineStr">
        <is>
          <t>2</t>
        </is>
      </c>
      <c r="G6" s="18" t="inlineStr">
        <is>
          <t>单元操作</t>
        </is>
      </c>
      <c r="H6" s="18" t="inlineStr"/>
      <c r="I6" s="18" t="inlineStr">
        <is>
          <t>主线</t>
        </is>
      </c>
      <c r="J6" s="18" t="inlineStr">
        <is>
          <t>SRC-PDF</t>
        </is>
      </c>
      <c r="K6" s="18" t="inlineStr">
        <is>
          <t>采用（草稿）</t>
        </is>
      </c>
      <c r="L6" s="18" t="inlineStr">
        <is>
          <t>单操作框</t>
        </is>
      </c>
      <c r="M6" s="18" t="inlineStr">
        <is>
          <t>草稿</t>
        </is>
      </c>
      <c r="N6" s="18" t="inlineStr">
        <is>
          <t>骨架依据：SRC-PDF p1 步骤2框</t>
        </is>
      </c>
      <c r="O6" t="inlineStr">
        <is>
          <t>SRC-RAW 02_* 步骤表＋SRC-PDF p1 步骤框</t>
        </is>
      </c>
      <c r="P6" t="inlineStr">
        <is>
          <t>D-A2（用户2026-09-27确认）</t>
        </is>
      </c>
    </row>
    <row r="7">
      <c r="A7" s="18" t="inlineStr">
        <is>
          <t>PR03</t>
        </is>
      </c>
      <c r="B7" s="18" t="inlineStr">
        <is>
          <t>乳清蛋白分级产品系统</t>
        </is>
      </c>
      <c r="C7" s="18" t="inlineStr">
        <is>
          <t>M1 收奶与分离</t>
        </is>
      </c>
      <c r="D7" s="18" t="inlineStr">
        <is>
          <t>Cream cooling (50°C-8°C) → Storage (8°C)</t>
        </is>
      </c>
      <c r="E7" s="18" t="inlineStr">
        <is>
          <t>奶油冷却储存</t>
        </is>
      </c>
      <c r="F7" s="18" t="inlineStr">
        <is>
          <t>3</t>
        </is>
      </c>
      <c r="G7" s="18" t="inlineStr">
        <is>
          <t>单元操作</t>
        </is>
      </c>
      <c r="H7" s="18" t="inlineStr"/>
      <c r="I7" s="18" t="inlineStr">
        <is>
          <t>支线（奶油）</t>
        </is>
      </c>
      <c r="J7" s="18" t="inlineStr">
        <is>
          <t>SRC-PDF</t>
        </is>
      </c>
      <c r="K7" s="18" t="inlineStr">
        <is>
          <t>采用（草稿）</t>
        </is>
      </c>
      <c r="L7" s="18" t="inlineStr">
        <is>
          <t>单操作框</t>
        </is>
      </c>
      <c r="M7" s="18" t="inlineStr">
        <is>
          <t>草稿</t>
        </is>
      </c>
      <c r="N7" s="18" t="inlineStr">
        <is>
          <t>骨架依据：SRC-PDF p1 步骤3框</t>
        </is>
      </c>
      <c r="O7" t="inlineStr">
        <is>
          <t>SRC-RAW 03_* 步骤表＋SRC-PDF p1 步骤框</t>
        </is>
      </c>
      <c r="P7" t="inlineStr">
        <is>
          <t>D-A2（用户2026-09-27确认）</t>
        </is>
      </c>
    </row>
    <row r="8">
      <c r="A8" s="18" t="inlineStr">
        <is>
          <t>PR04</t>
        </is>
      </c>
      <c r="B8" s="18" t="inlineStr">
        <is>
          <t>乳清蛋白分级产品系统</t>
        </is>
      </c>
      <c r="C8" s="18" t="inlineStr">
        <is>
          <t>M1 收奶与分离</t>
        </is>
      </c>
      <c r="D8" s="18" t="inlineStr">
        <is>
          <t>Pasteurization (72°C-20s) → Cooling (72°C-6°C) → Storage (6°C)</t>
        </is>
      </c>
      <c r="E8" s="18" t="inlineStr">
        <is>
          <t>脱脂奶巴氏杀菌冷却储存</t>
        </is>
      </c>
      <c r="F8" s="18" t="inlineStr">
        <is>
          <t>4</t>
        </is>
      </c>
      <c r="G8" s="18" t="inlineStr">
        <is>
          <t>单元操作</t>
        </is>
      </c>
      <c r="H8" s="18" t="inlineStr"/>
      <c r="I8" s="18" t="inlineStr">
        <is>
          <t>主线</t>
        </is>
      </c>
      <c r="J8" s="18" t="inlineStr">
        <is>
          <t>SRC-PDF</t>
        </is>
      </c>
      <c r="K8" s="18" t="inlineStr">
        <is>
          <t>采用（草稿）</t>
        </is>
      </c>
      <c r="L8" s="18" t="inlineStr">
        <is>
          <t>单操作框</t>
        </is>
      </c>
      <c r="M8" s="18" t="inlineStr">
        <is>
          <t>草稿</t>
        </is>
      </c>
      <c r="N8" s="18" t="inlineStr">
        <is>
          <t>骨架依据：SRC-PDF p1 步骤4框</t>
        </is>
      </c>
      <c r="O8" t="inlineStr">
        <is>
          <t>SRC-RAW 04_* 步骤表＋SRC-PDF p1 步骤框</t>
        </is>
      </c>
      <c r="P8" t="inlineStr">
        <is>
          <t>D-A2（用户2026-09-27确认）</t>
        </is>
      </c>
    </row>
    <row r="9">
      <c r="A9" s="18" t="inlineStr">
        <is>
          <t>PR05</t>
        </is>
      </c>
      <c r="B9" s="18" t="inlineStr">
        <is>
          <t>乳清蛋白分级产品系统</t>
        </is>
      </c>
      <c r="C9" s="18" t="inlineStr">
        <is>
          <t>M2 牛奶蛋白分级</t>
        </is>
      </c>
      <c r="D9" s="18" t="inlineStr">
        <is>
          <t>Heating (6°C-50°C) + Fractionation of milk proteins (MF–0.1μm), MF1 FRV=3</t>
        </is>
      </c>
      <c r="E9" s="18" t="inlineStr">
        <is>
          <t>牛奶蛋白微滤分级</t>
        </is>
      </c>
      <c r="F9" s="18" t="inlineStr">
        <is>
          <t>5</t>
        </is>
      </c>
      <c r="G9" s="18" t="inlineStr">
        <is>
          <t>单元操作</t>
        </is>
      </c>
      <c r="H9" s="18" t="inlineStr"/>
      <c r="I9" s="18" t="inlineStr">
        <is>
          <t>主线</t>
        </is>
      </c>
      <c r="J9" s="18" t="inlineStr">
        <is>
          <t>SRC-PDF</t>
        </is>
      </c>
      <c r="K9" s="18" t="inlineStr">
        <is>
          <t>采用（草稿）</t>
        </is>
      </c>
      <c r="L9" s="18" t="inlineStr">
        <is>
          <t>单操作框</t>
        </is>
      </c>
      <c r="M9" s="18" t="inlineStr">
        <is>
          <t>草稿</t>
        </is>
      </c>
      <c r="N9" s="18" t="inlineStr">
        <is>
          <t>骨架依据：SRC-PDF p1 步骤5框</t>
        </is>
      </c>
      <c r="O9" t="inlineStr">
        <is>
          <t>SRC-RAW 05_* 步骤表＋SRC-PDF p1 步骤框</t>
        </is>
      </c>
      <c r="P9" t="inlineStr">
        <is>
          <t>D-A2（用户2026-09-27确认）</t>
        </is>
      </c>
    </row>
    <row r="10">
      <c r="A10" s="18" t="inlineStr">
        <is>
          <t>PR06</t>
        </is>
      </c>
      <c r="B10" s="18" t="inlineStr">
        <is>
          <t>乳清蛋白分级产品系统</t>
        </is>
      </c>
      <c r="C10" s="18" t="inlineStr">
        <is>
          <t>M2 牛奶蛋白分级</t>
        </is>
      </c>
      <c r="D10" s="18" t="inlineStr">
        <is>
          <t>Retentate cooling (50°C-4°C) → Storage (4°C)</t>
        </is>
      </c>
      <c r="E10" s="18" t="inlineStr">
        <is>
          <t>胶束酪蛋白冷却储存</t>
        </is>
      </c>
      <c r="F10" s="18" t="inlineStr">
        <is>
          <t>6</t>
        </is>
      </c>
      <c r="G10" s="18" t="inlineStr">
        <is>
          <t>单元操作</t>
        </is>
      </c>
      <c r="H10" s="18" t="inlineStr"/>
      <c r="I10" s="18" t="inlineStr">
        <is>
          <t>支线（胶束酪蛋白）</t>
        </is>
      </c>
      <c r="J10" s="18" t="inlineStr">
        <is>
          <t>SRC-PDF</t>
        </is>
      </c>
      <c r="K10" s="18" t="inlineStr">
        <is>
          <t>采用（草稿）</t>
        </is>
      </c>
      <c r="L10" s="18" t="inlineStr">
        <is>
          <t>单操作框</t>
        </is>
      </c>
      <c r="M10" s="18" t="inlineStr">
        <is>
          <t>草稿</t>
        </is>
      </c>
      <c r="N10" s="18" t="inlineStr">
        <is>
          <t>骨架依据：SRC-PDF p1 步骤6框</t>
        </is>
      </c>
      <c r="O10" t="inlineStr">
        <is>
          <t>SRC-RAW 06_* 步骤表＋SRC-PDF p1 步骤框</t>
        </is>
      </c>
      <c r="P10" t="inlineStr">
        <is>
          <t>D-A2（用户2026-09-27确认）</t>
        </is>
      </c>
    </row>
    <row r="11">
      <c r="A11" s="18" t="inlineStr">
        <is>
          <t>PR07</t>
        </is>
      </c>
      <c r="B11" s="18" t="inlineStr">
        <is>
          <t>乳清蛋白分级产品系统</t>
        </is>
      </c>
      <c r="C11" s="18" t="inlineStr">
        <is>
          <t>M2 牛奶蛋白分级</t>
        </is>
      </c>
      <c r="D11" s="18" t="inlineStr">
        <is>
          <t>Whey cooling (50°C-15°C) → Storage (15°C)</t>
        </is>
      </c>
      <c r="E11" s="18" t="inlineStr">
        <is>
          <t>乳清冷却储存</t>
        </is>
      </c>
      <c r="F11" s="18" t="inlineStr">
        <is>
          <t>7</t>
        </is>
      </c>
      <c r="G11" s="18" t="inlineStr">
        <is>
          <t>单元操作</t>
        </is>
      </c>
      <c r="H11" s="18" t="inlineStr"/>
      <c r="I11" s="18" t="inlineStr">
        <is>
          <t>主线</t>
        </is>
      </c>
      <c r="J11" s="18" t="inlineStr">
        <is>
          <t>SRC-PDF</t>
        </is>
      </c>
      <c r="K11" s="18" t="inlineStr">
        <is>
          <t>采用（草稿）</t>
        </is>
      </c>
      <c r="L11" s="18" t="inlineStr">
        <is>
          <t>单操作框</t>
        </is>
      </c>
      <c r="M11" s="18" t="inlineStr">
        <is>
          <t>草稿</t>
        </is>
      </c>
      <c r="N11" s="18" t="inlineStr">
        <is>
          <t>骨架依据：SRC-PDF p1 步骤7框</t>
        </is>
      </c>
      <c r="O11" t="inlineStr">
        <is>
          <t>SRC-RAW 07_* 步骤表＋SRC-PDF p1 步骤框</t>
        </is>
      </c>
      <c r="P11" t="inlineStr">
        <is>
          <t>D-A2（用户2026-09-27确认）</t>
        </is>
      </c>
    </row>
    <row r="12">
      <c r="A12" s="18" t="inlineStr">
        <is>
          <t>PR08</t>
        </is>
      </c>
      <c r="B12" s="18" t="inlineStr">
        <is>
          <t>乳清蛋白分级产品系统</t>
        </is>
      </c>
      <c r="C12" s="18" t="inlineStr">
        <is>
          <t>M3 乳清蛋白浓缩</t>
        </is>
      </c>
      <c r="D12" s="18" t="inlineStr">
        <is>
          <t>Concentration of whey proteins (UF10 + diafiltration)，水 63 m³/j</t>
        </is>
      </c>
      <c r="E12" s="18" t="inlineStr">
        <is>
          <t>乳清蛋白超滤浓缩透析</t>
        </is>
      </c>
      <c r="F12" s="18" t="inlineStr">
        <is>
          <t>8</t>
        </is>
      </c>
      <c r="G12" s="18" t="inlineStr">
        <is>
          <t>单元操作</t>
        </is>
      </c>
      <c r="H12" s="18" t="inlineStr"/>
      <c r="I12" s="18" t="inlineStr">
        <is>
          <t>主线</t>
        </is>
      </c>
      <c r="J12" s="18" t="inlineStr">
        <is>
          <t>SRC-PDF</t>
        </is>
      </c>
      <c r="K12" s="18" t="inlineStr">
        <is>
          <t>采用（草稿）</t>
        </is>
      </c>
      <c r="L12" s="18" t="inlineStr">
        <is>
          <t>单操作框</t>
        </is>
      </c>
      <c r="M12" s="18" t="inlineStr">
        <is>
          <t>草稿</t>
        </is>
      </c>
      <c r="N12" s="18" t="inlineStr">
        <is>
          <t>骨架依据：SRC-PDF p1 步骤8框</t>
        </is>
      </c>
      <c r="O12" t="inlineStr">
        <is>
          <t>SRC-RAW 08_* 步骤表＋SRC-PDF p1 步骤框</t>
        </is>
      </c>
      <c r="P12" t="inlineStr">
        <is>
          <t>D-A2（用户2026-09-27确认）</t>
        </is>
      </c>
    </row>
    <row r="13">
      <c r="A13" s="18" t="inlineStr">
        <is>
          <t>PR09</t>
        </is>
      </c>
      <c r="B13" s="18" t="inlineStr">
        <is>
          <t>乳清蛋白分级产品系统</t>
        </is>
      </c>
      <c r="C13" s="18" t="inlineStr">
        <is>
          <t>M3 乳清蛋白浓缩</t>
        </is>
      </c>
      <c r="D13" s="18" t="inlineStr">
        <is>
          <t>Cooling (15°C-4°C)</t>
        </is>
      </c>
      <c r="E13" s="18" t="inlineStr">
        <is>
          <t>WPI冷却</t>
        </is>
      </c>
      <c r="F13" s="18" t="inlineStr">
        <is>
          <t>9</t>
        </is>
      </c>
      <c r="G13" s="18" t="inlineStr">
        <is>
          <t>单元操作</t>
        </is>
      </c>
      <c r="H13" s="18" t="inlineStr"/>
      <c r="I13" s="18" t="inlineStr">
        <is>
          <t>主线</t>
        </is>
      </c>
      <c r="J13" s="18" t="inlineStr">
        <is>
          <t>SRC-PDF</t>
        </is>
      </c>
      <c r="K13" s="18" t="inlineStr">
        <is>
          <t>采用（草稿）</t>
        </is>
      </c>
      <c r="L13" s="18" t="inlineStr">
        <is>
          <t>单操作框</t>
        </is>
      </c>
      <c r="M13" s="18" t="inlineStr">
        <is>
          <t>草稿</t>
        </is>
      </c>
      <c r="N13" s="18" t="inlineStr">
        <is>
          <t>骨架依据：SRC-PDF p1 步骤9框</t>
        </is>
      </c>
      <c r="O13" t="inlineStr">
        <is>
          <t>SRC-RAW 09_* 步骤表＋SRC-PDF p1 步骤框</t>
        </is>
      </c>
      <c r="P13" t="inlineStr">
        <is>
          <t>D-A2（用户2026-09-27确认）</t>
        </is>
      </c>
    </row>
    <row r="14">
      <c r="A14" s="18" t="inlineStr">
        <is>
          <t>PR10</t>
        </is>
      </c>
      <c r="B14" s="18" t="inlineStr">
        <is>
          <t>乳清蛋白分级产品系统</t>
        </is>
      </c>
      <c r="C14" s="18" t="inlineStr">
        <is>
          <t>M3 乳清蛋白浓缩</t>
        </is>
      </c>
      <c r="D14" s="18" t="inlineStr">
        <is>
          <t>Transport (4°C, 100 km) → Storage (4°C)</t>
        </is>
      </c>
      <c r="E14" s="18" t="inlineStr">
        <is>
          <t>WPI冷藏运输储存</t>
        </is>
      </c>
      <c r="F14" s="18" t="inlineStr">
        <is>
          <t>10</t>
        </is>
      </c>
      <c r="G14" s="18" t="inlineStr">
        <is>
          <t>单元操作</t>
        </is>
      </c>
      <c r="H14" s="18" t="inlineStr"/>
      <c r="I14" s="18" t="inlineStr">
        <is>
          <t>主线</t>
        </is>
      </c>
      <c r="J14" s="18" t="inlineStr">
        <is>
          <t>SRC-PDF</t>
        </is>
      </c>
      <c r="K14" s="18" t="inlineStr">
        <is>
          <t>采用（草稿）</t>
        </is>
      </c>
      <c r="L14" s="18" t="inlineStr">
        <is>
          <t>单操作框</t>
        </is>
      </c>
      <c r="M14" s="18" t="inlineStr">
        <is>
          <t>草稿</t>
        </is>
      </c>
      <c r="N14" s="18" t="inlineStr">
        <is>
          <t>骨架依据：SRC-PDF p1 步骤10框</t>
        </is>
      </c>
      <c r="O14" t="inlineStr">
        <is>
          <t>SRC-RAW 10_* 步骤表＋SRC-PDF p1 步骤框</t>
        </is>
      </c>
      <c r="P14" t="inlineStr">
        <is>
          <t>D-A2（用户2026-09-27确认）</t>
        </is>
      </c>
    </row>
    <row r="15">
      <c r="A15" s="18" t="inlineStr">
        <is>
          <t>PR11</t>
        </is>
      </c>
      <c r="B15" s="18" t="inlineStr">
        <is>
          <t>乳清蛋白分级产品系统</t>
        </is>
      </c>
      <c r="C15" s="18" t="inlineStr">
        <is>
          <t>M4 乳糖回收</t>
        </is>
      </c>
      <c r="D15" s="18" t="inlineStr">
        <is>
          <t>Concentration of lactose (RO) FRV=4.7</t>
        </is>
      </c>
      <c r="E15" s="18" t="inlineStr">
        <is>
          <t>乳糖反渗透浓缩</t>
        </is>
      </c>
      <c r="F15" s="18" t="inlineStr">
        <is>
          <t>11</t>
        </is>
      </c>
      <c r="G15" s="18" t="inlineStr">
        <is>
          <t>单元操作</t>
        </is>
      </c>
      <c r="H15" s="18" t="inlineStr"/>
      <c r="I15" s="18" t="inlineStr">
        <is>
          <t>支线（乳糖）</t>
        </is>
      </c>
      <c r="J15" s="18" t="inlineStr">
        <is>
          <t>SRC-PDF</t>
        </is>
      </c>
      <c r="K15" s="18" t="inlineStr">
        <is>
          <t>采用（草稿）</t>
        </is>
      </c>
      <c r="L15" s="18" t="inlineStr">
        <is>
          <t>单操作框</t>
        </is>
      </c>
      <c r="M15" s="18" t="inlineStr">
        <is>
          <t>草稿</t>
        </is>
      </c>
      <c r="N15" s="18" t="inlineStr">
        <is>
          <t>骨架依据：SRC-PDF p1 步骤11框</t>
        </is>
      </c>
      <c r="O15" t="inlineStr">
        <is>
          <t>SRC-RAW 11_* 步骤表＋SRC-PDF p1 步骤框</t>
        </is>
      </c>
      <c r="P15" t="inlineStr">
        <is>
          <t>D-A2（用户2026-09-27确认）</t>
        </is>
      </c>
    </row>
    <row r="16">
      <c r="A16" s="18" t="inlineStr">
        <is>
          <t>PR12</t>
        </is>
      </c>
      <c r="B16" s="18" t="inlineStr">
        <is>
          <t>乳清蛋白分级产品系统</t>
        </is>
      </c>
      <c r="C16" s="18" t="inlineStr">
        <is>
          <t>M4 乳糖回收</t>
        </is>
      </c>
      <c r="D16" s="18" t="inlineStr">
        <is>
          <t>Lactose cooling (15°C-4°C) → Storage (4°C)</t>
        </is>
      </c>
      <c r="E16" s="18" t="inlineStr">
        <is>
          <t>浓缩乳糖冷却储存</t>
        </is>
      </c>
      <c r="F16" s="18" t="inlineStr">
        <is>
          <t>12</t>
        </is>
      </c>
      <c r="G16" s="18" t="inlineStr">
        <is>
          <t>单元操作</t>
        </is>
      </c>
      <c r="H16" s="18" t="inlineStr"/>
      <c r="I16" s="18" t="inlineStr">
        <is>
          <t>支线（乳糖）</t>
        </is>
      </c>
      <c r="J16" s="18" t="inlineStr">
        <is>
          <t>SRC-PDF</t>
        </is>
      </c>
      <c r="K16" s="18" t="inlineStr">
        <is>
          <t>采用（草稿）</t>
        </is>
      </c>
      <c r="L16" s="18" t="inlineStr">
        <is>
          <t>单操作框</t>
        </is>
      </c>
      <c r="M16" s="18" t="inlineStr">
        <is>
          <t>草稿</t>
        </is>
      </c>
      <c r="N16" s="18" t="inlineStr">
        <is>
          <t>骨架依据：SRC-PDF p1 步骤12框</t>
        </is>
      </c>
      <c r="O16" t="inlineStr">
        <is>
          <t>SRC-RAW 12_* 步骤表＋SRC-PDF p1 步骤框</t>
        </is>
      </c>
      <c r="P16" t="inlineStr">
        <is>
          <t>D-A2（用户2026-09-27确认）</t>
        </is>
      </c>
    </row>
    <row r="17">
      <c r="A17" s="18" t="inlineStr">
        <is>
          <t>PR20</t>
        </is>
      </c>
      <c r="B17" s="18" t="inlineStr">
        <is>
          <t>乳清蛋白分级产品系统</t>
        </is>
      </c>
      <c r="C17" s="18" t="inlineStr">
        <is>
          <t>M5 污水处理</t>
        </is>
      </c>
      <c r="D17" s="18" t="inlineStr">
        <is>
          <t>20_Wastewater treatment</t>
        </is>
      </c>
      <c r="E17" s="18" t="inlineStr">
        <is>
          <t>清洗废水处理</t>
        </is>
      </c>
      <c r="F17" s="18" t="inlineStr">
        <is>
          <t>20</t>
        </is>
      </c>
      <c r="G17" s="18" t="inlineStr">
        <is>
          <t>单元操作</t>
        </is>
      </c>
      <c r="H17" s="18" t="inlineStr"/>
      <c r="I17" s="18" t="inlineStr">
        <is>
          <t>支线（三废处理）</t>
        </is>
      </c>
      <c r="J17" s="18" t="inlineStr">
        <is>
          <t>SRC-RAW</t>
        </is>
      </c>
      <c r="K17" s="18" t="inlineStr">
        <is>
          <t>采用（草稿）</t>
        </is>
      </c>
      <c r="L17" s="18" t="inlineStr">
        <is>
          <t>单操作框</t>
        </is>
      </c>
      <c r="M17" s="18" t="inlineStr">
        <is>
          <t>草稿</t>
        </is>
      </c>
      <c r="N17" s="18" t="inlineStr">
        <is>
          <t>背景过程标注（原文：taken from databases），清单值给出；进水191.7 m³/d来自清洗段汇总</t>
        </is>
      </c>
      <c r="O17" t="inlineStr">
        <is>
          <t>SRC-RAW 20_STEP 表</t>
        </is>
      </c>
      <c r="P17" t="inlineStr">
        <is>
          <t>D-A2（用户2026-09-27确认）</t>
        </is>
      </c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</row>
    <row r="47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</row>
    <row r="48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</row>
    <row r="49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</row>
    <row r="50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</row>
    <row r="5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</row>
    <row r="52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</row>
    <row r="53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</row>
    <row r="54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</row>
    <row r="55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</row>
    <row r="56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</row>
    <row r="57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</row>
    <row r="58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</row>
    <row r="59">
      <c r="A59" s="18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</row>
    <row r="60">
      <c r="A60" s="18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</row>
    <row r="61">
      <c r="A61" s="18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</row>
    <row r="62">
      <c r="A62" s="18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</row>
    <row r="63">
      <c r="A63" s="18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</row>
    <row r="64">
      <c r="A64" s="18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</row>
    <row r="65">
      <c r="A65" s="18" t="n"/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</row>
    <row r="66">
      <c r="A66" s="18" t="n"/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</row>
    <row r="67">
      <c r="A67" s="18" t="n"/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</row>
    <row r="68">
      <c r="A68" s="18" t="n"/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</row>
    <row r="69">
      <c r="A69" s="18" t="n"/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</row>
    <row r="70">
      <c r="A70" s="18" t="n"/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</row>
    <row r="71">
      <c r="A71" s="18" t="n"/>
      <c r="B71" s="18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</row>
    <row r="72">
      <c r="A72" s="18" t="n"/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</row>
    <row r="73">
      <c r="A73" s="18" t="n"/>
      <c r="B73" s="18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8" t="n"/>
    </row>
    <row r="74">
      <c r="A74" s="18" t="n"/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</row>
    <row r="75">
      <c r="A75" s="18" t="n"/>
      <c r="B75" s="18" t="n"/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8" t="n"/>
    </row>
    <row r="76">
      <c r="A76" s="18" t="n"/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</row>
    <row r="77">
      <c r="A77" s="18" t="n"/>
      <c r="B77" s="18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  <c r="L77" s="18" t="n"/>
      <c r="M77" s="18" t="n"/>
      <c r="N77" s="18" t="n"/>
    </row>
    <row r="78">
      <c r="A78" s="18" t="n"/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8" t="n"/>
    </row>
    <row r="79">
      <c r="A79" s="18" t="n"/>
      <c r="B79" s="18" t="n"/>
      <c r="C79" s="18" t="n"/>
      <c r="D79" s="18" t="n"/>
      <c r="E79" s="18" t="n"/>
      <c r="F79" s="18" t="n"/>
      <c r="G79" s="18" t="n"/>
      <c r="H79" s="18" t="n"/>
      <c r="I79" s="18" t="n"/>
      <c r="J79" s="18" t="n"/>
      <c r="K79" s="18" t="n"/>
      <c r="L79" s="18" t="n"/>
      <c r="M79" s="18" t="n"/>
      <c r="N79" s="18" t="n"/>
    </row>
    <row r="80">
      <c r="A80" s="18" t="n"/>
      <c r="B80" s="18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8" t="n"/>
      <c r="L80" s="18" t="n"/>
      <c r="M80" s="18" t="n"/>
      <c r="N80" s="18" t="n"/>
    </row>
    <row r="81">
      <c r="A81" s="18" t="n"/>
      <c r="B81" s="18" t="n"/>
      <c r="C81" s="18" t="n"/>
      <c r="D81" s="18" t="n"/>
      <c r="E81" s="18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8" t="n"/>
    </row>
    <row r="82">
      <c r="A82" s="18" t="n"/>
      <c r="B82" s="18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</row>
    <row r="83">
      <c r="A83" s="18" t="n"/>
      <c r="B83" s="18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  <c r="L83" s="18" t="n"/>
      <c r="M83" s="18" t="n"/>
      <c r="N83" s="18" t="n"/>
    </row>
    <row r="84">
      <c r="A84" s="18" t="n"/>
      <c r="B84" s="18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</row>
    <row r="85">
      <c r="A85" s="18" t="n"/>
      <c r="B85" s="18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8" t="n"/>
    </row>
    <row r="86">
      <c r="A86" s="18" t="n"/>
      <c r="B86" s="18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8" t="n"/>
      <c r="L86" s="18" t="n"/>
      <c r="M86" s="18" t="n"/>
      <c r="N86" s="18" t="n"/>
    </row>
    <row r="87">
      <c r="A87" s="18" t="n"/>
      <c r="B87" s="18" t="n"/>
      <c r="C87" s="18" t="n"/>
      <c r="D87" s="18" t="n"/>
      <c r="E87" s="18" t="n"/>
      <c r="F87" s="18" t="n"/>
      <c r="G87" s="18" t="n"/>
      <c r="H87" s="18" t="n"/>
      <c r="I87" s="18" t="n"/>
      <c r="J87" s="18" t="n"/>
      <c r="K87" s="18" t="n"/>
      <c r="L87" s="18" t="n"/>
      <c r="M87" s="18" t="n"/>
      <c r="N87" s="18" t="n"/>
    </row>
    <row r="88">
      <c r="A88" s="18" t="n"/>
      <c r="B88" s="18" t="n"/>
      <c r="C88" s="18" t="n"/>
      <c r="D88" s="18" t="n"/>
      <c r="E88" s="18" t="n"/>
      <c r="F88" s="18" t="n"/>
      <c r="G88" s="18" t="n"/>
      <c r="H88" s="18" t="n"/>
      <c r="I88" s="18" t="n"/>
      <c r="J88" s="18" t="n"/>
      <c r="K88" s="18" t="n"/>
      <c r="L88" s="18" t="n"/>
      <c r="M88" s="18" t="n"/>
      <c r="N88" s="18" t="n"/>
    </row>
    <row r="89">
      <c r="A89" s="18" t="n"/>
      <c r="B89" s="18" t="n"/>
      <c r="C89" s="18" t="n"/>
      <c r="D89" s="18" t="n"/>
      <c r="E89" s="18" t="n"/>
      <c r="F89" s="18" t="n"/>
      <c r="G89" s="18" t="n"/>
      <c r="H89" s="18" t="n"/>
      <c r="I89" s="18" t="n"/>
      <c r="J89" s="18" t="n"/>
      <c r="K89" s="18" t="n"/>
      <c r="L89" s="18" t="n"/>
      <c r="M89" s="18" t="n"/>
      <c r="N89" s="18" t="n"/>
    </row>
    <row r="90">
      <c r="A90" s="18" t="n"/>
      <c r="B90" s="18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8" t="n"/>
      <c r="L90" s="18" t="n"/>
      <c r="M90" s="18" t="n"/>
      <c r="N90" s="18" t="n"/>
    </row>
    <row r="91">
      <c r="A91" s="18" t="n"/>
      <c r="B91" s="18" t="n"/>
      <c r="C91" s="18" t="n"/>
      <c r="D91" s="18" t="n"/>
      <c r="E91" s="18" t="n"/>
      <c r="F91" s="18" t="n"/>
      <c r="G91" s="18" t="n"/>
      <c r="H91" s="18" t="n"/>
      <c r="I91" s="18" t="n"/>
      <c r="J91" s="18" t="n"/>
      <c r="K91" s="18" t="n"/>
      <c r="L91" s="18" t="n"/>
      <c r="M91" s="18" t="n"/>
      <c r="N91" s="18" t="n"/>
    </row>
    <row r="92">
      <c r="A92" s="18" t="n"/>
      <c r="B92" s="18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  <c r="L92" s="18" t="n"/>
      <c r="M92" s="18" t="n"/>
      <c r="N92" s="18" t="n"/>
    </row>
    <row r="93">
      <c r="A93" s="18" t="n"/>
      <c r="B93" s="18" t="n"/>
      <c r="C93" s="18" t="n"/>
      <c r="D93" s="18" t="n"/>
      <c r="E93" s="18" t="n"/>
      <c r="F93" s="18" t="n"/>
      <c r="G93" s="18" t="n"/>
      <c r="H93" s="18" t="n"/>
      <c r="I93" s="18" t="n"/>
      <c r="J93" s="18" t="n"/>
      <c r="K93" s="18" t="n"/>
      <c r="L93" s="18" t="n"/>
      <c r="M93" s="18" t="n"/>
      <c r="N93" s="18" t="n"/>
    </row>
    <row r="94">
      <c r="A94" s="18" t="n"/>
      <c r="B94" s="18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8" t="n"/>
      <c r="L94" s="18" t="n"/>
      <c r="M94" s="18" t="n"/>
      <c r="N94" s="18" t="n"/>
    </row>
    <row r="95">
      <c r="A95" s="18" t="n"/>
      <c r="B95" s="18" t="n"/>
      <c r="C95" s="18" t="n"/>
      <c r="D95" s="18" t="n"/>
      <c r="E95" s="18" t="n"/>
      <c r="F95" s="18" t="n"/>
      <c r="G95" s="18" t="n"/>
      <c r="H95" s="18" t="n"/>
      <c r="I95" s="18" t="n"/>
      <c r="J95" s="18" t="n"/>
      <c r="K95" s="18" t="n"/>
      <c r="L95" s="18" t="n"/>
      <c r="M95" s="18" t="n"/>
      <c r="N95" s="18" t="n"/>
    </row>
    <row r="96">
      <c r="A96" s="18" t="n"/>
      <c r="B96" s="18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8" t="n"/>
    </row>
    <row r="97">
      <c r="A97" s="18" t="n"/>
      <c r="B97" s="18" t="n"/>
      <c r="C97" s="18" t="n"/>
      <c r="D97" s="18" t="n"/>
      <c r="E97" s="18" t="n"/>
      <c r="F97" s="18" t="n"/>
      <c r="G97" s="18" t="n"/>
      <c r="H97" s="18" t="n"/>
      <c r="I97" s="18" t="n"/>
      <c r="J97" s="18" t="n"/>
      <c r="K97" s="18" t="n"/>
      <c r="L97" s="18" t="n"/>
      <c r="M97" s="18" t="n"/>
      <c r="N97" s="18" t="n"/>
    </row>
    <row r="98">
      <c r="A98" s="18" t="n"/>
      <c r="B98" s="18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  <c r="L98" s="18" t="n"/>
      <c r="M98" s="18" t="n"/>
      <c r="N98" s="18" t="n"/>
    </row>
    <row r="99">
      <c r="A99" s="18" t="n"/>
      <c r="B99" s="18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8" t="n"/>
      <c r="L99" s="18" t="n"/>
      <c r="M99" s="18" t="n"/>
      <c r="N99" s="18" t="n"/>
    </row>
    <row r="100">
      <c r="A100" s="18" t="n"/>
      <c r="B100" s="18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8" t="n"/>
      <c r="L100" s="18" t="n"/>
      <c r="M100" s="18" t="n"/>
      <c r="N100" s="18" t="n"/>
    </row>
    <row r="101">
      <c r="A101" s="18" t="n"/>
      <c r="B101" s="18" t="n"/>
      <c r="C101" s="18" t="n"/>
      <c r="D101" s="18" t="n"/>
      <c r="E101" s="18" t="n"/>
      <c r="F101" s="18" t="n"/>
      <c r="G101" s="18" t="n"/>
      <c r="H101" s="18" t="n"/>
      <c r="I101" s="18" t="n"/>
      <c r="J101" s="18" t="n"/>
      <c r="K101" s="18" t="n"/>
      <c r="L101" s="18" t="n"/>
      <c r="M101" s="18" t="n"/>
      <c r="N101" s="18" t="n"/>
    </row>
    <row r="102">
      <c r="A102" s="18" t="n"/>
      <c r="B102" s="18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8" t="n"/>
    </row>
    <row r="103">
      <c r="A103" s="18" t="n"/>
      <c r="B103" s="18" t="n"/>
      <c r="C103" s="18" t="n"/>
      <c r="D103" s="18" t="n"/>
      <c r="E103" s="18" t="n"/>
      <c r="F103" s="18" t="n"/>
      <c r="G103" s="18" t="n"/>
      <c r="H103" s="18" t="n"/>
      <c r="I103" s="18" t="n"/>
      <c r="J103" s="18" t="n"/>
      <c r="K103" s="18" t="n"/>
      <c r="L103" s="18" t="n"/>
      <c r="M103" s="18" t="n"/>
      <c r="N103" s="18" t="n"/>
    </row>
    <row r="104">
      <c r="A104" s="18" t="n"/>
      <c r="B104" s="18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  <c r="L104" s="18" t="n"/>
      <c r="M104" s="18" t="n"/>
      <c r="N104" s="18" t="n"/>
    </row>
    <row r="105">
      <c r="A105" s="18" t="n"/>
      <c r="B105" s="18" t="n"/>
      <c r="C105" s="18" t="n"/>
      <c r="D105" s="18" t="n"/>
      <c r="E105" s="18" t="n"/>
      <c r="F105" s="18" t="n"/>
      <c r="G105" s="18" t="n"/>
      <c r="H105" s="18" t="n"/>
      <c r="I105" s="18" t="n"/>
      <c r="J105" s="18" t="n"/>
      <c r="K105" s="18" t="n"/>
      <c r="L105" s="18" t="n"/>
      <c r="M105" s="18" t="n"/>
      <c r="N105" s="18" t="n"/>
    </row>
    <row r="106">
      <c r="A106" s="18" t="n"/>
      <c r="B106" s="18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</row>
    <row r="107">
      <c r="A107" s="18" t="n"/>
      <c r="B107" s="18" t="n"/>
      <c r="C107" s="18" t="n"/>
      <c r="D107" s="18" t="n"/>
      <c r="E107" s="18" t="n"/>
      <c r="F107" s="18" t="n"/>
      <c r="G107" s="18" t="n"/>
      <c r="H107" s="18" t="n"/>
      <c r="I107" s="18" t="n"/>
      <c r="J107" s="18" t="n"/>
      <c r="K107" s="18" t="n"/>
      <c r="L107" s="18" t="n"/>
      <c r="M107" s="18" t="n"/>
      <c r="N107" s="18" t="n"/>
    </row>
    <row r="108">
      <c r="A108" s="18" t="n"/>
      <c r="B108" s="18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8" t="n"/>
      <c r="L108" s="18" t="n"/>
      <c r="M108" s="18" t="n"/>
      <c r="N108" s="18" t="n"/>
    </row>
    <row r="109">
      <c r="A109" s="18" t="n"/>
      <c r="B109" s="18" t="n"/>
      <c r="C109" s="18" t="n"/>
      <c r="D109" s="18" t="n"/>
      <c r="E109" s="18" t="n"/>
      <c r="F109" s="18" t="n"/>
      <c r="G109" s="18" t="n"/>
      <c r="H109" s="18" t="n"/>
      <c r="I109" s="18" t="n"/>
      <c r="J109" s="18" t="n"/>
      <c r="K109" s="18" t="n"/>
      <c r="L109" s="18" t="n"/>
      <c r="M109" s="18" t="n"/>
      <c r="N109" s="18" t="n"/>
    </row>
    <row r="110">
      <c r="A110" s="18" t="n"/>
      <c r="B110" s="18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8" t="n"/>
      <c r="L110" s="18" t="n"/>
      <c r="M110" s="18" t="n"/>
      <c r="N110" s="18" t="n"/>
    </row>
    <row r="111">
      <c r="A111" s="18" t="n"/>
      <c r="B111" s="18" t="n"/>
      <c r="C111" s="18" t="n"/>
      <c r="D111" s="18" t="n"/>
      <c r="E111" s="18" t="n"/>
      <c r="F111" s="18" t="n"/>
      <c r="G111" s="18" t="n"/>
      <c r="H111" s="18" t="n"/>
      <c r="I111" s="18" t="n"/>
      <c r="J111" s="18" t="n"/>
      <c r="K111" s="18" t="n"/>
      <c r="L111" s="18" t="n"/>
      <c r="M111" s="18" t="n"/>
      <c r="N111" s="18" t="n"/>
    </row>
    <row r="112">
      <c r="A112" s="18" t="n"/>
      <c r="B112" s="18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8" t="n"/>
      <c r="L112" s="18" t="n"/>
      <c r="M112" s="18" t="n"/>
      <c r="N112" s="18" t="n"/>
    </row>
    <row r="113">
      <c r="A113" s="18" t="n"/>
      <c r="B113" s="18" t="n"/>
      <c r="C113" s="18" t="n"/>
      <c r="D113" s="18" t="n"/>
      <c r="E113" s="18" t="n"/>
      <c r="F113" s="18" t="n"/>
      <c r="G113" s="18" t="n"/>
      <c r="H113" s="18" t="n"/>
      <c r="I113" s="18" t="n"/>
      <c r="J113" s="18" t="n"/>
      <c r="K113" s="18" t="n"/>
      <c r="L113" s="18" t="n"/>
      <c r="M113" s="18" t="n"/>
      <c r="N113" s="18" t="n"/>
    </row>
    <row r="114">
      <c r="A114" s="18" t="n"/>
      <c r="B114" s="18" t="n"/>
      <c r="C114" s="18" t="n"/>
      <c r="D114" s="18" t="n"/>
      <c r="E114" s="18" t="n"/>
      <c r="F114" s="18" t="n"/>
      <c r="G114" s="18" t="n"/>
      <c r="H114" s="18" t="n"/>
      <c r="I114" s="18" t="n"/>
      <c r="J114" s="18" t="n"/>
      <c r="K114" s="18" t="n"/>
      <c r="L114" s="18" t="n"/>
      <c r="M114" s="18" t="n"/>
      <c r="N114" s="18" t="n"/>
    </row>
    <row r="115">
      <c r="A115" s="18" t="n"/>
      <c r="B115" s="18" t="n"/>
      <c r="C115" s="18" t="n"/>
      <c r="D115" s="18" t="n"/>
      <c r="E115" s="18" t="n"/>
      <c r="F115" s="18" t="n"/>
      <c r="G115" s="18" t="n"/>
      <c r="H115" s="18" t="n"/>
      <c r="I115" s="18" t="n"/>
      <c r="J115" s="18" t="n"/>
      <c r="K115" s="18" t="n"/>
      <c r="L115" s="18" t="n"/>
      <c r="M115" s="18" t="n"/>
      <c r="N115" s="18" t="n"/>
    </row>
    <row r="116">
      <c r="A116" s="18" t="n"/>
      <c r="B116" s="18" t="n"/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8" t="n"/>
      <c r="L116" s="18" t="n"/>
      <c r="M116" s="18" t="n"/>
      <c r="N116" s="18" t="n"/>
    </row>
    <row r="117">
      <c r="A117" s="18" t="n"/>
      <c r="B117" s="18" t="n"/>
      <c r="C117" s="18" t="n"/>
      <c r="D117" s="18" t="n"/>
      <c r="E117" s="18" t="n"/>
      <c r="F117" s="18" t="n"/>
      <c r="G117" s="18" t="n"/>
      <c r="H117" s="18" t="n"/>
      <c r="I117" s="18" t="n"/>
      <c r="J117" s="18" t="n"/>
      <c r="K117" s="18" t="n"/>
      <c r="L117" s="18" t="n"/>
      <c r="M117" s="18" t="n"/>
      <c r="N117" s="18" t="n"/>
    </row>
    <row r="118">
      <c r="A118" s="18" t="n"/>
      <c r="B118" s="18" t="n"/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8" t="n"/>
      <c r="L118" s="18" t="n"/>
      <c r="M118" s="18" t="n"/>
      <c r="N118" s="18" t="n"/>
    </row>
    <row r="119">
      <c r="A119" s="18" t="n"/>
      <c r="B119" s="18" t="n"/>
      <c r="C119" s="18" t="n"/>
      <c r="D119" s="18" t="n"/>
      <c r="E119" s="18" t="n"/>
      <c r="F119" s="18" t="n"/>
      <c r="G119" s="18" t="n"/>
      <c r="H119" s="18" t="n"/>
      <c r="I119" s="18" t="n"/>
      <c r="J119" s="18" t="n"/>
      <c r="K119" s="18" t="n"/>
      <c r="L119" s="18" t="n"/>
      <c r="M119" s="18" t="n"/>
      <c r="N119" s="18" t="n"/>
    </row>
    <row r="120">
      <c r="A120" s="18" t="n"/>
      <c r="B120" s="18" t="n"/>
      <c r="C120" s="18" t="n"/>
      <c r="D120" s="18" t="n"/>
      <c r="E120" s="18" t="n"/>
      <c r="F120" s="18" t="n"/>
      <c r="G120" s="18" t="n"/>
      <c r="H120" s="18" t="n"/>
      <c r="I120" s="18" t="n"/>
      <c r="J120" s="18" t="n"/>
      <c r="K120" s="18" t="n"/>
      <c r="L120" s="18" t="n"/>
      <c r="M120" s="18" t="n"/>
      <c r="N120" s="18" t="n"/>
    </row>
    <row r="121">
      <c r="A121" s="18" t="n"/>
      <c r="B121" s="18" t="n"/>
      <c r="C121" s="18" t="n"/>
      <c r="D121" s="18" t="n"/>
      <c r="E121" s="18" t="n"/>
      <c r="F121" s="18" t="n"/>
      <c r="G121" s="18" t="n"/>
      <c r="H121" s="18" t="n"/>
      <c r="I121" s="18" t="n"/>
      <c r="J121" s="18" t="n"/>
      <c r="K121" s="18" t="n"/>
      <c r="L121" s="18" t="n"/>
      <c r="M121" s="18" t="n"/>
      <c r="N121" s="18" t="n"/>
    </row>
    <row r="122">
      <c r="A122" s="18" t="n"/>
      <c r="B122" s="18" t="n"/>
      <c r="C122" s="18" t="n"/>
      <c r="D122" s="18" t="n"/>
      <c r="E122" s="18" t="n"/>
      <c r="F122" s="18" t="n"/>
      <c r="G122" s="18" t="n"/>
      <c r="H122" s="18" t="n"/>
      <c r="I122" s="18" t="n"/>
      <c r="J122" s="18" t="n"/>
      <c r="K122" s="18" t="n"/>
      <c r="L122" s="18" t="n"/>
      <c r="M122" s="18" t="n"/>
      <c r="N122" s="18" t="n"/>
    </row>
    <row r="123">
      <c r="A123" s="18" t="n"/>
      <c r="B123" s="18" t="n"/>
      <c r="C123" s="18" t="n"/>
      <c r="D123" s="18" t="n"/>
      <c r="E123" s="18" t="n"/>
      <c r="F123" s="18" t="n"/>
      <c r="G123" s="18" t="n"/>
      <c r="H123" s="18" t="n"/>
      <c r="I123" s="18" t="n"/>
      <c r="J123" s="18" t="n"/>
      <c r="K123" s="18" t="n"/>
      <c r="L123" s="18" t="n"/>
      <c r="M123" s="18" t="n"/>
      <c r="N123" s="18" t="n"/>
    </row>
    <row r="124">
      <c r="A124" s="18" t="n"/>
      <c r="B124" s="18" t="n"/>
      <c r="C124" s="18" t="n"/>
      <c r="D124" s="18" t="n"/>
      <c r="E124" s="18" t="n"/>
      <c r="F124" s="18" t="n"/>
      <c r="G124" s="18" t="n"/>
      <c r="H124" s="18" t="n"/>
      <c r="I124" s="18" t="n"/>
      <c r="J124" s="18" t="n"/>
      <c r="K124" s="18" t="n"/>
      <c r="L124" s="18" t="n"/>
      <c r="M124" s="18" t="n"/>
      <c r="N124" s="18" t="n"/>
    </row>
    <row r="125">
      <c r="A125" s="18" t="n"/>
      <c r="B125" s="18" t="n"/>
      <c r="C125" s="18" t="n"/>
      <c r="D125" s="18" t="n"/>
      <c r="E125" s="18" t="n"/>
      <c r="F125" s="18" t="n"/>
      <c r="G125" s="18" t="n"/>
      <c r="H125" s="18" t="n"/>
      <c r="I125" s="18" t="n"/>
      <c r="J125" s="18" t="n"/>
      <c r="K125" s="18" t="n"/>
      <c r="L125" s="18" t="n"/>
      <c r="M125" s="18" t="n"/>
      <c r="N125" s="18" t="n"/>
    </row>
    <row r="126">
      <c r="A126" s="18" t="n"/>
      <c r="B126" s="18" t="n"/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8" t="n"/>
      <c r="L126" s="18" t="n"/>
      <c r="M126" s="18" t="n"/>
      <c r="N126" s="18" t="n"/>
    </row>
    <row r="127">
      <c r="A127" s="18" t="n"/>
      <c r="B127" s="18" t="n"/>
      <c r="C127" s="18" t="n"/>
      <c r="D127" s="18" t="n"/>
      <c r="E127" s="18" t="n"/>
      <c r="F127" s="18" t="n"/>
      <c r="G127" s="18" t="n"/>
      <c r="H127" s="18" t="n"/>
      <c r="I127" s="18" t="n"/>
      <c r="J127" s="18" t="n"/>
      <c r="K127" s="18" t="n"/>
      <c r="L127" s="18" t="n"/>
      <c r="M127" s="18" t="n"/>
      <c r="N127" s="18" t="n"/>
    </row>
    <row r="128">
      <c r="A128" s="18" t="n"/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8" t="n"/>
      <c r="K128" s="18" t="n"/>
      <c r="L128" s="18" t="n"/>
      <c r="M128" s="18" t="n"/>
      <c r="N128" s="18" t="n"/>
    </row>
    <row r="129">
      <c r="A129" s="18" t="n"/>
      <c r="B129" s="18" t="n"/>
      <c r="C129" s="18" t="n"/>
      <c r="D129" s="18" t="n"/>
      <c r="E129" s="18" t="n"/>
      <c r="F129" s="18" t="n"/>
      <c r="G129" s="18" t="n"/>
      <c r="H129" s="18" t="n"/>
      <c r="I129" s="18" t="n"/>
      <c r="J129" s="18" t="n"/>
      <c r="K129" s="18" t="n"/>
      <c r="L129" s="18" t="n"/>
      <c r="M129" s="18" t="n"/>
      <c r="N129" s="18" t="n"/>
    </row>
    <row r="130">
      <c r="A130" s="18" t="n"/>
      <c r="B130" s="18" t="n"/>
      <c r="C130" s="18" t="n"/>
      <c r="D130" s="18" t="n"/>
      <c r="E130" s="18" t="n"/>
      <c r="F130" s="18" t="n"/>
      <c r="G130" s="18" t="n"/>
      <c r="H130" s="18" t="n"/>
      <c r="I130" s="18" t="n"/>
      <c r="J130" s="18" t="n"/>
      <c r="K130" s="18" t="n"/>
      <c r="L130" s="18" t="n"/>
      <c r="M130" s="18" t="n"/>
      <c r="N130" s="18" t="n"/>
    </row>
    <row r="131">
      <c r="A131" s="18" t="n"/>
      <c r="B131" s="18" t="n"/>
      <c r="C131" s="18" t="n"/>
      <c r="D131" s="18" t="n"/>
      <c r="E131" s="18" t="n"/>
      <c r="F131" s="18" t="n"/>
      <c r="G131" s="18" t="n"/>
      <c r="H131" s="18" t="n"/>
      <c r="I131" s="18" t="n"/>
      <c r="J131" s="18" t="n"/>
      <c r="K131" s="18" t="n"/>
      <c r="L131" s="18" t="n"/>
      <c r="M131" s="18" t="n"/>
      <c r="N131" s="18" t="n"/>
    </row>
    <row r="132">
      <c r="A132" s="18" t="n"/>
      <c r="B132" s="18" t="n"/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18" t="n"/>
      <c r="L132" s="18" t="n"/>
      <c r="M132" s="18" t="n"/>
      <c r="N132" s="18" t="n"/>
    </row>
    <row r="133">
      <c r="A133" s="18" t="n"/>
      <c r="B133" s="18" t="n"/>
      <c r="C133" s="18" t="n"/>
      <c r="D133" s="18" t="n"/>
      <c r="E133" s="18" t="n"/>
      <c r="F133" s="18" t="n"/>
      <c r="G133" s="18" t="n"/>
      <c r="H133" s="18" t="n"/>
      <c r="I133" s="18" t="n"/>
      <c r="J133" s="18" t="n"/>
      <c r="K133" s="18" t="n"/>
      <c r="L133" s="18" t="n"/>
      <c r="M133" s="18" t="n"/>
      <c r="N133" s="18" t="n"/>
    </row>
    <row r="134">
      <c r="A134" s="18" t="n"/>
      <c r="B134" s="18" t="n"/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8" t="n"/>
      <c r="L134" s="18" t="n"/>
      <c r="M134" s="18" t="n"/>
      <c r="N134" s="18" t="n"/>
    </row>
    <row r="135">
      <c r="A135" s="18" t="n"/>
      <c r="B135" s="18" t="n"/>
      <c r="C135" s="18" t="n"/>
      <c r="D135" s="18" t="n"/>
      <c r="E135" s="18" t="n"/>
      <c r="F135" s="18" t="n"/>
      <c r="G135" s="18" t="n"/>
      <c r="H135" s="18" t="n"/>
      <c r="I135" s="18" t="n"/>
      <c r="J135" s="18" t="n"/>
      <c r="K135" s="18" t="n"/>
      <c r="L135" s="18" t="n"/>
      <c r="M135" s="18" t="n"/>
      <c r="N135" s="18" t="n"/>
    </row>
    <row r="136">
      <c r="A136" s="18" t="n"/>
      <c r="B136" s="18" t="n"/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8" t="n"/>
      <c r="L136" s="18" t="n"/>
      <c r="M136" s="18" t="n"/>
      <c r="N136" s="18" t="n"/>
    </row>
    <row r="137">
      <c r="A137" s="18" t="n"/>
      <c r="B137" s="18" t="n"/>
      <c r="C137" s="18" t="n"/>
      <c r="D137" s="18" t="n"/>
      <c r="E137" s="18" t="n"/>
      <c r="F137" s="18" t="n"/>
      <c r="G137" s="18" t="n"/>
      <c r="H137" s="18" t="n"/>
      <c r="I137" s="18" t="n"/>
      <c r="J137" s="18" t="n"/>
      <c r="K137" s="18" t="n"/>
      <c r="L137" s="18" t="n"/>
      <c r="M137" s="18" t="n"/>
      <c r="N137" s="18" t="n"/>
    </row>
    <row r="138">
      <c r="A138" s="18" t="n"/>
      <c r="B138" s="18" t="n"/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8" t="n"/>
      <c r="L138" s="18" t="n"/>
      <c r="M138" s="18" t="n"/>
      <c r="N138" s="18" t="n"/>
    </row>
    <row r="139">
      <c r="A139" s="18" t="n"/>
      <c r="B139" s="18" t="n"/>
      <c r="C139" s="18" t="n"/>
      <c r="D139" s="18" t="n"/>
      <c r="E139" s="18" t="n"/>
      <c r="F139" s="18" t="n"/>
      <c r="G139" s="18" t="n"/>
      <c r="H139" s="18" t="n"/>
      <c r="I139" s="18" t="n"/>
      <c r="J139" s="18" t="n"/>
      <c r="K139" s="18" t="n"/>
      <c r="L139" s="18" t="n"/>
      <c r="M139" s="18" t="n"/>
      <c r="N139" s="18" t="n"/>
    </row>
    <row r="140">
      <c r="A140" s="18" t="n"/>
      <c r="B140" s="18" t="n"/>
      <c r="C140" s="18" t="n"/>
      <c r="D140" s="18" t="n"/>
      <c r="E140" s="18" t="n"/>
      <c r="F140" s="18" t="n"/>
      <c r="G140" s="18" t="n"/>
      <c r="H140" s="18" t="n"/>
      <c r="I140" s="18" t="n"/>
      <c r="J140" s="18" t="n"/>
      <c r="K140" s="18" t="n"/>
      <c r="L140" s="18" t="n"/>
      <c r="M140" s="18" t="n"/>
      <c r="N140" s="18" t="n"/>
    </row>
    <row r="141">
      <c r="A141" s="18" t="n"/>
      <c r="B141" s="18" t="n"/>
      <c r="C141" s="18" t="n"/>
      <c r="D141" s="18" t="n"/>
      <c r="E141" s="18" t="n"/>
      <c r="F141" s="18" t="n"/>
      <c r="G141" s="18" t="n"/>
      <c r="H141" s="18" t="n"/>
      <c r="I141" s="18" t="n"/>
      <c r="J141" s="18" t="n"/>
      <c r="K141" s="18" t="n"/>
      <c r="L141" s="18" t="n"/>
      <c r="M141" s="18" t="n"/>
      <c r="N141" s="18" t="n"/>
    </row>
    <row r="142">
      <c r="A142" s="18" t="n"/>
      <c r="B142" s="18" t="n"/>
      <c r="C142" s="18" t="n"/>
      <c r="D142" s="18" t="n"/>
      <c r="E142" s="18" t="n"/>
      <c r="F142" s="18" t="n"/>
      <c r="G142" s="18" t="n"/>
      <c r="H142" s="18" t="n"/>
      <c r="I142" s="18" t="n"/>
      <c r="J142" s="18" t="n"/>
      <c r="K142" s="18" t="n"/>
      <c r="L142" s="18" t="n"/>
      <c r="M142" s="18" t="n"/>
      <c r="N142" s="18" t="n"/>
    </row>
    <row r="143">
      <c r="A143" s="18" t="n"/>
      <c r="B143" s="18" t="n"/>
      <c r="C143" s="18" t="n"/>
      <c r="D143" s="18" t="n"/>
      <c r="E143" s="18" t="n"/>
      <c r="F143" s="18" t="n"/>
      <c r="G143" s="18" t="n"/>
      <c r="H143" s="18" t="n"/>
      <c r="I143" s="18" t="n"/>
      <c r="J143" s="18" t="n"/>
      <c r="K143" s="18" t="n"/>
      <c r="L143" s="18" t="n"/>
      <c r="M143" s="18" t="n"/>
      <c r="N143" s="18" t="n"/>
    </row>
    <row r="144">
      <c r="A144" s="18" t="n"/>
      <c r="B144" s="18" t="n"/>
      <c r="C144" s="18" t="n"/>
      <c r="D144" s="18" t="n"/>
      <c r="E144" s="18" t="n"/>
      <c r="F144" s="18" t="n"/>
      <c r="G144" s="18" t="n"/>
      <c r="H144" s="18" t="n"/>
      <c r="I144" s="18" t="n"/>
      <c r="J144" s="18" t="n"/>
      <c r="K144" s="18" t="n"/>
      <c r="L144" s="18" t="n"/>
      <c r="M144" s="18" t="n"/>
      <c r="N144" s="18" t="n"/>
    </row>
    <row r="145">
      <c r="A145" s="18" t="n"/>
      <c r="B145" s="18" t="n"/>
      <c r="C145" s="18" t="n"/>
      <c r="D145" s="18" t="n"/>
      <c r="E145" s="18" t="n"/>
      <c r="F145" s="18" t="n"/>
      <c r="G145" s="18" t="n"/>
      <c r="H145" s="18" t="n"/>
      <c r="I145" s="18" t="n"/>
      <c r="J145" s="18" t="n"/>
      <c r="K145" s="18" t="n"/>
      <c r="L145" s="18" t="n"/>
      <c r="M145" s="18" t="n"/>
      <c r="N145" s="18" t="n"/>
    </row>
    <row r="146">
      <c r="A146" s="18" t="n"/>
      <c r="B146" s="18" t="n"/>
      <c r="C146" s="18" t="n"/>
      <c r="D146" s="18" t="n"/>
      <c r="E146" s="18" t="n"/>
      <c r="F146" s="18" t="n"/>
      <c r="G146" s="18" t="n"/>
      <c r="H146" s="18" t="n"/>
      <c r="I146" s="18" t="n"/>
      <c r="J146" s="18" t="n"/>
      <c r="K146" s="18" t="n"/>
      <c r="L146" s="18" t="n"/>
      <c r="M146" s="18" t="n"/>
      <c r="N146" s="18" t="n"/>
    </row>
    <row r="147">
      <c r="A147" s="18" t="n"/>
      <c r="B147" s="18" t="n"/>
      <c r="C147" s="18" t="n"/>
      <c r="D147" s="18" t="n"/>
      <c r="E147" s="18" t="n"/>
      <c r="F147" s="18" t="n"/>
      <c r="G147" s="18" t="n"/>
      <c r="H147" s="18" t="n"/>
      <c r="I147" s="18" t="n"/>
      <c r="J147" s="18" t="n"/>
      <c r="K147" s="18" t="n"/>
      <c r="L147" s="18" t="n"/>
      <c r="M147" s="18" t="n"/>
      <c r="N147" s="18" t="n"/>
    </row>
    <row r="148">
      <c r="A148" s="18" t="n"/>
      <c r="B148" s="18" t="n"/>
      <c r="C148" s="18" t="n"/>
      <c r="D148" s="18" t="n"/>
      <c r="E148" s="18" t="n"/>
      <c r="F148" s="18" t="n"/>
      <c r="G148" s="18" t="n"/>
      <c r="H148" s="18" t="n"/>
      <c r="I148" s="18" t="n"/>
      <c r="J148" s="18" t="n"/>
      <c r="K148" s="18" t="n"/>
      <c r="L148" s="18" t="n"/>
      <c r="M148" s="18" t="n"/>
      <c r="N148" s="18" t="n"/>
    </row>
    <row r="149">
      <c r="A149" s="18" t="n"/>
      <c r="B149" s="18" t="n"/>
      <c r="C149" s="18" t="n"/>
      <c r="D149" s="18" t="n"/>
      <c r="E149" s="18" t="n"/>
      <c r="F149" s="18" t="n"/>
      <c r="G149" s="18" t="n"/>
      <c r="H149" s="18" t="n"/>
      <c r="I149" s="18" t="n"/>
      <c r="J149" s="18" t="n"/>
      <c r="K149" s="18" t="n"/>
      <c r="L149" s="18" t="n"/>
      <c r="M149" s="18" t="n"/>
      <c r="N149" s="18" t="n"/>
    </row>
    <row r="150">
      <c r="A150" s="18" t="n"/>
      <c r="B150" s="18" t="n"/>
      <c r="C150" s="18" t="n"/>
      <c r="D150" s="18" t="n"/>
      <c r="E150" s="18" t="n"/>
      <c r="F150" s="18" t="n"/>
      <c r="G150" s="18" t="n"/>
      <c r="H150" s="18" t="n"/>
      <c r="I150" s="18" t="n"/>
      <c r="J150" s="18" t="n"/>
      <c r="K150" s="18" t="n"/>
      <c r="L150" s="18" t="n"/>
      <c r="M150" s="18" t="n"/>
      <c r="N150" s="18" t="n"/>
    </row>
    <row r="151">
      <c r="A151" s="18" t="n"/>
      <c r="B151" s="18" t="n"/>
      <c r="C151" s="18" t="n"/>
      <c r="D151" s="18" t="n"/>
      <c r="E151" s="18" t="n"/>
      <c r="F151" s="18" t="n"/>
      <c r="G151" s="18" t="n"/>
      <c r="H151" s="18" t="n"/>
      <c r="I151" s="18" t="n"/>
      <c r="J151" s="18" t="n"/>
      <c r="K151" s="18" t="n"/>
      <c r="L151" s="18" t="n"/>
      <c r="M151" s="18" t="n"/>
      <c r="N151" s="18" t="n"/>
    </row>
    <row r="152">
      <c r="A152" s="18" t="n"/>
      <c r="B152" s="18" t="n"/>
      <c r="C152" s="18" t="n"/>
      <c r="D152" s="18" t="n"/>
      <c r="E152" s="18" t="n"/>
      <c r="F152" s="18" t="n"/>
      <c r="G152" s="18" t="n"/>
      <c r="H152" s="18" t="n"/>
      <c r="I152" s="18" t="n"/>
      <c r="J152" s="18" t="n"/>
      <c r="K152" s="18" t="n"/>
      <c r="L152" s="18" t="n"/>
      <c r="M152" s="18" t="n"/>
      <c r="N152" s="18" t="n"/>
    </row>
    <row r="153">
      <c r="A153" s="18" t="n"/>
      <c r="B153" s="18" t="n"/>
      <c r="C153" s="18" t="n"/>
      <c r="D153" s="18" t="n"/>
      <c r="E153" s="18" t="n"/>
      <c r="F153" s="18" t="n"/>
      <c r="G153" s="18" t="n"/>
      <c r="H153" s="18" t="n"/>
      <c r="I153" s="18" t="n"/>
      <c r="J153" s="18" t="n"/>
      <c r="K153" s="18" t="n"/>
      <c r="L153" s="18" t="n"/>
      <c r="M153" s="18" t="n"/>
      <c r="N153" s="18" t="n"/>
    </row>
    <row r="154">
      <c r="A154" s="18" t="n"/>
      <c r="B154" s="18" t="n"/>
      <c r="C154" s="18" t="n"/>
      <c r="D154" s="18" t="n"/>
      <c r="E154" s="18" t="n"/>
      <c r="F154" s="18" t="n"/>
      <c r="G154" s="18" t="n"/>
      <c r="H154" s="18" t="n"/>
      <c r="I154" s="18" t="n"/>
      <c r="J154" s="18" t="n"/>
      <c r="K154" s="18" t="n"/>
      <c r="L154" s="18" t="n"/>
      <c r="M154" s="18" t="n"/>
      <c r="N154" s="18" t="n"/>
    </row>
    <row r="155">
      <c r="A155" s="18" t="n"/>
      <c r="B155" s="18" t="n"/>
      <c r="C155" s="18" t="n"/>
      <c r="D155" s="18" t="n"/>
      <c r="E155" s="18" t="n"/>
      <c r="F155" s="18" t="n"/>
      <c r="G155" s="18" t="n"/>
      <c r="H155" s="18" t="n"/>
      <c r="I155" s="18" t="n"/>
      <c r="J155" s="18" t="n"/>
      <c r="K155" s="18" t="n"/>
      <c r="L155" s="18" t="n"/>
      <c r="M155" s="18" t="n"/>
      <c r="N155" s="18" t="n"/>
    </row>
    <row r="156">
      <c r="A156" s="18" t="n"/>
      <c r="B156" s="18" t="n"/>
      <c r="C156" s="18" t="n"/>
      <c r="D156" s="18" t="n"/>
      <c r="E156" s="18" t="n"/>
      <c r="F156" s="18" t="n"/>
      <c r="G156" s="18" t="n"/>
      <c r="H156" s="18" t="n"/>
      <c r="I156" s="18" t="n"/>
      <c r="J156" s="18" t="n"/>
      <c r="K156" s="18" t="n"/>
      <c r="L156" s="18" t="n"/>
      <c r="M156" s="18" t="n"/>
      <c r="N156" s="18" t="n"/>
    </row>
    <row r="157">
      <c r="A157" s="18" t="n"/>
      <c r="B157" s="18" t="n"/>
      <c r="C157" s="18" t="n"/>
      <c r="D157" s="18" t="n"/>
      <c r="E157" s="18" t="n"/>
      <c r="F157" s="18" t="n"/>
      <c r="G157" s="18" t="n"/>
      <c r="H157" s="18" t="n"/>
      <c r="I157" s="18" t="n"/>
      <c r="J157" s="18" t="n"/>
      <c r="K157" s="18" t="n"/>
      <c r="L157" s="18" t="n"/>
      <c r="M157" s="18" t="n"/>
      <c r="N157" s="18" t="n"/>
    </row>
    <row r="158">
      <c r="A158" s="18" t="n"/>
      <c r="B158" s="18" t="n"/>
      <c r="C158" s="18" t="n"/>
      <c r="D158" s="18" t="n"/>
      <c r="E158" s="18" t="n"/>
      <c r="F158" s="18" t="n"/>
      <c r="G158" s="18" t="n"/>
      <c r="H158" s="18" t="n"/>
      <c r="I158" s="18" t="n"/>
      <c r="J158" s="18" t="n"/>
      <c r="K158" s="18" t="n"/>
      <c r="L158" s="18" t="n"/>
      <c r="M158" s="18" t="n"/>
      <c r="N158" s="18" t="n"/>
    </row>
    <row r="159">
      <c r="A159" s="18" t="n"/>
      <c r="B159" s="18" t="n"/>
      <c r="C159" s="18" t="n"/>
      <c r="D159" s="18" t="n"/>
      <c r="E159" s="18" t="n"/>
      <c r="F159" s="18" t="n"/>
      <c r="G159" s="18" t="n"/>
      <c r="H159" s="18" t="n"/>
      <c r="I159" s="18" t="n"/>
      <c r="J159" s="18" t="n"/>
      <c r="K159" s="18" t="n"/>
      <c r="L159" s="18" t="n"/>
      <c r="M159" s="18" t="n"/>
      <c r="N159" s="18" t="n"/>
    </row>
    <row r="160">
      <c r="A160" s="18" t="n"/>
      <c r="B160" s="18" t="n"/>
      <c r="C160" s="18" t="n"/>
      <c r="D160" s="18" t="n"/>
      <c r="E160" s="18" t="n"/>
      <c r="F160" s="18" t="n"/>
      <c r="G160" s="18" t="n"/>
      <c r="H160" s="18" t="n"/>
      <c r="I160" s="18" t="n"/>
      <c r="J160" s="18" t="n"/>
      <c r="K160" s="18" t="n"/>
      <c r="L160" s="18" t="n"/>
      <c r="M160" s="18" t="n"/>
      <c r="N160" s="18" t="n"/>
    </row>
    <row r="161">
      <c r="A161" s="18" t="n"/>
      <c r="B161" s="18" t="n"/>
      <c r="C161" s="18" t="n"/>
      <c r="D161" s="18" t="n"/>
      <c r="E161" s="18" t="n"/>
      <c r="F161" s="18" t="n"/>
      <c r="G161" s="18" t="n"/>
      <c r="H161" s="18" t="n"/>
      <c r="I161" s="18" t="n"/>
      <c r="J161" s="18" t="n"/>
      <c r="K161" s="18" t="n"/>
      <c r="L161" s="18" t="n"/>
      <c r="M161" s="18" t="n"/>
      <c r="N161" s="18" t="n"/>
    </row>
    <row r="162">
      <c r="A162" s="18" t="n"/>
      <c r="B162" s="18" t="n"/>
      <c r="C162" s="18" t="n"/>
      <c r="D162" s="18" t="n"/>
      <c r="E162" s="18" t="n"/>
      <c r="F162" s="18" t="n"/>
      <c r="G162" s="18" t="n"/>
      <c r="H162" s="18" t="n"/>
      <c r="I162" s="18" t="n"/>
      <c r="J162" s="18" t="n"/>
      <c r="K162" s="18" t="n"/>
      <c r="L162" s="18" t="n"/>
      <c r="M162" s="18" t="n"/>
      <c r="N162" s="18" t="n"/>
    </row>
    <row r="163">
      <c r="A163" s="18" t="n"/>
      <c r="B163" s="18" t="n"/>
      <c r="C163" s="18" t="n"/>
      <c r="D163" s="18" t="n"/>
      <c r="E163" s="18" t="n"/>
      <c r="F163" s="18" t="n"/>
      <c r="G163" s="18" t="n"/>
      <c r="H163" s="18" t="n"/>
      <c r="I163" s="18" t="n"/>
      <c r="J163" s="18" t="n"/>
      <c r="K163" s="18" t="n"/>
      <c r="L163" s="18" t="n"/>
      <c r="M163" s="18" t="n"/>
      <c r="N163" s="18" t="n"/>
    </row>
    <row r="164">
      <c r="A164" s="18" t="n"/>
      <c r="B164" s="18" t="n"/>
      <c r="C164" s="18" t="n"/>
      <c r="D164" s="18" t="n"/>
      <c r="E164" s="18" t="n"/>
      <c r="F164" s="18" t="n"/>
      <c r="G164" s="18" t="n"/>
      <c r="H164" s="18" t="n"/>
      <c r="I164" s="18" t="n"/>
      <c r="J164" s="18" t="n"/>
      <c r="K164" s="18" t="n"/>
      <c r="L164" s="18" t="n"/>
      <c r="M164" s="18" t="n"/>
      <c r="N164" s="18" t="n"/>
    </row>
    <row r="165">
      <c r="A165" s="18" t="n"/>
      <c r="B165" s="18" t="n"/>
      <c r="C165" s="18" t="n"/>
      <c r="D165" s="18" t="n"/>
      <c r="E165" s="18" t="n"/>
      <c r="F165" s="18" t="n"/>
      <c r="G165" s="18" t="n"/>
      <c r="H165" s="18" t="n"/>
      <c r="I165" s="18" t="n"/>
      <c r="J165" s="18" t="n"/>
      <c r="K165" s="18" t="n"/>
      <c r="L165" s="18" t="n"/>
      <c r="M165" s="18" t="n"/>
      <c r="N165" s="18" t="n"/>
    </row>
    <row r="166">
      <c r="A166" s="18" t="n"/>
      <c r="B166" s="18" t="n"/>
      <c r="C166" s="18" t="n"/>
      <c r="D166" s="18" t="n"/>
      <c r="E166" s="18" t="n"/>
      <c r="F166" s="18" t="n"/>
      <c r="G166" s="18" t="n"/>
      <c r="H166" s="18" t="n"/>
      <c r="I166" s="18" t="n"/>
      <c r="J166" s="18" t="n"/>
      <c r="K166" s="18" t="n"/>
      <c r="L166" s="18" t="n"/>
      <c r="M166" s="18" t="n"/>
      <c r="N166" s="18" t="n"/>
    </row>
    <row r="167">
      <c r="A167" s="18" t="n"/>
      <c r="B167" s="18" t="n"/>
      <c r="C167" s="18" t="n"/>
      <c r="D167" s="18" t="n"/>
      <c r="E167" s="18" t="n"/>
      <c r="F167" s="18" t="n"/>
      <c r="G167" s="18" t="n"/>
      <c r="H167" s="18" t="n"/>
      <c r="I167" s="18" t="n"/>
      <c r="J167" s="18" t="n"/>
      <c r="K167" s="18" t="n"/>
      <c r="L167" s="18" t="n"/>
      <c r="M167" s="18" t="n"/>
      <c r="N167" s="18" t="n"/>
    </row>
    <row r="168">
      <c r="A168" s="18" t="n"/>
      <c r="B168" s="18" t="n"/>
      <c r="C168" s="18" t="n"/>
      <c r="D168" s="18" t="n"/>
      <c r="E168" s="18" t="n"/>
      <c r="F168" s="18" t="n"/>
      <c r="G168" s="18" t="n"/>
      <c r="H168" s="18" t="n"/>
      <c r="I168" s="18" t="n"/>
      <c r="J168" s="18" t="n"/>
      <c r="K168" s="18" t="n"/>
      <c r="L168" s="18" t="n"/>
      <c r="M168" s="18" t="n"/>
      <c r="N168" s="18" t="n"/>
    </row>
    <row r="169">
      <c r="A169" s="18" t="n"/>
      <c r="B169" s="18" t="n"/>
      <c r="C169" s="18" t="n"/>
      <c r="D169" s="18" t="n"/>
      <c r="E169" s="18" t="n"/>
      <c r="F169" s="18" t="n"/>
      <c r="G169" s="18" t="n"/>
      <c r="H169" s="18" t="n"/>
      <c r="I169" s="18" t="n"/>
      <c r="J169" s="18" t="n"/>
      <c r="K169" s="18" t="n"/>
      <c r="L169" s="18" t="n"/>
      <c r="M169" s="18" t="n"/>
      <c r="N169" s="18" t="n"/>
    </row>
    <row r="170">
      <c r="A170" s="18" t="n"/>
      <c r="B170" s="18" t="n"/>
      <c r="C170" s="18" t="n"/>
      <c r="D170" s="18" t="n"/>
      <c r="E170" s="18" t="n"/>
      <c r="F170" s="18" t="n"/>
      <c r="G170" s="18" t="n"/>
      <c r="H170" s="18" t="n"/>
      <c r="I170" s="18" t="n"/>
      <c r="J170" s="18" t="n"/>
      <c r="K170" s="18" t="n"/>
      <c r="L170" s="18" t="n"/>
      <c r="M170" s="18" t="n"/>
      <c r="N170" s="18" t="n"/>
    </row>
    <row r="171">
      <c r="A171" s="18" t="n"/>
      <c r="B171" s="18" t="n"/>
      <c r="C171" s="18" t="n"/>
      <c r="D171" s="18" t="n"/>
      <c r="E171" s="18" t="n"/>
      <c r="F171" s="18" t="n"/>
      <c r="G171" s="18" t="n"/>
      <c r="H171" s="18" t="n"/>
      <c r="I171" s="18" t="n"/>
      <c r="J171" s="18" t="n"/>
      <c r="K171" s="18" t="n"/>
      <c r="L171" s="18" t="n"/>
      <c r="M171" s="18" t="n"/>
      <c r="N171" s="18" t="n"/>
    </row>
    <row r="172">
      <c r="A172" s="18" t="n"/>
      <c r="B172" s="18" t="n"/>
      <c r="C172" s="18" t="n"/>
      <c r="D172" s="18" t="n"/>
      <c r="E172" s="18" t="n"/>
      <c r="F172" s="18" t="n"/>
      <c r="G172" s="18" t="n"/>
      <c r="H172" s="18" t="n"/>
      <c r="I172" s="18" t="n"/>
      <c r="J172" s="18" t="n"/>
      <c r="K172" s="18" t="n"/>
      <c r="L172" s="18" t="n"/>
      <c r="M172" s="18" t="n"/>
      <c r="N172" s="18" t="n"/>
    </row>
    <row r="173">
      <c r="A173" s="18" t="n"/>
      <c r="B173" s="18" t="n"/>
      <c r="C173" s="18" t="n"/>
      <c r="D173" s="18" t="n"/>
      <c r="E173" s="18" t="n"/>
      <c r="F173" s="18" t="n"/>
      <c r="G173" s="18" t="n"/>
      <c r="H173" s="18" t="n"/>
      <c r="I173" s="18" t="n"/>
      <c r="J173" s="18" t="n"/>
      <c r="K173" s="18" t="n"/>
      <c r="L173" s="18" t="n"/>
      <c r="M173" s="18" t="n"/>
      <c r="N173" s="18" t="n"/>
    </row>
    <row r="174">
      <c r="A174" s="18" t="n"/>
      <c r="B174" s="18" t="n"/>
      <c r="C174" s="18" t="n"/>
      <c r="D174" s="18" t="n"/>
      <c r="E174" s="18" t="n"/>
      <c r="F174" s="18" t="n"/>
      <c r="G174" s="18" t="n"/>
      <c r="H174" s="18" t="n"/>
      <c r="I174" s="18" t="n"/>
      <c r="J174" s="18" t="n"/>
      <c r="K174" s="18" t="n"/>
      <c r="L174" s="18" t="n"/>
      <c r="M174" s="18" t="n"/>
      <c r="N174" s="18" t="n"/>
    </row>
    <row r="175">
      <c r="A175" s="18" t="n"/>
      <c r="B175" s="18" t="n"/>
      <c r="C175" s="18" t="n"/>
      <c r="D175" s="18" t="n"/>
      <c r="E175" s="18" t="n"/>
      <c r="F175" s="18" t="n"/>
      <c r="G175" s="18" t="n"/>
      <c r="H175" s="18" t="n"/>
      <c r="I175" s="18" t="n"/>
      <c r="J175" s="18" t="n"/>
      <c r="K175" s="18" t="n"/>
      <c r="L175" s="18" t="n"/>
      <c r="M175" s="18" t="n"/>
      <c r="N175" s="18" t="n"/>
    </row>
    <row r="176">
      <c r="A176" s="18" t="n"/>
      <c r="B176" s="18" t="n"/>
      <c r="C176" s="18" t="n"/>
      <c r="D176" s="18" t="n"/>
      <c r="E176" s="18" t="n"/>
      <c r="F176" s="18" t="n"/>
      <c r="G176" s="18" t="n"/>
      <c r="H176" s="18" t="n"/>
      <c r="I176" s="18" t="n"/>
      <c r="J176" s="18" t="n"/>
      <c r="K176" s="18" t="n"/>
      <c r="L176" s="18" t="n"/>
      <c r="M176" s="18" t="n"/>
      <c r="N176" s="18" t="n"/>
    </row>
    <row r="177">
      <c r="A177" s="18" t="n"/>
      <c r="B177" s="18" t="n"/>
      <c r="C177" s="18" t="n"/>
      <c r="D177" s="18" t="n"/>
      <c r="E177" s="18" t="n"/>
      <c r="F177" s="18" t="n"/>
      <c r="G177" s="18" t="n"/>
      <c r="H177" s="18" t="n"/>
      <c r="I177" s="18" t="n"/>
      <c r="J177" s="18" t="n"/>
      <c r="K177" s="18" t="n"/>
      <c r="L177" s="18" t="n"/>
      <c r="M177" s="18" t="n"/>
      <c r="N177" s="18" t="n"/>
    </row>
    <row r="178">
      <c r="A178" s="18" t="n"/>
      <c r="B178" s="18" t="n"/>
      <c r="C178" s="18" t="n"/>
      <c r="D178" s="18" t="n"/>
      <c r="E178" s="18" t="n"/>
      <c r="F178" s="18" t="n"/>
      <c r="G178" s="18" t="n"/>
      <c r="H178" s="18" t="n"/>
      <c r="I178" s="18" t="n"/>
      <c r="J178" s="18" t="n"/>
      <c r="K178" s="18" t="n"/>
      <c r="L178" s="18" t="n"/>
      <c r="M178" s="18" t="n"/>
      <c r="N178" s="18" t="n"/>
    </row>
    <row r="179">
      <c r="A179" s="18" t="n"/>
      <c r="B179" s="18" t="n"/>
      <c r="C179" s="18" t="n"/>
      <c r="D179" s="18" t="n"/>
      <c r="E179" s="18" t="n"/>
      <c r="F179" s="18" t="n"/>
      <c r="G179" s="18" t="n"/>
      <c r="H179" s="18" t="n"/>
      <c r="I179" s="18" t="n"/>
      <c r="J179" s="18" t="n"/>
      <c r="K179" s="18" t="n"/>
      <c r="L179" s="18" t="n"/>
      <c r="M179" s="18" t="n"/>
      <c r="N179" s="18" t="n"/>
    </row>
    <row r="180">
      <c r="A180" s="18" t="n"/>
      <c r="B180" s="18" t="n"/>
      <c r="C180" s="18" t="n"/>
      <c r="D180" s="18" t="n"/>
      <c r="E180" s="18" t="n"/>
      <c r="F180" s="18" t="n"/>
      <c r="G180" s="18" t="n"/>
      <c r="H180" s="18" t="n"/>
      <c r="I180" s="18" t="n"/>
      <c r="J180" s="18" t="n"/>
      <c r="K180" s="18" t="n"/>
      <c r="L180" s="18" t="n"/>
      <c r="M180" s="18" t="n"/>
      <c r="N180" s="18" t="n"/>
    </row>
    <row r="181">
      <c r="A181" s="18" t="n"/>
      <c r="B181" s="18" t="n"/>
      <c r="C181" s="18" t="n"/>
      <c r="D181" s="18" t="n"/>
      <c r="E181" s="18" t="n"/>
      <c r="F181" s="18" t="n"/>
      <c r="G181" s="18" t="n"/>
      <c r="H181" s="18" t="n"/>
      <c r="I181" s="18" t="n"/>
      <c r="J181" s="18" t="n"/>
      <c r="K181" s="18" t="n"/>
      <c r="L181" s="18" t="n"/>
      <c r="M181" s="18" t="n"/>
      <c r="N181" s="18" t="n"/>
    </row>
    <row r="182">
      <c r="A182" s="18" t="n"/>
      <c r="B182" s="18" t="n"/>
      <c r="C182" s="18" t="n"/>
      <c r="D182" s="18" t="n"/>
      <c r="E182" s="18" t="n"/>
      <c r="F182" s="18" t="n"/>
      <c r="G182" s="18" t="n"/>
      <c r="H182" s="18" t="n"/>
      <c r="I182" s="18" t="n"/>
      <c r="J182" s="18" t="n"/>
      <c r="K182" s="18" t="n"/>
      <c r="L182" s="18" t="n"/>
      <c r="M182" s="18" t="n"/>
      <c r="N182" s="18" t="n"/>
    </row>
    <row r="183">
      <c r="A183" s="18" t="n"/>
      <c r="B183" s="18" t="n"/>
      <c r="C183" s="18" t="n"/>
      <c r="D183" s="18" t="n"/>
      <c r="E183" s="18" t="n"/>
      <c r="F183" s="18" t="n"/>
      <c r="G183" s="18" t="n"/>
      <c r="H183" s="18" t="n"/>
      <c r="I183" s="18" t="n"/>
      <c r="J183" s="18" t="n"/>
      <c r="K183" s="18" t="n"/>
      <c r="L183" s="18" t="n"/>
      <c r="M183" s="18" t="n"/>
      <c r="N183" s="18" t="n"/>
    </row>
    <row r="184">
      <c r="A184" s="18" t="n"/>
      <c r="B184" s="18" t="n"/>
      <c r="C184" s="18" t="n"/>
      <c r="D184" s="18" t="n"/>
      <c r="E184" s="18" t="n"/>
      <c r="F184" s="18" t="n"/>
      <c r="G184" s="18" t="n"/>
      <c r="H184" s="18" t="n"/>
      <c r="I184" s="18" t="n"/>
      <c r="J184" s="18" t="n"/>
      <c r="K184" s="18" t="n"/>
      <c r="L184" s="18" t="n"/>
      <c r="M184" s="18" t="n"/>
      <c r="N184" s="18" t="n"/>
    </row>
    <row r="185">
      <c r="A185" s="18" t="n"/>
      <c r="B185" s="18" t="n"/>
      <c r="C185" s="18" t="n"/>
      <c r="D185" s="18" t="n"/>
      <c r="E185" s="18" t="n"/>
      <c r="F185" s="18" t="n"/>
      <c r="G185" s="18" t="n"/>
      <c r="H185" s="18" t="n"/>
      <c r="I185" s="18" t="n"/>
      <c r="J185" s="18" t="n"/>
      <c r="K185" s="18" t="n"/>
      <c r="L185" s="18" t="n"/>
      <c r="M185" s="18" t="n"/>
      <c r="N185" s="18" t="n"/>
    </row>
    <row r="186">
      <c r="A186" s="18" t="n"/>
      <c r="B186" s="18" t="n"/>
      <c r="C186" s="18" t="n"/>
      <c r="D186" s="18" t="n"/>
      <c r="E186" s="18" t="n"/>
      <c r="F186" s="18" t="n"/>
      <c r="G186" s="18" t="n"/>
      <c r="H186" s="18" t="n"/>
      <c r="I186" s="18" t="n"/>
      <c r="J186" s="18" t="n"/>
      <c r="K186" s="18" t="n"/>
      <c r="L186" s="18" t="n"/>
      <c r="M186" s="18" t="n"/>
      <c r="N186" s="18" t="n"/>
    </row>
    <row r="187">
      <c r="A187" s="18" t="n"/>
      <c r="B187" s="18" t="n"/>
      <c r="C187" s="18" t="n"/>
      <c r="D187" s="18" t="n"/>
      <c r="E187" s="18" t="n"/>
      <c r="F187" s="18" t="n"/>
      <c r="G187" s="18" t="n"/>
      <c r="H187" s="18" t="n"/>
      <c r="I187" s="18" t="n"/>
      <c r="J187" s="18" t="n"/>
      <c r="K187" s="18" t="n"/>
      <c r="L187" s="18" t="n"/>
      <c r="M187" s="18" t="n"/>
      <c r="N187" s="18" t="n"/>
    </row>
    <row r="188">
      <c r="A188" s="18" t="n"/>
      <c r="B188" s="18" t="n"/>
      <c r="C188" s="18" t="n"/>
      <c r="D188" s="18" t="n"/>
      <c r="E188" s="18" t="n"/>
      <c r="F188" s="18" t="n"/>
      <c r="G188" s="18" t="n"/>
      <c r="H188" s="18" t="n"/>
      <c r="I188" s="18" t="n"/>
      <c r="J188" s="18" t="n"/>
      <c r="K188" s="18" t="n"/>
      <c r="L188" s="18" t="n"/>
      <c r="M188" s="18" t="n"/>
      <c r="N188" s="18" t="n"/>
    </row>
    <row r="189">
      <c r="A189" s="18" t="n"/>
      <c r="B189" s="18" t="n"/>
      <c r="C189" s="18" t="n"/>
      <c r="D189" s="18" t="n"/>
      <c r="E189" s="18" t="n"/>
      <c r="F189" s="18" t="n"/>
      <c r="G189" s="18" t="n"/>
      <c r="H189" s="18" t="n"/>
      <c r="I189" s="18" t="n"/>
      <c r="J189" s="18" t="n"/>
      <c r="K189" s="18" t="n"/>
      <c r="L189" s="18" t="n"/>
      <c r="M189" s="18" t="n"/>
      <c r="N189" s="18" t="n"/>
    </row>
    <row r="190">
      <c r="A190" s="18" t="n"/>
      <c r="B190" s="18" t="n"/>
      <c r="C190" s="18" t="n"/>
      <c r="D190" s="18" t="n"/>
      <c r="E190" s="18" t="n"/>
      <c r="F190" s="18" t="n"/>
      <c r="G190" s="18" t="n"/>
      <c r="H190" s="18" t="n"/>
      <c r="I190" s="18" t="n"/>
      <c r="J190" s="18" t="n"/>
      <c r="K190" s="18" t="n"/>
      <c r="L190" s="18" t="n"/>
      <c r="M190" s="18" t="n"/>
      <c r="N190" s="18" t="n"/>
    </row>
    <row r="191">
      <c r="A191" s="18" t="n"/>
      <c r="B191" s="18" t="n"/>
      <c r="C191" s="18" t="n"/>
      <c r="D191" s="18" t="n"/>
      <c r="E191" s="18" t="n"/>
      <c r="F191" s="18" t="n"/>
      <c r="G191" s="18" t="n"/>
      <c r="H191" s="18" t="n"/>
      <c r="I191" s="18" t="n"/>
      <c r="J191" s="18" t="n"/>
      <c r="K191" s="18" t="n"/>
      <c r="L191" s="18" t="n"/>
      <c r="M191" s="18" t="n"/>
      <c r="N191" s="18" t="n"/>
    </row>
    <row r="192">
      <c r="A192" s="18" t="n"/>
      <c r="B192" s="18" t="n"/>
      <c r="C192" s="18" t="n"/>
      <c r="D192" s="18" t="n"/>
      <c r="E192" s="18" t="n"/>
      <c r="F192" s="18" t="n"/>
      <c r="G192" s="18" t="n"/>
      <c r="H192" s="18" t="n"/>
      <c r="I192" s="18" t="n"/>
      <c r="J192" s="18" t="n"/>
      <c r="K192" s="18" t="n"/>
      <c r="L192" s="18" t="n"/>
      <c r="M192" s="18" t="n"/>
      <c r="N192" s="18" t="n"/>
    </row>
    <row r="193">
      <c r="A193" s="18" t="n"/>
      <c r="B193" s="18" t="n"/>
      <c r="C193" s="18" t="n"/>
      <c r="D193" s="18" t="n"/>
      <c r="E193" s="18" t="n"/>
      <c r="F193" s="18" t="n"/>
      <c r="G193" s="18" t="n"/>
      <c r="H193" s="18" t="n"/>
      <c r="I193" s="18" t="n"/>
      <c r="J193" s="18" t="n"/>
      <c r="K193" s="18" t="n"/>
      <c r="L193" s="18" t="n"/>
      <c r="M193" s="18" t="n"/>
      <c r="N193" s="18" t="n"/>
    </row>
    <row r="194">
      <c r="A194" s="18" t="n"/>
      <c r="B194" s="18" t="n"/>
      <c r="C194" s="18" t="n"/>
      <c r="D194" s="18" t="n"/>
      <c r="E194" s="18" t="n"/>
      <c r="F194" s="18" t="n"/>
      <c r="G194" s="18" t="n"/>
      <c r="H194" s="18" t="n"/>
      <c r="I194" s="18" t="n"/>
      <c r="J194" s="18" t="n"/>
      <c r="K194" s="18" t="n"/>
      <c r="L194" s="18" t="n"/>
      <c r="M194" s="18" t="n"/>
      <c r="N194" s="18" t="n"/>
    </row>
    <row r="195">
      <c r="A195" s="18" t="n"/>
      <c r="B195" s="18" t="n"/>
      <c r="C195" s="18" t="n"/>
      <c r="D195" s="18" t="n"/>
      <c r="E195" s="18" t="n"/>
      <c r="F195" s="18" t="n"/>
      <c r="G195" s="18" t="n"/>
      <c r="H195" s="18" t="n"/>
      <c r="I195" s="18" t="n"/>
      <c r="J195" s="18" t="n"/>
      <c r="K195" s="18" t="n"/>
      <c r="L195" s="18" t="n"/>
      <c r="M195" s="18" t="n"/>
      <c r="N195" s="18" t="n"/>
    </row>
    <row r="196">
      <c r="A196" s="18" t="n"/>
      <c r="B196" s="18" t="n"/>
      <c r="C196" s="18" t="n"/>
      <c r="D196" s="18" t="n"/>
      <c r="E196" s="18" t="n"/>
      <c r="F196" s="18" t="n"/>
      <c r="G196" s="18" t="n"/>
      <c r="H196" s="18" t="n"/>
      <c r="I196" s="18" t="n"/>
      <c r="J196" s="18" t="n"/>
      <c r="K196" s="18" t="n"/>
      <c r="L196" s="18" t="n"/>
      <c r="M196" s="18" t="n"/>
      <c r="N196" s="18" t="n"/>
    </row>
    <row r="197">
      <c r="A197" s="18" t="n"/>
      <c r="B197" s="18" t="n"/>
      <c r="C197" s="18" t="n"/>
      <c r="D197" s="18" t="n"/>
      <c r="E197" s="18" t="n"/>
      <c r="F197" s="18" t="n"/>
      <c r="G197" s="18" t="n"/>
      <c r="H197" s="18" t="n"/>
      <c r="I197" s="18" t="n"/>
      <c r="J197" s="18" t="n"/>
      <c r="K197" s="18" t="n"/>
      <c r="L197" s="18" t="n"/>
      <c r="M197" s="18" t="n"/>
      <c r="N197" s="18" t="n"/>
    </row>
    <row r="198">
      <c r="A198" t="inlineStr">
        <is>
          <t>M1</t>
        </is>
      </c>
      <c r="B198" t="inlineStr">
        <is>
          <t>乳清蛋白分级产品系统</t>
        </is>
      </c>
      <c r="C198" t="inlineStr">
        <is>
          <t>M1</t>
        </is>
      </c>
      <c r="D198" t="inlineStr">
        <is>
          <t>M1 收奶与分离</t>
        </is>
      </c>
      <c r="E198" t="inlineStr">
        <is>
          <t>M1 收奶与分离</t>
        </is>
      </c>
      <c r="F198" t="n">
        <v>1</v>
      </c>
      <c r="G198" t="inlineStr">
        <is>
          <t>计算过程</t>
        </is>
      </c>
      <c r="J198" t="inlineStr">
        <is>
          <t>SRC-RAW</t>
        </is>
      </c>
      <c r="K198" t="inlineStr">
        <is>
          <t>已审查</t>
        </is>
      </c>
      <c r="O198" t="inlineStr">
        <is>
          <t>SRC-RAW 20步步骤表模块分段</t>
        </is>
      </c>
      <c r="P198" t="inlineStr">
        <is>
          <t>D-A2＋WPI边界（用户2026-09-28确认）</t>
        </is>
      </c>
    </row>
    <row r="199">
      <c r="A199" t="inlineStr">
        <is>
          <t>M2</t>
        </is>
      </c>
      <c r="B199" t="inlineStr">
        <is>
          <t>乳清蛋白分级产品系统</t>
        </is>
      </c>
      <c r="C199" t="inlineStr">
        <is>
          <t>M2</t>
        </is>
      </c>
      <c r="D199" t="inlineStr">
        <is>
          <t>M2 牛奶蛋白分级</t>
        </is>
      </c>
      <c r="E199" t="inlineStr">
        <is>
          <t>M2 牛奶蛋白分级</t>
        </is>
      </c>
      <c r="F199" t="n">
        <v>2</v>
      </c>
      <c r="G199" t="inlineStr">
        <is>
          <t>计算过程</t>
        </is>
      </c>
      <c r="J199" t="inlineStr">
        <is>
          <t>SRC-RAW</t>
        </is>
      </c>
      <c r="K199" t="inlineStr">
        <is>
          <t>已审查</t>
        </is>
      </c>
      <c r="O199" t="inlineStr">
        <is>
          <t>SRC-RAW 20步步骤表模块分段</t>
        </is>
      </c>
      <c r="P199" t="inlineStr">
        <is>
          <t>D-A2＋WPI边界（用户2026-09-28确认）</t>
        </is>
      </c>
    </row>
    <row r="200">
      <c r="A200" t="inlineStr">
        <is>
          <t>M3</t>
        </is>
      </c>
      <c r="B200" t="inlineStr">
        <is>
          <t>乳清蛋白分级产品系统</t>
        </is>
      </c>
      <c r="C200" t="inlineStr">
        <is>
          <t>M3</t>
        </is>
      </c>
      <c r="D200" t="inlineStr">
        <is>
          <t>M3 乳清蛋白浓缩</t>
        </is>
      </c>
      <c r="E200" t="inlineStr">
        <is>
          <t>M3 乳清蛋白浓缩</t>
        </is>
      </c>
      <c r="F200" t="n">
        <v>3</v>
      </c>
      <c r="G200" t="inlineStr">
        <is>
          <t>计算过程</t>
        </is>
      </c>
      <c r="J200" t="inlineStr">
        <is>
          <t>SRC-RAW</t>
        </is>
      </c>
      <c r="K200" t="inlineStr">
        <is>
          <t>已审查</t>
        </is>
      </c>
      <c r="O200" t="inlineStr">
        <is>
          <t>SRC-RAW 20步步骤表模块分段</t>
        </is>
      </c>
      <c r="P200" t="inlineStr">
        <is>
          <t>D-A2＋WPI边界（用户2026-09-28确认）</t>
        </is>
      </c>
    </row>
    <row r="201">
      <c r="A201" t="inlineStr">
        <is>
          <t>M4</t>
        </is>
      </c>
      <c r="B201" t="inlineStr">
        <is>
          <t>乳清蛋白分级产品系统</t>
        </is>
      </c>
      <c r="C201" t="inlineStr">
        <is>
          <t>M4</t>
        </is>
      </c>
      <c r="D201" t="inlineStr">
        <is>
          <t>M4 乳糖回收</t>
        </is>
      </c>
      <c r="E201" t="inlineStr">
        <is>
          <t>M4 乳糖回收</t>
        </is>
      </c>
      <c r="F201" t="n">
        <v>4</v>
      </c>
      <c r="G201" t="inlineStr">
        <is>
          <t>计算过程</t>
        </is>
      </c>
      <c r="J201" t="inlineStr">
        <is>
          <t>SRC-RAW</t>
        </is>
      </c>
      <c r="K201" t="inlineStr">
        <is>
          <t>已审查</t>
        </is>
      </c>
      <c r="O201" t="inlineStr">
        <is>
          <t>SRC-RAW 20步步骤表模块分段</t>
        </is>
      </c>
      <c r="P201" t="inlineStr">
        <is>
          <t>D-A2＋WPI边界（用户2026-09-28确认）</t>
        </is>
      </c>
    </row>
    <row r="202">
      <c r="A202" t="inlineStr">
        <is>
          <t>M5</t>
        </is>
      </c>
      <c r="B202" t="inlineStr">
        <is>
          <t>乳清蛋白分级产品系统</t>
        </is>
      </c>
      <c r="C202" t="inlineStr">
        <is>
          <t>M5</t>
        </is>
      </c>
      <c r="D202" t="inlineStr">
        <is>
          <t>M5 污水处理</t>
        </is>
      </c>
      <c r="E202" t="inlineStr">
        <is>
          <t>M5 污水处理</t>
        </is>
      </c>
      <c r="F202" t="n">
        <v>5</v>
      </c>
      <c r="G202" t="inlineStr">
        <is>
          <t>计算过程</t>
        </is>
      </c>
      <c r="J202" t="inlineStr">
        <is>
          <t>SRC-RAW</t>
        </is>
      </c>
      <c r="K202" t="inlineStr">
        <is>
          <t>已审查</t>
        </is>
      </c>
      <c r="O202" t="inlineStr">
        <is>
          <t>SRC-RAW 20步步骤表模块分段</t>
        </is>
      </c>
      <c r="P202" t="inlineStr">
        <is>
          <t>D-A2＋WPI边界（用户2026-09-28确认）</t>
        </is>
      </c>
    </row>
  </sheetData>
  <dataValidations count="5">
    <dataValidation sqref="G5:G204" showDropDown="0" showInputMessage="0" showErrorMessage="0" allowBlank="0" type="list">
      <formula1>"model_process,aggregate,subprocess,unknown"</formula1>
    </dataValidation>
    <dataValidation sqref="I5:I204" showDropDown="0" showInputMessage="0" showErrorMessage="0" allowBlank="0" type="list">
      <formula1>"main,common,side,recycle,boundary,unknown"</formula1>
    </dataValidation>
    <dataValidation sqref="K5:K204" showDropDown="0" showInputMessage="0" showErrorMessage="0" allowBlank="0" type="list">
      <formula1>"adopted,source_only,excluded,review"</formula1>
    </dataValidation>
    <dataValidation sqref="L5:L204" showDropDown="0" showInputMessage="0" showErrorMessage="0" allowBlank="0" type="list">
      <formula1>"as_modelled,expand_confirmed,collapse_confirmed"</formula1>
    </dataValidation>
    <dataValidation sqref="M5:M204" showDropDown="0" showInputMessage="0" showErrorMessage="0" allowBlank="0" type="list">
      <formula1>"待确认,已确认,不适用"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1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22" customWidth="1" min="4" max="4"/>
    <col width="34" customWidth="1" min="5" max="5"/>
    <col width="14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  <col width="20" customWidth="1" min="15" max="15"/>
    <col width="18" customWidth="1" min="16" max="16"/>
    <col width="24" customWidth="1" min="17" max="17"/>
    <col width="16" customWidth="1" min="18" max="18"/>
    <col width="34" customWidth="1" min="19" max="19"/>
    <col width="18" customWidth="1" min="20" max="20"/>
  </cols>
  <sheetData>
    <row r="1" ht="24" customHeight="1">
      <c r="A1" s="1" t="inlineStr">
        <is>
          <t>模型参数</t>
        </is>
      </c>
    </row>
    <row r="2" ht="24" customHeight="1">
      <c r="A2" s="2" t="inlineStr">
        <is>
          <t>分布忠实来自原始数据；图示代表值与不确定性分布分开记录。</t>
        </is>
      </c>
    </row>
    <row r="4" ht="28" customHeight="1">
      <c r="A4" s="14" t="inlineStr">
        <is>
          <t>参数ID</t>
        </is>
      </c>
      <c r="B4" s="15" t="inlineStr">
        <is>
          <t>过程ID</t>
        </is>
      </c>
      <c r="C4" s="15" t="inlineStr">
        <is>
          <t>原始参数名</t>
        </is>
      </c>
      <c r="D4" s="15" t="inlineStr">
        <is>
          <t>中文名称</t>
        </is>
      </c>
      <c r="E4" s="15" t="inlineStr">
        <is>
          <t>物理意义</t>
        </is>
      </c>
      <c r="F4" s="15" t="inlineStr">
        <is>
          <t>单位</t>
        </is>
      </c>
      <c r="G4" s="15" t="inlineStr">
        <is>
          <t>分布类型</t>
        </is>
      </c>
      <c r="H4" s="15" t="inlineStr">
        <is>
          <t>最小值</t>
        </is>
      </c>
      <c r="I4" s="15" t="inlineStr">
        <is>
          <t>最大值</t>
        </is>
      </c>
      <c r="J4" s="15" t="inlineStr">
        <is>
          <t>中位数</t>
        </is>
      </c>
      <c r="K4" s="15" t="inlineStr">
        <is>
          <t>均值</t>
        </is>
      </c>
      <c r="L4" s="15" t="inlineStr">
        <is>
          <t>众数</t>
        </is>
      </c>
      <c r="M4" s="15" t="inlineStr">
        <is>
          <t>固定值</t>
        </is>
      </c>
      <c r="N4" s="15" t="inlineStr">
        <is>
          <t>图示代表值</t>
        </is>
      </c>
      <c r="O4" s="15" t="inlineStr">
        <is>
          <t>代表值规则</t>
        </is>
      </c>
      <c r="P4" s="15" t="inlineStr">
        <is>
          <t>来源ID</t>
        </is>
      </c>
      <c r="Q4" s="15" t="inlineStr">
        <is>
          <t>使用公式/流ID</t>
        </is>
      </c>
      <c r="R4" s="15" t="inlineStr">
        <is>
          <t>状态</t>
        </is>
      </c>
      <c r="S4" s="16" t="inlineStr">
        <is>
          <t>备注</t>
        </is>
      </c>
      <c r="T4" s="42" t="inlineStr">
        <is>
          <t>采用候选ID</t>
        </is>
      </c>
    </row>
    <row r="5">
      <c r="A5" s="18" t="inlineStr">
        <is>
          <t>PA-EN-01A</t>
        </is>
      </c>
      <c r="B5" s="18" t="inlineStr">
        <is>
          <t>PR01</t>
        </is>
      </c>
      <c r="C5" s="18" t="inlineStr">
        <is>
          <t>Ice water production and cooling of milk</t>
        </is>
      </c>
      <c r="D5" s="18" t="inlineStr">
        <is>
          <t>分项电力实测</t>
        </is>
      </c>
      <c r="E5" s="18" t="inlineStr">
        <is>
          <t>电力消耗</t>
        </is>
      </c>
      <c r="F5" s="18" t="inlineStr">
        <is>
          <t>kWh/d</t>
        </is>
      </c>
      <c r="G5" s="18" t="inlineStr">
        <is>
          <t>FIXED</t>
        </is>
      </c>
      <c r="H5" s="51" t="n"/>
      <c r="I5" s="51" t="n"/>
      <c r="J5" s="51" t="n"/>
      <c r="K5" s="51" t="n"/>
      <c r="L5" s="51" t="n"/>
      <c r="M5" s="51" t="n">
        <v>1068</v>
      </c>
      <c r="N5" s="52">
        <f>IF(A138="","",IF(G138="FIXED",M138,IF(G138="UNIFORM",IF(AND(ISNUMBER(H138),ISNUMBER(I138)),(H138+I138)/2,""),IF(G138="TRIANGLE",IF(ISNUMBER(L138),L138,IF(ISNUMBER(J138),J138,"")),IF(ISNUMBER(J138),J138,IF(ISNUMBER(K138),K138,""))))))</f>
        <v/>
      </c>
      <c r="O5" s="32">
        <f>IF(A138="","",IF(G138="FIXED","fixed",IF(G138="UNIFORM","midpoint_median",IF(G138="TRIANGLE",IF(ISNUMBER(L138),"mode",IF(ISNUMBER(J138),"source_median","missing")),IF(ISNUMBER(J138),"source_median",IF(ISNUMBER(K138),"source_mean","missing"))))))</f>
        <v/>
      </c>
      <c r="P5" s="18" t="inlineStr">
        <is>
          <t>SRC-RAW</t>
        </is>
      </c>
      <c r="Q5" s="18" t="inlineStr">
        <is>
          <t>FL-EL-01</t>
        </is>
      </c>
      <c r="R5" s="18" t="inlineStr">
        <is>
          <t>采用</t>
        </is>
      </c>
      <c r="S5" s="18" t="inlineStr"/>
      <c r="T5" t="inlineStr">
        <is>
          <t>CT-EN-01A</t>
        </is>
      </c>
    </row>
    <row r="6">
      <c r="A6" s="18" t="inlineStr">
        <is>
          <t>PA-EN-01B</t>
        </is>
      </c>
      <c r="B6" s="18" t="inlineStr">
        <is>
          <t>PR01</t>
        </is>
      </c>
      <c r="C6" s="18" t="inlineStr">
        <is>
          <t>Work of transfert pumps</t>
        </is>
      </c>
      <c r="D6" s="18" t="inlineStr">
        <is>
          <t>分项电力实测</t>
        </is>
      </c>
      <c r="E6" s="18" t="inlineStr">
        <is>
          <t>电力消耗</t>
        </is>
      </c>
      <c r="F6" s="18" t="inlineStr">
        <is>
          <t>kWh/d</t>
        </is>
      </c>
      <c r="G6" s="18" t="inlineStr">
        <is>
          <t>FIXED</t>
        </is>
      </c>
      <c r="H6" s="51" t="n"/>
      <c r="I6" s="51" t="n"/>
      <c r="J6" s="51" t="n"/>
      <c r="K6" s="51" t="n"/>
      <c r="L6" s="51" t="n"/>
      <c r="M6" s="51" t="n">
        <v>70</v>
      </c>
      <c r="N6" s="52">
        <f>IF(A139="","",IF(G139="FIXED",M139,IF(G139="UNIFORM",IF(AND(ISNUMBER(H139),ISNUMBER(I139)),(H139+I139)/2,""),IF(G139="TRIANGLE",IF(ISNUMBER(L139),L139,IF(ISNUMBER(J139),J139,"")),IF(ISNUMBER(J139),J139,IF(ISNUMBER(K139),K139,""))))))</f>
        <v/>
      </c>
      <c r="O6" s="32">
        <f>IF(A139="","",IF(G139="FIXED","fixed",IF(G139="UNIFORM","midpoint_median",IF(G139="TRIANGLE",IF(ISNUMBER(L139),"mode",IF(ISNUMBER(J139),"source_median","missing")),IF(ISNUMBER(J139),"source_median",IF(ISNUMBER(K139),"source_mean","missing"))))))</f>
        <v/>
      </c>
      <c r="P6" s="18" t="inlineStr">
        <is>
          <t>SRC-RAW</t>
        </is>
      </c>
      <c r="Q6" s="18" t="inlineStr">
        <is>
          <t>FL-EL-01</t>
        </is>
      </c>
      <c r="R6" s="18" t="inlineStr">
        <is>
          <t>采用</t>
        </is>
      </c>
      <c r="S6" s="18" t="inlineStr"/>
      <c r="T6" t="inlineStr">
        <is>
          <t>CT-EN-01B</t>
        </is>
      </c>
    </row>
    <row r="7">
      <c r="A7" s="18" t="inlineStr">
        <is>
          <t>PA-EN-02A</t>
        </is>
      </c>
      <c r="B7" s="18" t="inlineStr">
        <is>
          <t>PR02</t>
        </is>
      </c>
      <c r="C7" s="18" t="inlineStr">
        <is>
          <t>Work of transfert pumps</t>
        </is>
      </c>
      <c r="D7" s="18" t="inlineStr">
        <is>
          <t>分项电力实测</t>
        </is>
      </c>
      <c r="E7" s="18" t="inlineStr">
        <is>
          <t>电力消耗</t>
        </is>
      </c>
      <c r="F7" s="18" t="inlineStr">
        <is>
          <t>kWh/d</t>
        </is>
      </c>
      <c r="G7" s="18" t="inlineStr">
        <is>
          <t>FIXED</t>
        </is>
      </c>
      <c r="H7" s="51" t="n"/>
      <c r="I7" s="51" t="n"/>
      <c r="J7" s="51" t="n"/>
      <c r="K7" s="51" t="n"/>
      <c r="L7" s="51" t="n"/>
      <c r="M7" s="51" t="n">
        <v>1035</v>
      </c>
      <c r="N7" s="52">
        <f>IF(A140="","",IF(G140="FIXED",M140,IF(G140="UNIFORM",IF(AND(ISNUMBER(H140),ISNUMBER(I140)),(H140+I140)/2,""),IF(G140="TRIANGLE",IF(ISNUMBER(L140),L140,IF(ISNUMBER(J140),J140,"")),IF(ISNUMBER(J140),J140,IF(ISNUMBER(K140),K140,""))))))</f>
        <v/>
      </c>
      <c r="O7" s="32">
        <f>IF(A140="","",IF(G140="FIXED","fixed",IF(G140="UNIFORM","midpoint_median",IF(G140="TRIANGLE",IF(ISNUMBER(L140),"mode",IF(ISNUMBER(J140),"source_median","missing")),IF(ISNUMBER(J140),"source_median",IF(ISNUMBER(K140),"source_mean","missing"))))))</f>
        <v/>
      </c>
      <c r="P7" s="18" t="inlineStr">
        <is>
          <t>SRC-RAW</t>
        </is>
      </c>
      <c r="Q7" s="18" t="inlineStr">
        <is>
          <t>FL-EL-02</t>
        </is>
      </c>
      <c r="R7" s="18" t="inlineStr">
        <is>
          <t>采用</t>
        </is>
      </c>
      <c r="S7" s="18" t="inlineStr"/>
      <c r="T7" t="inlineStr">
        <is>
          <t>CT-EN-02A</t>
        </is>
      </c>
    </row>
    <row r="8">
      <c r="A8" s="18" t="inlineStr">
        <is>
          <t>PA-EN-04A</t>
        </is>
      </c>
      <c r="B8" s="18" t="inlineStr">
        <is>
          <t>PR04</t>
        </is>
      </c>
      <c r="C8" s="18" t="inlineStr">
        <is>
          <t>pumping + ice water production +  coolin</t>
        </is>
      </c>
      <c r="D8" s="18" t="inlineStr">
        <is>
          <t>分项电力实测</t>
        </is>
      </c>
      <c r="E8" s="18" t="inlineStr">
        <is>
          <t>电力消耗</t>
        </is>
      </c>
      <c r="F8" s="18" t="inlineStr">
        <is>
          <t>kWh/d</t>
        </is>
      </c>
      <c r="G8" s="18" t="inlineStr">
        <is>
          <t>FIXED</t>
        </is>
      </c>
      <c r="H8" s="51" t="n"/>
      <c r="I8" s="51" t="n"/>
      <c r="J8" s="51" t="n"/>
      <c r="K8" s="51" t="n"/>
      <c r="L8" s="51" t="n"/>
      <c r="M8" s="51" t="n">
        <v>1440</v>
      </c>
      <c r="N8" s="52">
        <f>IF(A141="","",IF(G141="FIXED",M141,IF(G141="UNIFORM",IF(AND(ISNUMBER(H141),ISNUMBER(I141)),(H141+I141)/2,""),IF(G141="TRIANGLE",IF(ISNUMBER(L141),L141,IF(ISNUMBER(J141),J141,"")),IF(ISNUMBER(J141),J141,IF(ISNUMBER(K141),K141,""))))))</f>
        <v/>
      </c>
      <c r="O8" s="32">
        <f>IF(A141="","",IF(G141="FIXED","fixed",IF(G141="UNIFORM","midpoint_median",IF(G141="TRIANGLE",IF(ISNUMBER(L141),"mode",IF(ISNUMBER(J141),"source_median","missing")),IF(ISNUMBER(J141),"source_median",IF(ISNUMBER(K141),"source_mean","missing"))))))</f>
        <v/>
      </c>
      <c r="P8" s="18" t="inlineStr">
        <is>
          <t>SRC-RAW</t>
        </is>
      </c>
      <c r="Q8" s="18" t="inlineStr">
        <is>
          <t>FL-EL-04</t>
        </is>
      </c>
      <c r="R8" s="18" t="inlineStr">
        <is>
          <t>采用</t>
        </is>
      </c>
      <c r="S8" s="18" t="inlineStr"/>
      <c r="T8" t="inlineStr">
        <is>
          <t>CT-EN-04A</t>
        </is>
      </c>
    </row>
    <row r="9">
      <c r="A9" s="18" t="inlineStr">
        <is>
          <t>PA-EN-05A</t>
        </is>
      </c>
      <c r="B9" s="18" t="inlineStr">
        <is>
          <t>PR05</t>
        </is>
      </c>
      <c r="C9" s="18" t="inlineStr">
        <is>
          <t>Work of MF pumps</t>
        </is>
      </c>
      <c r="D9" s="18" t="inlineStr">
        <is>
          <t>分项电力实测</t>
        </is>
      </c>
      <c r="E9" s="18" t="inlineStr">
        <is>
          <t>电力消耗</t>
        </is>
      </c>
      <c r="F9" s="18" t="inlineStr">
        <is>
          <t>kWh/d</t>
        </is>
      </c>
      <c r="G9" s="18" t="inlineStr">
        <is>
          <t>FIXED</t>
        </is>
      </c>
      <c r="H9" s="51" t="n"/>
      <c r="I9" s="51" t="n"/>
      <c r="J9" s="51" t="n"/>
      <c r="K9" s="51" t="n"/>
      <c r="L9" s="51" t="n"/>
      <c r="M9" s="51" t="n">
        <v>7996</v>
      </c>
      <c r="N9" s="52">
        <f>IF(A142="","",IF(G142="FIXED",M142,IF(G142="UNIFORM",IF(AND(ISNUMBER(H142),ISNUMBER(I142)),(H142+I142)/2,""),IF(G142="TRIANGLE",IF(ISNUMBER(L142),L142,IF(ISNUMBER(J142),J142,"")),IF(ISNUMBER(J142),J142,IF(ISNUMBER(K142),K142,""))))))</f>
        <v/>
      </c>
      <c r="O9" s="32">
        <f>IF(A142="","",IF(G142="FIXED","fixed",IF(G142="UNIFORM","midpoint_median",IF(G142="TRIANGLE",IF(ISNUMBER(L142),"mode",IF(ISNUMBER(J142),"source_median","missing")),IF(ISNUMBER(J142),"source_median",IF(ISNUMBER(K142),"source_mean","missing"))))))</f>
        <v/>
      </c>
      <c r="P9" s="18" t="inlineStr">
        <is>
          <t>SRC-RAW</t>
        </is>
      </c>
      <c r="Q9" s="18" t="inlineStr">
        <is>
          <t>FL-EL-05</t>
        </is>
      </c>
      <c r="R9" s="18" t="inlineStr">
        <is>
          <t>采用</t>
        </is>
      </c>
      <c r="S9" s="18" t="inlineStr"/>
      <c r="T9" t="inlineStr">
        <is>
          <t>CT-EN-05A</t>
        </is>
      </c>
    </row>
    <row r="10">
      <c r="A10" s="18" t="inlineStr">
        <is>
          <t>PA-EN-05B</t>
        </is>
      </c>
      <c r="B10" s="18" t="inlineStr">
        <is>
          <t>PR05</t>
        </is>
      </c>
      <c r="C10" s="18" t="inlineStr">
        <is>
          <t>Work of transfert pumps</t>
        </is>
      </c>
      <c r="D10" s="18" t="inlineStr">
        <is>
          <t>分项电力实测</t>
        </is>
      </c>
      <c r="E10" s="18" t="inlineStr">
        <is>
          <t>电力消耗</t>
        </is>
      </c>
      <c r="F10" s="18" t="inlineStr">
        <is>
          <t>kWh/d</t>
        </is>
      </c>
      <c r="G10" s="18" t="inlineStr">
        <is>
          <t>FIXED</t>
        </is>
      </c>
      <c r="H10" s="51" t="n"/>
      <c r="I10" s="51" t="n"/>
      <c r="J10" s="51" t="n"/>
      <c r="K10" s="51" t="n"/>
      <c r="L10" s="51" t="n"/>
      <c r="M10" s="51" t="n">
        <v>157</v>
      </c>
      <c r="N10" s="52">
        <f>IF(A143="","",IF(G143="FIXED",M143,IF(G143="UNIFORM",IF(AND(ISNUMBER(H143),ISNUMBER(I143)),(H143+I143)/2,""),IF(G143="TRIANGLE",IF(ISNUMBER(L143),L143,IF(ISNUMBER(J143),J143,"")),IF(ISNUMBER(J143),J143,IF(ISNUMBER(K143),K143,""))))))</f>
        <v/>
      </c>
      <c r="O10" s="32">
        <f>IF(A143="","",IF(G143="FIXED","fixed",IF(G143="UNIFORM","midpoint_median",IF(G143="TRIANGLE",IF(ISNUMBER(L143),"mode",IF(ISNUMBER(J143),"source_median","missing")),IF(ISNUMBER(J143),"source_median",IF(ISNUMBER(K143),"source_mean","missing"))))))</f>
        <v/>
      </c>
      <c r="P10" s="18" t="inlineStr">
        <is>
          <t>SRC-RAW</t>
        </is>
      </c>
      <c r="Q10" s="18" t="inlineStr">
        <is>
          <t>FL-EL-05</t>
        </is>
      </c>
      <c r="R10" s="18" t="inlineStr">
        <is>
          <t>采用</t>
        </is>
      </c>
      <c r="S10" s="18" t="inlineStr"/>
      <c r="T10" t="inlineStr">
        <is>
          <t>CT-EN-05B</t>
        </is>
      </c>
    </row>
    <row r="11">
      <c r="A11" s="18" t="inlineStr">
        <is>
          <t>PA-EN-06A</t>
        </is>
      </c>
      <c r="B11" s="18" t="inlineStr">
        <is>
          <t>PR06</t>
        </is>
      </c>
      <c r="C11" s="18" t="inlineStr">
        <is>
          <t>Ice water production and cooling of rete</t>
        </is>
      </c>
      <c r="D11" s="18" t="inlineStr">
        <is>
          <t>分项电力实测</t>
        </is>
      </c>
      <c r="E11" s="18" t="inlineStr">
        <is>
          <t>电力消耗</t>
        </is>
      </c>
      <c r="F11" s="18" t="inlineStr">
        <is>
          <t>kWh/d</t>
        </is>
      </c>
      <c r="G11" s="18" t="inlineStr">
        <is>
          <t>FIXED</t>
        </is>
      </c>
      <c r="H11" s="51" t="n"/>
      <c r="I11" s="51" t="n"/>
      <c r="J11" s="51" t="n"/>
      <c r="K11" s="51" t="n"/>
      <c r="L11" s="51" t="n"/>
      <c r="M11" s="51" t="n">
        <v>3685</v>
      </c>
      <c r="N11" s="52">
        <f>IF(A144="","",IF(G144="FIXED",M144,IF(G144="UNIFORM",IF(AND(ISNUMBER(H144),ISNUMBER(I144)),(H144+I144)/2,""),IF(G144="TRIANGLE",IF(ISNUMBER(L144),L144,IF(ISNUMBER(J144),J144,"")),IF(ISNUMBER(J144),J144,IF(ISNUMBER(K144),K144,""))))))</f>
        <v/>
      </c>
      <c r="O11" s="32">
        <f>IF(A144="","",IF(G144="FIXED","fixed",IF(G144="UNIFORM","midpoint_median",IF(G144="TRIANGLE",IF(ISNUMBER(L144),"mode",IF(ISNUMBER(J144),"source_median","missing")),IF(ISNUMBER(J144),"source_median",IF(ISNUMBER(K144),"source_mean","missing"))))))</f>
        <v/>
      </c>
      <c r="P11" s="18" t="inlineStr">
        <is>
          <t>SRC-RAW</t>
        </is>
      </c>
      <c r="Q11" s="18" t="inlineStr">
        <is>
          <t>FL-EL-06</t>
        </is>
      </c>
      <c r="R11" s="18" t="inlineStr">
        <is>
          <t>采用</t>
        </is>
      </c>
      <c r="S11" s="18" t="inlineStr"/>
      <c r="T11" t="inlineStr">
        <is>
          <t>CT-EN-06A</t>
        </is>
      </c>
    </row>
    <row r="12">
      <c r="A12" s="18" t="inlineStr">
        <is>
          <t>PA-EN-07A</t>
        </is>
      </c>
      <c r="B12" s="18" t="inlineStr">
        <is>
          <t>PR07</t>
        </is>
      </c>
      <c r="C12" s="18" t="inlineStr">
        <is>
          <t>Work of transfert pumps</t>
        </is>
      </c>
      <c r="D12" s="18" t="inlineStr">
        <is>
          <t>分项电力实测</t>
        </is>
      </c>
      <c r="E12" s="18" t="inlineStr">
        <is>
          <t>电力消耗</t>
        </is>
      </c>
      <c r="F12" s="18" t="inlineStr">
        <is>
          <t>kWh/d</t>
        </is>
      </c>
      <c r="G12" s="18" t="inlineStr">
        <is>
          <t>FIXED</t>
        </is>
      </c>
      <c r="H12" s="51" t="n"/>
      <c r="I12" s="51" t="n"/>
      <c r="J12" s="51" t="n"/>
      <c r="K12" s="51" t="n"/>
      <c r="L12" s="51" t="n"/>
      <c r="M12" s="51" t="n">
        <v>38</v>
      </c>
      <c r="N12" s="52">
        <f>IF(A145="","",IF(G145="FIXED",M145,IF(G145="UNIFORM",IF(AND(ISNUMBER(H145),ISNUMBER(I145)),(H145+I145)/2,""),IF(G145="TRIANGLE",IF(ISNUMBER(L145),L145,IF(ISNUMBER(J145),J145,"")),IF(ISNUMBER(J145),J145,IF(ISNUMBER(K145),K145,""))))))</f>
        <v/>
      </c>
      <c r="O12" s="32">
        <f>IF(A145="","",IF(G145="FIXED","fixed",IF(G145="UNIFORM","midpoint_median",IF(G145="TRIANGLE",IF(ISNUMBER(L145),"mode",IF(ISNUMBER(J145),"source_median","missing")),IF(ISNUMBER(J145),"source_median",IF(ISNUMBER(K145),"source_mean","missing"))))))</f>
        <v/>
      </c>
      <c r="P12" s="18" t="inlineStr">
        <is>
          <t>SRC-RAW</t>
        </is>
      </c>
      <c r="Q12" s="18" t="inlineStr">
        <is>
          <t>FL-EL-07</t>
        </is>
      </c>
      <c r="R12" s="18" t="inlineStr">
        <is>
          <t>采用</t>
        </is>
      </c>
      <c r="S12" s="18" t="inlineStr"/>
      <c r="T12" t="inlineStr">
        <is>
          <t>CT-EN-07A</t>
        </is>
      </c>
    </row>
    <row r="13">
      <c r="A13" s="18" t="inlineStr">
        <is>
          <t>PA-EN-07B</t>
        </is>
      </c>
      <c r="B13" s="18" t="inlineStr">
        <is>
          <t>PR07</t>
        </is>
      </c>
      <c r="C13" s="18" t="inlineStr">
        <is>
          <t>Ice water production and cooling of crea</t>
        </is>
      </c>
      <c r="D13" s="18" t="inlineStr">
        <is>
          <t>分项电力实测</t>
        </is>
      </c>
      <c r="E13" s="18" t="inlineStr">
        <is>
          <t>电力消耗</t>
        </is>
      </c>
      <c r="F13" s="18" t="inlineStr">
        <is>
          <t>kWh/d</t>
        </is>
      </c>
      <c r="G13" s="18" t="inlineStr">
        <is>
          <t>FIXED</t>
        </is>
      </c>
      <c r="H13" s="51" t="n"/>
      <c r="I13" s="51" t="n"/>
      <c r="J13" s="51" t="n"/>
      <c r="K13" s="51" t="n"/>
      <c r="L13" s="51" t="n"/>
      <c r="M13" s="51" t="n">
        <v>0</v>
      </c>
      <c r="N13" s="52">
        <f>IF(A146="","",IF(G146="FIXED",M146,IF(G146="UNIFORM",IF(AND(ISNUMBER(H146),ISNUMBER(I146)),(H146+I146)/2,""),IF(G146="TRIANGLE",IF(ISNUMBER(L146),L146,IF(ISNUMBER(J146),J146,"")),IF(ISNUMBER(J146),J146,IF(ISNUMBER(K146),K146,""))))))</f>
        <v/>
      </c>
      <c r="O13" s="32">
        <f>IF(A146="","",IF(G146="FIXED","fixed",IF(G146="UNIFORM","midpoint_median",IF(G146="TRIANGLE",IF(ISNUMBER(L146),"mode",IF(ISNUMBER(J146),"source_median","missing")),IF(ISNUMBER(J146),"source_median",IF(ISNUMBER(K146),"source_mean","missing"))))))</f>
        <v/>
      </c>
      <c r="P13" s="18" t="inlineStr">
        <is>
          <t>SRC-RAW</t>
        </is>
      </c>
      <c r="Q13" s="18" t="inlineStr">
        <is>
          <t>FL-EL-07</t>
        </is>
      </c>
      <c r="R13" s="18" t="inlineStr">
        <is>
          <t>采用</t>
        </is>
      </c>
      <c r="S13" s="18" t="inlineStr"/>
      <c r="T13" t="inlineStr">
        <is>
          <t>CT-EN-07B</t>
        </is>
      </c>
    </row>
    <row r="14">
      <c r="A14" s="18" t="inlineStr">
        <is>
          <t>PA-EN-08A</t>
        </is>
      </c>
      <c r="B14" s="18" t="inlineStr">
        <is>
          <t>PR08</t>
        </is>
      </c>
      <c r="C14" s="18" t="inlineStr">
        <is>
          <t>Work of UF pumps</t>
        </is>
      </c>
      <c r="D14" s="18" t="inlineStr">
        <is>
          <t>分项电力实测</t>
        </is>
      </c>
      <c r="E14" s="18" t="inlineStr">
        <is>
          <t>电力消耗</t>
        </is>
      </c>
      <c r="F14" s="18" t="inlineStr">
        <is>
          <t>kWh/d</t>
        </is>
      </c>
      <c r="G14" s="18" t="inlineStr">
        <is>
          <t>FIXED</t>
        </is>
      </c>
      <c r="H14" s="51" t="n"/>
      <c r="I14" s="51" t="n"/>
      <c r="J14" s="51" t="n"/>
      <c r="K14" s="51" t="n"/>
      <c r="L14" s="51" t="n"/>
      <c r="M14" s="51" t="n">
        <v>2200</v>
      </c>
      <c r="N14" s="52">
        <f>IF(A147="","",IF(G147="FIXED",M147,IF(G147="UNIFORM",IF(AND(ISNUMBER(H147),ISNUMBER(I147)),(H147+I147)/2,""),IF(G147="TRIANGLE",IF(ISNUMBER(L147),L147,IF(ISNUMBER(J147),J147,"")),IF(ISNUMBER(J147),J147,IF(ISNUMBER(K147),K147,""))))))</f>
        <v/>
      </c>
      <c r="O14" s="32">
        <f>IF(A147="","",IF(G147="FIXED","fixed",IF(G147="UNIFORM","midpoint_median",IF(G147="TRIANGLE",IF(ISNUMBER(L147),"mode",IF(ISNUMBER(J147),"source_median","missing")),IF(ISNUMBER(J147),"source_median",IF(ISNUMBER(K147),"source_mean","missing"))))))</f>
        <v/>
      </c>
      <c r="P14" s="18" t="inlineStr">
        <is>
          <t>SRC-RAW</t>
        </is>
      </c>
      <c r="Q14" s="18" t="inlineStr">
        <is>
          <t>FL-EL-08</t>
        </is>
      </c>
      <c r="R14" s="18" t="inlineStr">
        <is>
          <t>采用</t>
        </is>
      </c>
      <c r="S14" s="18" t="inlineStr"/>
      <c r="T14" t="inlineStr">
        <is>
          <t>CT-EN-08A</t>
        </is>
      </c>
    </row>
    <row r="15">
      <c r="A15" s="18" t="inlineStr">
        <is>
          <t>PA-EN-08B</t>
        </is>
      </c>
      <c r="B15" s="18" t="inlineStr">
        <is>
          <t>PR08</t>
        </is>
      </c>
      <c r="C15" s="18" t="inlineStr">
        <is>
          <t>Ice water production and cooling of perm</t>
        </is>
      </c>
      <c r="D15" s="18" t="inlineStr">
        <is>
          <t>分项电力实测</t>
        </is>
      </c>
      <c r="E15" s="18" t="inlineStr">
        <is>
          <t>电力消耗</t>
        </is>
      </c>
      <c r="F15" s="18" t="inlineStr">
        <is>
          <t>kWh/d</t>
        </is>
      </c>
      <c r="G15" s="18" t="inlineStr">
        <is>
          <t>FIXED</t>
        </is>
      </c>
      <c r="H15" s="51" t="n"/>
      <c r="I15" s="51" t="n"/>
      <c r="J15" s="51" t="n"/>
      <c r="K15" s="51" t="n"/>
      <c r="L15" s="51" t="n"/>
      <c r="M15" s="51" t="n">
        <v>13</v>
      </c>
      <c r="N15" s="52">
        <f>IF(A148="","",IF(G148="FIXED",M148,IF(G148="UNIFORM",IF(AND(ISNUMBER(H148),ISNUMBER(I148)),(H148+I148)/2,""),IF(G148="TRIANGLE",IF(ISNUMBER(L148),L148,IF(ISNUMBER(J148),J148,"")),IF(ISNUMBER(J148),J148,IF(ISNUMBER(K148),K148,""))))))</f>
        <v/>
      </c>
      <c r="O15" s="32">
        <f>IF(A148="","",IF(G148="FIXED","fixed",IF(G148="UNIFORM","midpoint_median",IF(G148="TRIANGLE",IF(ISNUMBER(L148),"mode",IF(ISNUMBER(J148),"source_median","missing")),IF(ISNUMBER(J148),"source_median",IF(ISNUMBER(K148),"source_mean","missing"))))))</f>
        <v/>
      </c>
      <c r="P15" s="18" t="inlineStr">
        <is>
          <t>SRC-RAW</t>
        </is>
      </c>
      <c r="Q15" s="18" t="inlineStr">
        <is>
          <t>FL-EL-08</t>
        </is>
      </c>
      <c r="R15" s="18" t="inlineStr">
        <is>
          <t>采用</t>
        </is>
      </c>
      <c r="S15" s="18" t="inlineStr"/>
      <c r="T15" t="inlineStr">
        <is>
          <t>CT-EN-08B</t>
        </is>
      </c>
    </row>
    <row r="16">
      <c r="A16" s="18" t="inlineStr">
        <is>
          <t>PA-EN-09A</t>
        </is>
      </c>
      <c r="B16" s="18" t="inlineStr">
        <is>
          <t>PR09</t>
        </is>
      </c>
      <c r="C16" s="18" t="inlineStr">
        <is>
          <t>Ice water production and cooling of perm</t>
        </is>
      </c>
      <c r="D16" s="18" t="inlineStr">
        <is>
          <t>分项电力实测</t>
        </is>
      </c>
      <c r="E16" s="18" t="inlineStr">
        <is>
          <t>电力消耗</t>
        </is>
      </c>
      <c r="F16" s="18" t="inlineStr">
        <is>
          <t>kWh/d</t>
        </is>
      </c>
      <c r="G16" s="18" t="inlineStr">
        <is>
          <t>FIXED</t>
        </is>
      </c>
      <c r="H16" s="51" t="n"/>
      <c r="I16" s="51" t="n"/>
      <c r="J16" s="51" t="n"/>
      <c r="K16" s="51" t="n"/>
      <c r="L16" s="51" t="n"/>
      <c r="M16" s="51" t="n">
        <v>129</v>
      </c>
      <c r="N16" s="52">
        <f>IF(A149="","",IF(G149="FIXED",M149,IF(G149="UNIFORM",IF(AND(ISNUMBER(H149),ISNUMBER(I149)),(H149+I149)/2,""),IF(G149="TRIANGLE",IF(ISNUMBER(L149),L149,IF(ISNUMBER(J149),J149,"")),IF(ISNUMBER(J149),J149,IF(ISNUMBER(K149),K149,""))))))</f>
        <v/>
      </c>
      <c r="O16" s="32">
        <f>IF(A149="","",IF(G149="FIXED","fixed",IF(G149="UNIFORM","midpoint_median",IF(G149="TRIANGLE",IF(ISNUMBER(L149),"mode",IF(ISNUMBER(J149),"source_median","missing")),IF(ISNUMBER(J149),"source_median",IF(ISNUMBER(K149),"source_mean","missing"))))))</f>
        <v/>
      </c>
      <c r="P16" s="18" t="inlineStr">
        <is>
          <t>SRC-RAW</t>
        </is>
      </c>
      <c r="Q16" s="18" t="inlineStr">
        <is>
          <t>FL-EL-09</t>
        </is>
      </c>
      <c r="R16" s="18" t="inlineStr">
        <is>
          <t>采用</t>
        </is>
      </c>
      <c r="S16" s="18" t="inlineStr"/>
      <c r="T16" t="inlineStr">
        <is>
          <t>CT-EN-09A</t>
        </is>
      </c>
    </row>
    <row r="17">
      <c r="A17" s="18" t="inlineStr">
        <is>
          <t>PA-EN-10A</t>
        </is>
      </c>
      <c r="B17" s="18" t="inlineStr">
        <is>
          <t>PR10</t>
        </is>
      </c>
      <c r="C17" s="18" t="inlineStr">
        <is>
          <t>cool storage during transport</t>
        </is>
      </c>
      <c r="D17" s="18" t="inlineStr">
        <is>
          <t>分项电力实测</t>
        </is>
      </c>
      <c r="E17" s="18" t="inlineStr">
        <is>
          <t>电力消耗</t>
        </is>
      </c>
      <c r="F17" s="18" t="inlineStr">
        <is>
          <t>kWh/d</t>
        </is>
      </c>
      <c r="G17" s="18" t="inlineStr">
        <is>
          <t>FIXED</t>
        </is>
      </c>
      <c r="H17" s="51" t="n"/>
      <c r="I17" s="51" t="n"/>
      <c r="J17" s="51" t="n"/>
      <c r="K17" s="51" t="n"/>
      <c r="L17" s="51" t="n"/>
      <c r="M17" s="51" t="n">
        <v>0</v>
      </c>
      <c r="N17" s="52">
        <f>IF(A150="","",IF(G150="FIXED",M150,IF(G150="UNIFORM",IF(AND(ISNUMBER(H150),ISNUMBER(I150)),(H150+I150)/2,""),IF(G150="TRIANGLE",IF(ISNUMBER(L150),L150,IF(ISNUMBER(J150),J150,"")),IF(ISNUMBER(J150),J150,IF(ISNUMBER(K150),K150,""))))))</f>
        <v/>
      </c>
      <c r="O17" s="32">
        <f>IF(A150="","",IF(G150="FIXED","fixed",IF(G150="UNIFORM","midpoint_median",IF(G150="TRIANGLE",IF(ISNUMBER(L150),"mode",IF(ISNUMBER(J150),"source_median","missing")),IF(ISNUMBER(J150),"source_median",IF(ISNUMBER(K150),"source_mean","missing"))))))</f>
        <v/>
      </c>
      <c r="P17" s="18" t="inlineStr">
        <is>
          <t>SRC-RAW</t>
        </is>
      </c>
      <c r="Q17" s="18" t="inlineStr">
        <is>
          <t>FL-EL-10</t>
        </is>
      </c>
      <c r="R17" s="18" t="inlineStr">
        <is>
          <t>采用</t>
        </is>
      </c>
      <c r="S17" s="18" t="inlineStr"/>
      <c r="T17" t="inlineStr">
        <is>
          <t>CT-EN-10A</t>
        </is>
      </c>
    </row>
    <row r="18">
      <c r="A18" s="18" t="inlineStr">
        <is>
          <t>PA-EN-10B</t>
        </is>
      </c>
      <c r="B18" s="18" t="inlineStr">
        <is>
          <t>PR10</t>
        </is>
      </c>
      <c r="C18" s="18" t="inlineStr">
        <is>
          <t>work of transfer pumps</t>
        </is>
      </c>
      <c r="D18" s="18" t="inlineStr">
        <is>
          <t>分项电力实测</t>
        </is>
      </c>
      <c r="E18" s="18" t="inlineStr">
        <is>
          <t>电力消耗</t>
        </is>
      </c>
      <c r="F18" s="18" t="inlineStr">
        <is>
          <t>kWh/d</t>
        </is>
      </c>
      <c r="G18" s="18" t="inlineStr">
        <is>
          <t>FIXED</t>
        </is>
      </c>
      <c r="H18" s="51" t="n"/>
      <c r="I18" s="51" t="n"/>
      <c r="J18" s="51" t="n"/>
      <c r="K18" s="51" t="n"/>
      <c r="L18" s="51" t="n"/>
      <c r="M18" s="51" t="n">
        <v>1.2</v>
      </c>
      <c r="N18" s="52">
        <f>IF(A151="","",IF(G151="FIXED",M151,IF(G151="UNIFORM",IF(AND(ISNUMBER(H151),ISNUMBER(I151)),(H151+I151)/2,""),IF(G151="TRIANGLE",IF(ISNUMBER(L151),L151,IF(ISNUMBER(J151),J151,"")),IF(ISNUMBER(J151),J151,IF(ISNUMBER(K151),K151,""))))))</f>
        <v/>
      </c>
      <c r="O18" s="32">
        <f>IF(A151="","",IF(G151="FIXED","fixed",IF(G151="UNIFORM","midpoint_median",IF(G151="TRIANGLE",IF(ISNUMBER(L151),"mode",IF(ISNUMBER(J151),"source_median","missing")),IF(ISNUMBER(J151),"source_median",IF(ISNUMBER(K151),"source_mean","missing"))))))</f>
        <v/>
      </c>
      <c r="P18" s="18" t="inlineStr">
        <is>
          <t>SRC-RAW</t>
        </is>
      </c>
      <c r="Q18" s="18" t="inlineStr">
        <is>
          <t>FL-EL-10</t>
        </is>
      </c>
      <c r="R18" s="18" t="inlineStr">
        <is>
          <t>采用</t>
        </is>
      </c>
      <c r="S18" s="18" t="inlineStr"/>
      <c r="T18" t="inlineStr">
        <is>
          <t>CT-EN-10B</t>
        </is>
      </c>
    </row>
    <row r="19">
      <c r="A19" s="18" t="inlineStr">
        <is>
          <t>PA-EN-11A</t>
        </is>
      </c>
      <c r="B19" s="18" t="inlineStr">
        <is>
          <t>PR11</t>
        </is>
      </c>
      <c r="C19" s="18" t="inlineStr">
        <is>
          <t>Work of OI pumps</t>
        </is>
      </c>
      <c r="D19" s="18" t="inlineStr">
        <is>
          <t>分项电力实测</t>
        </is>
      </c>
      <c r="E19" s="18" t="inlineStr">
        <is>
          <t>电力消耗</t>
        </is>
      </c>
      <c r="F19" s="18" t="inlineStr">
        <is>
          <t>kWh/d</t>
        </is>
      </c>
      <c r="G19" s="18" t="inlineStr">
        <is>
          <t>FIXED</t>
        </is>
      </c>
      <c r="H19" s="51" t="n"/>
      <c r="I19" s="51" t="n"/>
      <c r="J19" s="51" t="n"/>
      <c r="K19" s="51" t="n"/>
      <c r="L19" s="51" t="n"/>
      <c r="M19" s="51" t="n">
        <v>1535</v>
      </c>
      <c r="N19" s="52">
        <f>IF(A152="","",IF(G152="FIXED",M152,IF(G152="UNIFORM",IF(AND(ISNUMBER(H152),ISNUMBER(I152)),(H152+I152)/2,""),IF(G152="TRIANGLE",IF(ISNUMBER(L152),L152,IF(ISNUMBER(J152),J152,"")),IF(ISNUMBER(J152),J152,IF(ISNUMBER(K152),K152,""))))))</f>
        <v/>
      </c>
      <c r="O19" s="32">
        <f>IF(A152="","",IF(G152="FIXED","fixed",IF(G152="UNIFORM","midpoint_median",IF(G152="TRIANGLE",IF(ISNUMBER(L152),"mode",IF(ISNUMBER(J152),"source_median","missing")),IF(ISNUMBER(J152),"source_median",IF(ISNUMBER(K152),"source_mean","missing"))))))</f>
        <v/>
      </c>
      <c r="P19" s="18" t="inlineStr">
        <is>
          <t>SRC-RAW</t>
        </is>
      </c>
      <c r="Q19" s="18" t="inlineStr">
        <is>
          <t>FL-EL-11</t>
        </is>
      </c>
      <c r="R19" s="18" t="inlineStr">
        <is>
          <t>采用</t>
        </is>
      </c>
      <c r="S19" s="18" t="inlineStr"/>
      <c r="T19" t="inlineStr">
        <is>
          <t>CT-EN-11A</t>
        </is>
      </c>
    </row>
    <row r="20">
      <c r="A20" s="18" t="inlineStr">
        <is>
          <t>PA-EN-12A</t>
        </is>
      </c>
      <c r="B20" s="18" t="inlineStr">
        <is>
          <t>PR12</t>
        </is>
      </c>
      <c r="C20" s="18" t="inlineStr">
        <is>
          <t>Cooling of lactose from 15°C to 4°C</t>
        </is>
      </c>
      <c r="D20" s="18" t="inlineStr">
        <is>
          <t>分项电力实测</t>
        </is>
      </c>
      <c r="E20" s="18" t="inlineStr">
        <is>
          <t>电力消耗</t>
        </is>
      </c>
      <c r="F20" s="18" t="inlineStr">
        <is>
          <t>kWh/d</t>
        </is>
      </c>
      <c r="G20" s="18" t="inlineStr">
        <is>
          <t>FIXED</t>
        </is>
      </c>
      <c r="H20" s="51" t="n"/>
      <c r="I20" s="51" t="n"/>
      <c r="J20" s="51" t="n"/>
      <c r="K20" s="51" t="n"/>
      <c r="L20" s="51" t="n"/>
      <c r="M20" s="51" t="n">
        <v>172</v>
      </c>
      <c r="N20" s="52">
        <f>IF(A153="","",IF(G153="FIXED",M153,IF(G153="UNIFORM",IF(AND(ISNUMBER(H153),ISNUMBER(I153)),(H153+I153)/2,""),IF(G153="TRIANGLE",IF(ISNUMBER(L153),L153,IF(ISNUMBER(J153),J153,"")),IF(ISNUMBER(J153),J153,IF(ISNUMBER(K153),K153,""))))))</f>
        <v/>
      </c>
      <c r="O20" s="32">
        <f>IF(A153="","",IF(G153="FIXED","fixed",IF(G153="UNIFORM","midpoint_median",IF(G153="TRIANGLE",IF(ISNUMBER(L153),"mode",IF(ISNUMBER(J153),"source_median","missing")),IF(ISNUMBER(J153),"source_median",IF(ISNUMBER(K153),"source_mean","missing"))))))</f>
        <v/>
      </c>
      <c r="P20" s="18" t="inlineStr">
        <is>
          <t>SRC-RAW</t>
        </is>
      </c>
      <c r="Q20" s="18" t="inlineStr">
        <is>
          <t>FL-EL-12</t>
        </is>
      </c>
      <c r="R20" s="18" t="inlineStr">
        <is>
          <t>采用</t>
        </is>
      </c>
      <c r="S20" s="18" t="inlineStr"/>
      <c r="T20" t="inlineStr">
        <is>
          <t>CT-EN-12A</t>
        </is>
      </c>
    </row>
    <row r="21">
      <c r="A21" s="18" t="inlineStr">
        <is>
          <t>PA-EN-20A</t>
        </is>
      </c>
      <c r="B21" s="18" t="inlineStr">
        <is>
          <t>PR20</t>
        </is>
      </c>
      <c r="C21" s="18" t="inlineStr">
        <is>
          <t>Lift pump</t>
        </is>
      </c>
      <c r="D21" s="18" t="inlineStr">
        <is>
          <t>分项电力实测</t>
        </is>
      </c>
      <c r="E21" s="18" t="inlineStr">
        <is>
          <t>电力消耗</t>
        </is>
      </c>
      <c r="F21" s="18" t="inlineStr">
        <is>
          <t>kWh/d</t>
        </is>
      </c>
      <c r="G21" s="18" t="inlineStr">
        <is>
          <t>FIXED</t>
        </is>
      </c>
      <c r="H21" s="51" t="n"/>
      <c r="I21" s="51" t="n"/>
      <c r="J21" s="51" t="n"/>
      <c r="K21" s="51" t="n"/>
      <c r="L21" s="51" t="n"/>
      <c r="M21" s="51" t="n">
        <v>18</v>
      </c>
      <c r="N21" s="52">
        <f>IF(A154="","",IF(G154="FIXED",M154,IF(G154="UNIFORM",IF(AND(ISNUMBER(H154),ISNUMBER(I154)),(H154+I154)/2,""),IF(G154="TRIANGLE",IF(ISNUMBER(L154),L154,IF(ISNUMBER(J154),J154,"")),IF(ISNUMBER(J154),J154,IF(ISNUMBER(K154),K154,""))))))</f>
        <v/>
      </c>
      <c r="O21" s="32">
        <f>IF(A154="","",IF(G154="FIXED","fixed",IF(G154="UNIFORM","midpoint_median",IF(G154="TRIANGLE",IF(ISNUMBER(L154),"mode",IF(ISNUMBER(J154),"source_median","missing")),IF(ISNUMBER(J154),"source_median",IF(ISNUMBER(K154),"source_mean","missing"))))))</f>
        <v/>
      </c>
      <c r="P21" s="18" t="inlineStr">
        <is>
          <t>SRC-RAW</t>
        </is>
      </c>
      <c r="Q21" s="18" t="inlineStr">
        <is>
          <t>FL-EL-20</t>
        </is>
      </c>
      <c r="R21" s="18" t="inlineStr">
        <is>
          <t>采用</t>
        </is>
      </c>
      <c r="S21" s="18" t="inlineStr"/>
      <c r="T21" t="inlineStr">
        <is>
          <t>CT-EN-20A</t>
        </is>
      </c>
    </row>
    <row r="22">
      <c r="A22" s="18" t="inlineStr">
        <is>
          <t>PA-EN-20B</t>
        </is>
      </c>
      <c r="B22" s="18" t="inlineStr">
        <is>
          <t>PR20</t>
        </is>
      </c>
      <c r="C22" s="18" t="inlineStr">
        <is>
          <t>aeration tank</t>
        </is>
      </c>
      <c r="D22" s="18" t="inlineStr">
        <is>
          <t>分项电力实测</t>
        </is>
      </c>
      <c r="E22" s="18" t="inlineStr">
        <is>
          <t>电力消耗</t>
        </is>
      </c>
      <c r="F22" s="18" t="inlineStr">
        <is>
          <t>kWh/d</t>
        </is>
      </c>
      <c r="G22" s="18" t="inlineStr">
        <is>
          <t>FIXED</t>
        </is>
      </c>
      <c r="H22" s="51" t="n"/>
      <c r="I22" s="51" t="n"/>
      <c r="J22" s="51" t="n"/>
      <c r="K22" s="51" t="n"/>
      <c r="L22" s="51" t="n"/>
      <c r="M22" s="51" t="n">
        <v>5008</v>
      </c>
      <c r="N22" s="52">
        <f>IF(A155="","",IF(G155="FIXED",M155,IF(G155="UNIFORM",IF(AND(ISNUMBER(H155),ISNUMBER(I155)),(H155+I155)/2,""),IF(G155="TRIANGLE",IF(ISNUMBER(L155),L155,IF(ISNUMBER(J155),J155,"")),IF(ISNUMBER(J155),J155,IF(ISNUMBER(K155),K155,""))))))</f>
        <v/>
      </c>
      <c r="O22" s="32">
        <f>IF(A155="","",IF(G155="FIXED","fixed",IF(G155="UNIFORM","midpoint_median",IF(G155="TRIANGLE",IF(ISNUMBER(L155),"mode",IF(ISNUMBER(J155),"source_median","missing")),IF(ISNUMBER(J155),"source_median",IF(ISNUMBER(K155),"source_mean","missing"))))))</f>
        <v/>
      </c>
      <c r="P22" s="18" t="inlineStr">
        <is>
          <t>SRC-RAW</t>
        </is>
      </c>
      <c r="Q22" s="18" t="inlineStr">
        <is>
          <t>FL-EL-20</t>
        </is>
      </c>
      <c r="R22" s="18" t="inlineStr">
        <is>
          <t>采用</t>
        </is>
      </c>
      <c r="S22" s="18" t="inlineStr"/>
      <c r="T22" t="inlineStr">
        <is>
          <t>CT-EN-20B</t>
        </is>
      </c>
    </row>
    <row r="23">
      <c r="A23" s="18" t="inlineStr">
        <is>
          <t>PA-EN-20C</t>
        </is>
      </c>
      <c r="B23" s="18" t="inlineStr">
        <is>
          <t>PR20</t>
        </is>
      </c>
      <c r="C23" s="18" t="inlineStr">
        <is>
          <t>recirculating pump</t>
        </is>
      </c>
      <c r="D23" s="18" t="inlineStr">
        <is>
          <t>分项电力实测</t>
        </is>
      </c>
      <c r="E23" s="18" t="inlineStr">
        <is>
          <t>电力消耗</t>
        </is>
      </c>
      <c r="F23" s="18" t="inlineStr">
        <is>
          <t>kWh/d</t>
        </is>
      </c>
      <c r="G23" s="18" t="inlineStr">
        <is>
          <t>FIXED</t>
        </is>
      </c>
      <c r="H23" s="51" t="n"/>
      <c r="I23" s="51" t="n"/>
      <c r="J23" s="51" t="n"/>
      <c r="K23" s="51" t="n"/>
      <c r="L23" s="51" t="n"/>
      <c r="M23" s="51" t="n">
        <v>24</v>
      </c>
      <c r="N23" s="52">
        <f>IF(A156="","",IF(G156="FIXED",M156,IF(G156="UNIFORM",IF(AND(ISNUMBER(H156),ISNUMBER(I156)),(H156+I156)/2,""),IF(G156="TRIANGLE",IF(ISNUMBER(L156),L156,IF(ISNUMBER(J156),J156,"")),IF(ISNUMBER(J156),J156,IF(ISNUMBER(K156),K156,""))))))</f>
        <v/>
      </c>
      <c r="O23" s="32">
        <f>IF(A156="","",IF(G156="FIXED","fixed",IF(G156="UNIFORM","midpoint_median",IF(G156="TRIANGLE",IF(ISNUMBER(L156),"mode",IF(ISNUMBER(J156),"source_median","missing")),IF(ISNUMBER(J156),"source_median",IF(ISNUMBER(K156),"source_mean","missing"))))))</f>
        <v/>
      </c>
      <c r="P23" s="18" t="inlineStr">
        <is>
          <t>SRC-RAW</t>
        </is>
      </c>
      <c r="Q23" s="18" t="inlineStr">
        <is>
          <t>FL-EL-20</t>
        </is>
      </c>
      <c r="R23" s="18" t="inlineStr">
        <is>
          <t>采用</t>
        </is>
      </c>
      <c r="S23" s="18" t="inlineStr"/>
      <c r="T23" t="inlineStr">
        <is>
          <t>CT-EN-20C</t>
        </is>
      </c>
    </row>
    <row r="24">
      <c r="A24" s="18" t="inlineStr">
        <is>
          <t>PA-EN-20D</t>
        </is>
      </c>
      <c r="B24" s="18" t="inlineStr">
        <is>
          <t>PR20</t>
        </is>
      </c>
      <c r="C24" s="18" t="inlineStr">
        <is>
          <t>extracting pump</t>
        </is>
      </c>
      <c r="D24" s="18" t="inlineStr">
        <is>
          <t>分项电力实测</t>
        </is>
      </c>
      <c r="E24" s="18" t="inlineStr">
        <is>
          <t>电力消耗</t>
        </is>
      </c>
      <c r="F24" s="18" t="inlineStr">
        <is>
          <t>kWh/d</t>
        </is>
      </c>
      <c r="G24" s="18" t="inlineStr">
        <is>
          <t>FIXED</t>
        </is>
      </c>
      <c r="H24" s="51" t="n"/>
      <c r="I24" s="51" t="n"/>
      <c r="J24" s="51" t="n"/>
      <c r="K24" s="51" t="n"/>
      <c r="L24" s="51" t="n"/>
      <c r="M24" s="51" t="n">
        <v>0.7</v>
      </c>
      <c r="N24" s="52">
        <f>IF(A157="","",IF(G157="FIXED",M157,IF(G157="UNIFORM",IF(AND(ISNUMBER(H157),ISNUMBER(I157)),(H157+I157)/2,""),IF(G157="TRIANGLE",IF(ISNUMBER(L157),L157,IF(ISNUMBER(J157),J157,"")),IF(ISNUMBER(J157),J157,IF(ISNUMBER(K157),K157,""))))))</f>
        <v/>
      </c>
      <c r="O24" s="32">
        <f>IF(A157="","",IF(G157="FIXED","fixed",IF(G157="UNIFORM","midpoint_median",IF(G157="TRIANGLE",IF(ISNUMBER(L157),"mode",IF(ISNUMBER(J157),"source_median","missing")),IF(ISNUMBER(J157),"source_median",IF(ISNUMBER(K157),"source_mean","missing"))))))</f>
        <v/>
      </c>
      <c r="P24" s="18" t="inlineStr">
        <is>
          <t>SRC-RAW</t>
        </is>
      </c>
      <c r="Q24" s="18" t="inlineStr">
        <is>
          <t>FL-EL-20</t>
        </is>
      </c>
      <c r="R24" s="18" t="inlineStr">
        <is>
          <t>采用</t>
        </is>
      </c>
      <c r="S24" s="18" t="inlineStr"/>
      <c r="T24" t="inlineStr">
        <is>
          <t>CT-EN-20D</t>
        </is>
      </c>
    </row>
    <row r="25">
      <c r="A25" s="18" t="n"/>
      <c r="B25" s="18" t="n"/>
      <c r="C25" s="18" t="n"/>
      <c r="D25" s="18" t="n"/>
      <c r="E25" s="18" t="n"/>
      <c r="F25" s="18" t="n"/>
      <c r="G25" s="18" t="n"/>
      <c r="H25" s="51" t="n"/>
      <c r="I25" s="51" t="n"/>
      <c r="J25" s="51" t="n"/>
      <c r="K25" s="51" t="n"/>
      <c r="L25" s="51" t="n"/>
      <c r="M25" s="51" t="n"/>
      <c r="N25" s="52">
        <f>IF(A158="","",IF(G158="FIXED",M158,IF(G158="UNIFORM",IF(AND(ISNUMBER(H158),ISNUMBER(I158)),(H158+I158)/2,""),IF(G158="TRIANGLE",IF(ISNUMBER(L158),L158,IF(ISNUMBER(J158),J158,"")),IF(ISNUMBER(J158),J158,IF(ISNUMBER(K158),K158,""))))))</f>
        <v/>
      </c>
      <c r="O25" s="32">
        <f>IF(A158="","",IF(G158="FIXED","fixed",IF(G158="UNIFORM","midpoint_median",IF(G158="TRIANGLE",IF(ISNUMBER(L158),"mode",IF(ISNUMBER(J158),"source_median","missing")),IF(ISNUMBER(J158),"source_median",IF(ISNUMBER(K158),"source_mean","missing"))))))</f>
        <v/>
      </c>
      <c r="P25" s="18" t="n"/>
      <c r="Q25" s="18" t="n"/>
      <c r="R25" s="18" t="n"/>
      <c r="S25" s="18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51" t="n"/>
      <c r="I26" s="51" t="n"/>
      <c r="J26" s="51" t="n"/>
      <c r="K26" s="51" t="n"/>
      <c r="L26" s="51" t="n"/>
      <c r="M26" s="51" t="n"/>
      <c r="N26" s="52">
        <f>IF(A159="","",IF(G159="FIXED",M159,IF(G159="UNIFORM",IF(AND(ISNUMBER(H159),ISNUMBER(I159)),(H159+I159)/2,""),IF(G159="TRIANGLE",IF(ISNUMBER(L159),L159,IF(ISNUMBER(J159),J159,"")),IF(ISNUMBER(J159),J159,IF(ISNUMBER(K159),K159,""))))))</f>
        <v/>
      </c>
      <c r="O26" s="32">
        <f>IF(A159="","",IF(G159="FIXED","fixed",IF(G159="UNIFORM","midpoint_median",IF(G159="TRIANGLE",IF(ISNUMBER(L159),"mode",IF(ISNUMBER(J159),"source_median","missing")),IF(ISNUMBER(J159),"source_median",IF(ISNUMBER(K159),"source_mean","missing"))))))</f>
        <v/>
      </c>
      <c r="P26" s="18" t="n"/>
      <c r="Q26" s="18" t="n"/>
      <c r="R26" s="18" t="n"/>
      <c r="S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51" t="n"/>
      <c r="I27" s="51" t="n"/>
      <c r="J27" s="51" t="n"/>
      <c r="K27" s="51" t="n"/>
      <c r="L27" s="51" t="n"/>
      <c r="M27" s="51" t="n"/>
      <c r="N27" s="52">
        <f>IF(A160="","",IF(G160="FIXED",M160,IF(G160="UNIFORM",IF(AND(ISNUMBER(H160),ISNUMBER(I160)),(H160+I160)/2,""),IF(G160="TRIANGLE",IF(ISNUMBER(L160),L160,IF(ISNUMBER(J160),J160,"")),IF(ISNUMBER(J160),J160,IF(ISNUMBER(K160),K160,""))))))</f>
        <v/>
      </c>
      <c r="O27" s="32">
        <f>IF(A160="","",IF(G160="FIXED","fixed",IF(G160="UNIFORM","midpoint_median",IF(G160="TRIANGLE",IF(ISNUMBER(L160),"mode",IF(ISNUMBER(J160),"source_median","missing")),IF(ISNUMBER(J160),"source_median",IF(ISNUMBER(K160),"source_mean","missing"))))))</f>
        <v/>
      </c>
      <c r="P27" s="18" t="n"/>
      <c r="Q27" s="18" t="n"/>
      <c r="R27" s="18" t="n"/>
      <c r="S27" s="18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51" t="n"/>
      <c r="I28" s="51" t="n"/>
      <c r="J28" s="51" t="n"/>
      <c r="K28" s="51" t="n"/>
      <c r="L28" s="51" t="n"/>
      <c r="M28" s="51" t="n"/>
      <c r="N28" s="52">
        <f>IF(A161="","",IF(G161="FIXED",M161,IF(G161="UNIFORM",IF(AND(ISNUMBER(H161),ISNUMBER(I161)),(H161+I161)/2,""),IF(G161="TRIANGLE",IF(ISNUMBER(L161),L161,IF(ISNUMBER(J161),J161,"")),IF(ISNUMBER(J161),J161,IF(ISNUMBER(K161),K161,""))))))</f>
        <v/>
      </c>
      <c r="O28" s="32">
        <f>IF(A161="","",IF(G161="FIXED","fixed",IF(G161="UNIFORM","midpoint_median",IF(G161="TRIANGLE",IF(ISNUMBER(L161),"mode",IF(ISNUMBER(J161),"source_median","missing")),IF(ISNUMBER(J161),"source_median",IF(ISNUMBER(K161),"source_mean","missing"))))))</f>
        <v/>
      </c>
      <c r="P28" s="18" t="n"/>
      <c r="Q28" s="18" t="n"/>
      <c r="R28" s="18" t="n"/>
      <c r="S28" s="18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51" t="n"/>
      <c r="I29" s="51" t="n"/>
      <c r="J29" s="51" t="n"/>
      <c r="K29" s="51" t="n"/>
      <c r="L29" s="51" t="n"/>
      <c r="M29" s="51" t="n"/>
      <c r="N29" s="52">
        <f>IF(A162="","",IF(G162="FIXED",M162,IF(G162="UNIFORM",IF(AND(ISNUMBER(H162),ISNUMBER(I162)),(H162+I162)/2,""),IF(G162="TRIANGLE",IF(ISNUMBER(L162),L162,IF(ISNUMBER(J162),J162,"")),IF(ISNUMBER(J162),J162,IF(ISNUMBER(K162),K162,""))))))</f>
        <v/>
      </c>
      <c r="O29" s="32">
        <f>IF(A162="","",IF(G162="FIXED","fixed",IF(G162="UNIFORM","midpoint_median",IF(G162="TRIANGLE",IF(ISNUMBER(L162),"mode",IF(ISNUMBER(J162),"source_median","missing")),IF(ISNUMBER(J162),"source_median",IF(ISNUMBER(K162),"source_mean","missing"))))))</f>
        <v/>
      </c>
      <c r="P29" s="18" t="n"/>
      <c r="Q29" s="18" t="n"/>
      <c r="R29" s="18" t="n"/>
      <c r="S29" s="18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51" t="n"/>
      <c r="I30" s="51" t="n"/>
      <c r="J30" s="51" t="n"/>
      <c r="K30" s="51" t="n"/>
      <c r="L30" s="51" t="n"/>
      <c r="M30" s="51" t="n"/>
      <c r="N30" s="52">
        <f>IF(A163="","",IF(G163="FIXED",M163,IF(G163="UNIFORM",IF(AND(ISNUMBER(H163),ISNUMBER(I163)),(H163+I163)/2,""),IF(G163="TRIANGLE",IF(ISNUMBER(L163),L163,IF(ISNUMBER(J163),J163,"")),IF(ISNUMBER(J163),J163,IF(ISNUMBER(K163),K163,""))))))</f>
        <v/>
      </c>
      <c r="O30" s="32">
        <f>IF(A163="","",IF(G163="FIXED","fixed",IF(G163="UNIFORM","midpoint_median",IF(G163="TRIANGLE",IF(ISNUMBER(L163),"mode",IF(ISNUMBER(J163),"source_median","missing")),IF(ISNUMBER(J163),"source_median",IF(ISNUMBER(K163),"source_mean","missing"))))))</f>
        <v/>
      </c>
      <c r="P30" s="18" t="n"/>
      <c r="Q30" s="18" t="n"/>
      <c r="R30" s="18" t="n"/>
      <c r="S30" s="18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51" t="n"/>
      <c r="I31" s="51" t="n"/>
      <c r="J31" s="51" t="n"/>
      <c r="K31" s="51" t="n"/>
      <c r="L31" s="51" t="n"/>
      <c r="M31" s="51" t="n"/>
      <c r="N31" s="52">
        <f>IF(A164="","",IF(G164="FIXED",M164,IF(G164="UNIFORM",IF(AND(ISNUMBER(H164),ISNUMBER(I164)),(H164+I164)/2,""),IF(G164="TRIANGLE",IF(ISNUMBER(L164),L164,IF(ISNUMBER(J164),J164,"")),IF(ISNUMBER(J164),J164,IF(ISNUMBER(K164),K164,""))))))</f>
        <v/>
      </c>
      <c r="O31" s="32">
        <f>IF(A164="","",IF(G164="FIXED","fixed",IF(G164="UNIFORM","midpoint_median",IF(G164="TRIANGLE",IF(ISNUMBER(L164),"mode",IF(ISNUMBER(J164),"source_median","missing")),IF(ISNUMBER(J164),"source_median",IF(ISNUMBER(K164),"source_mean","missing"))))))</f>
        <v/>
      </c>
      <c r="P31" s="18" t="n"/>
      <c r="Q31" s="18" t="n"/>
      <c r="R31" s="18" t="n"/>
      <c r="S31" s="18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51" t="n"/>
      <c r="I32" s="51" t="n"/>
      <c r="J32" s="51" t="n"/>
      <c r="K32" s="51" t="n"/>
      <c r="L32" s="51" t="n"/>
      <c r="M32" s="51" t="n"/>
      <c r="N32" s="52">
        <f>IF(A165="","",IF(G165="FIXED",M165,IF(G165="UNIFORM",IF(AND(ISNUMBER(H165),ISNUMBER(I165)),(H165+I165)/2,""),IF(G165="TRIANGLE",IF(ISNUMBER(L165),L165,IF(ISNUMBER(J165),J165,"")),IF(ISNUMBER(J165),J165,IF(ISNUMBER(K165),K165,""))))))</f>
        <v/>
      </c>
      <c r="O32" s="32">
        <f>IF(A165="","",IF(G165="FIXED","fixed",IF(G165="UNIFORM","midpoint_median",IF(G165="TRIANGLE",IF(ISNUMBER(L165),"mode",IF(ISNUMBER(J165),"source_median","missing")),IF(ISNUMBER(J165),"source_median",IF(ISNUMBER(K165),"source_mean","missing"))))))</f>
        <v/>
      </c>
      <c r="P32" s="18" t="n"/>
      <c r="Q32" s="18" t="n"/>
      <c r="R32" s="18" t="n"/>
      <c r="S32" s="18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51" t="n"/>
      <c r="I33" s="51" t="n"/>
      <c r="J33" s="51" t="n"/>
      <c r="K33" s="51" t="n"/>
      <c r="L33" s="51" t="n"/>
      <c r="M33" s="51" t="n"/>
      <c r="N33" s="52">
        <f>IF(A166="","",IF(G166="FIXED",M166,IF(G166="UNIFORM",IF(AND(ISNUMBER(H166),ISNUMBER(I166)),(H166+I166)/2,""),IF(G166="TRIANGLE",IF(ISNUMBER(L166),L166,IF(ISNUMBER(J166),J166,"")),IF(ISNUMBER(J166),J166,IF(ISNUMBER(K166),K166,""))))))</f>
        <v/>
      </c>
      <c r="O33" s="32">
        <f>IF(A166="","",IF(G166="FIXED","fixed",IF(G166="UNIFORM","midpoint_median",IF(G166="TRIANGLE",IF(ISNUMBER(L166),"mode",IF(ISNUMBER(J166),"source_median","missing")),IF(ISNUMBER(J166),"source_median",IF(ISNUMBER(K166),"source_mean","missing"))))))</f>
        <v/>
      </c>
      <c r="P33" s="18" t="n"/>
      <c r="Q33" s="18" t="n"/>
      <c r="R33" s="18" t="n"/>
      <c r="S33" s="18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51" t="n"/>
      <c r="I34" s="51" t="n"/>
      <c r="J34" s="51" t="n"/>
      <c r="K34" s="51" t="n"/>
      <c r="L34" s="51" t="n"/>
      <c r="M34" s="51" t="n"/>
      <c r="N34" s="52">
        <f>IF(A167="","",IF(G167="FIXED",M167,IF(G167="UNIFORM",IF(AND(ISNUMBER(H167),ISNUMBER(I167)),(H167+I167)/2,""),IF(G167="TRIANGLE",IF(ISNUMBER(L167),L167,IF(ISNUMBER(J167),J167,"")),IF(ISNUMBER(J167),J167,IF(ISNUMBER(K167),K167,""))))))</f>
        <v/>
      </c>
      <c r="O34" s="32">
        <f>IF(A167="","",IF(G167="FIXED","fixed",IF(G167="UNIFORM","midpoint_median",IF(G167="TRIANGLE",IF(ISNUMBER(L167),"mode",IF(ISNUMBER(J167),"source_median","missing")),IF(ISNUMBER(J167),"source_median",IF(ISNUMBER(K167),"source_mean","missing"))))))</f>
        <v/>
      </c>
      <c r="P34" s="18" t="n"/>
      <c r="Q34" s="18" t="n"/>
      <c r="R34" s="18" t="n"/>
      <c r="S34" s="18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51" t="n"/>
      <c r="I35" s="51" t="n"/>
      <c r="J35" s="51" t="n"/>
      <c r="K35" s="51" t="n"/>
      <c r="L35" s="51" t="n"/>
      <c r="M35" s="51" t="n"/>
      <c r="N35" s="52">
        <f>IF(A168="","",IF(G168="FIXED",M168,IF(G168="UNIFORM",IF(AND(ISNUMBER(H168),ISNUMBER(I168)),(H168+I168)/2,""),IF(G168="TRIANGLE",IF(ISNUMBER(L168),L168,IF(ISNUMBER(J168),J168,"")),IF(ISNUMBER(J168),J168,IF(ISNUMBER(K168),K168,""))))))</f>
        <v/>
      </c>
      <c r="O35" s="32">
        <f>IF(A168="","",IF(G168="FIXED","fixed",IF(G168="UNIFORM","midpoint_median",IF(G168="TRIANGLE",IF(ISNUMBER(L168),"mode",IF(ISNUMBER(J168),"source_median","missing")),IF(ISNUMBER(J168),"source_median",IF(ISNUMBER(K168),"source_mean","missing"))))))</f>
        <v/>
      </c>
      <c r="P35" s="18" t="n"/>
      <c r="Q35" s="18" t="n"/>
      <c r="R35" s="18" t="n"/>
      <c r="S35" s="18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51" t="n"/>
      <c r="I36" s="51" t="n"/>
      <c r="J36" s="51" t="n"/>
      <c r="K36" s="51" t="n"/>
      <c r="L36" s="51" t="n"/>
      <c r="M36" s="51" t="n"/>
      <c r="N36" s="52">
        <f>IF(A169="","",IF(G169="FIXED",M169,IF(G169="UNIFORM",IF(AND(ISNUMBER(H169),ISNUMBER(I169)),(H169+I169)/2,""),IF(G169="TRIANGLE",IF(ISNUMBER(L169),L169,IF(ISNUMBER(J169),J169,"")),IF(ISNUMBER(J169),J169,IF(ISNUMBER(K169),K169,""))))))</f>
        <v/>
      </c>
      <c r="O36" s="32">
        <f>IF(A169="","",IF(G169="FIXED","fixed",IF(G169="UNIFORM","midpoint_median",IF(G169="TRIANGLE",IF(ISNUMBER(L169),"mode",IF(ISNUMBER(J169),"source_median","missing")),IF(ISNUMBER(J169),"source_median",IF(ISNUMBER(K169),"source_mean","missing"))))))</f>
        <v/>
      </c>
      <c r="P36" s="18" t="n"/>
      <c r="Q36" s="18" t="n"/>
      <c r="R36" s="18" t="n"/>
      <c r="S36" s="18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51" t="n"/>
      <c r="I37" s="51" t="n"/>
      <c r="J37" s="51" t="n"/>
      <c r="K37" s="51" t="n"/>
      <c r="L37" s="51" t="n"/>
      <c r="M37" s="51" t="n"/>
      <c r="N37" s="52">
        <f>IF(A170="","",IF(G170="FIXED",M170,IF(G170="UNIFORM",IF(AND(ISNUMBER(H170),ISNUMBER(I170)),(H170+I170)/2,""),IF(G170="TRIANGLE",IF(ISNUMBER(L170),L170,IF(ISNUMBER(J170),J170,"")),IF(ISNUMBER(J170),J170,IF(ISNUMBER(K170),K170,""))))))</f>
        <v/>
      </c>
      <c r="O37" s="32">
        <f>IF(A170="","",IF(G170="FIXED","fixed",IF(G170="UNIFORM","midpoint_median",IF(G170="TRIANGLE",IF(ISNUMBER(L170),"mode",IF(ISNUMBER(J170),"source_median","missing")),IF(ISNUMBER(J170),"source_median",IF(ISNUMBER(K170),"source_mean","missing"))))))</f>
        <v/>
      </c>
      <c r="P37" s="18" t="n"/>
      <c r="Q37" s="18" t="n"/>
      <c r="R37" s="18" t="n"/>
      <c r="S37" s="18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51" t="n"/>
      <c r="I38" s="51" t="n"/>
      <c r="J38" s="51" t="n"/>
      <c r="K38" s="51" t="n"/>
      <c r="L38" s="51" t="n"/>
      <c r="M38" s="51" t="n"/>
      <c r="N38" s="52">
        <f>IF(A171="","",IF(G171="FIXED",M171,IF(G171="UNIFORM",IF(AND(ISNUMBER(H171),ISNUMBER(I171)),(H171+I171)/2,""),IF(G171="TRIANGLE",IF(ISNUMBER(L171),L171,IF(ISNUMBER(J171),J171,"")),IF(ISNUMBER(J171),J171,IF(ISNUMBER(K171),K171,""))))))</f>
        <v/>
      </c>
      <c r="O38" s="32">
        <f>IF(A171="","",IF(G171="FIXED","fixed",IF(G171="UNIFORM","midpoint_median",IF(G171="TRIANGLE",IF(ISNUMBER(L171),"mode",IF(ISNUMBER(J171),"source_median","missing")),IF(ISNUMBER(J171),"source_median",IF(ISNUMBER(K171),"source_mean","missing"))))))</f>
        <v/>
      </c>
      <c r="P38" s="18" t="n"/>
      <c r="Q38" s="18" t="n"/>
      <c r="R38" s="18" t="n"/>
      <c r="S38" s="18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51" t="n"/>
      <c r="I39" s="51" t="n"/>
      <c r="J39" s="51" t="n"/>
      <c r="K39" s="51" t="n"/>
      <c r="L39" s="51" t="n"/>
      <c r="M39" s="51" t="n"/>
      <c r="N39" s="52">
        <f>IF(A172="","",IF(G172="FIXED",M172,IF(G172="UNIFORM",IF(AND(ISNUMBER(H172),ISNUMBER(I172)),(H172+I172)/2,""),IF(G172="TRIANGLE",IF(ISNUMBER(L172),L172,IF(ISNUMBER(J172),J172,"")),IF(ISNUMBER(J172),J172,IF(ISNUMBER(K172),K172,""))))))</f>
        <v/>
      </c>
      <c r="O39" s="32">
        <f>IF(A172="","",IF(G172="FIXED","fixed",IF(G172="UNIFORM","midpoint_median",IF(G172="TRIANGLE",IF(ISNUMBER(L172),"mode",IF(ISNUMBER(J172),"source_median","missing")),IF(ISNUMBER(J172),"source_median",IF(ISNUMBER(K172),"source_mean","missing"))))))</f>
        <v/>
      </c>
      <c r="P39" s="18" t="n"/>
      <c r="Q39" s="18" t="n"/>
      <c r="R39" s="18" t="n"/>
      <c r="S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51" t="n"/>
      <c r="I40" s="51" t="n"/>
      <c r="J40" s="51" t="n"/>
      <c r="K40" s="51" t="n"/>
      <c r="L40" s="51" t="n"/>
      <c r="M40" s="51" t="n"/>
      <c r="N40" s="52">
        <f>IF(A173="","",IF(G173="FIXED",M173,IF(G173="UNIFORM",IF(AND(ISNUMBER(H173),ISNUMBER(I173)),(H173+I173)/2,""),IF(G173="TRIANGLE",IF(ISNUMBER(L173),L173,IF(ISNUMBER(J173),J173,"")),IF(ISNUMBER(J173),J173,IF(ISNUMBER(K173),K173,""))))))</f>
        <v/>
      </c>
      <c r="O40" s="32">
        <f>IF(A173="","",IF(G173="FIXED","fixed",IF(G173="UNIFORM","midpoint_median",IF(G173="TRIANGLE",IF(ISNUMBER(L173),"mode",IF(ISNUMBER(J173),"source_median","missing")),IF(ISNUMBER(J173),"source_median",IF(ISNUMBER(K173),"source_mean","missing"))))))</f>
        <v/>
      </c>
      <c r="P40" s="18" t="n"/>
      <c r="Q40" s="18" t="n"/>
      <c r="R40" s="18" t="n"/>
      <c r="S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51" t="n"/>
      <c r="I41" s="51" t="n"/>
      <c r="J41" s="51" t="n"/>
      <c r="K41" s="51" t="n"/>
      <c r="L41" s="51" t="n"/>
      <c r="M41" s="51" t="n"/>
      <c r="N41" s="52">
        <f>IF(A174="","",IF(G174="FIXED",M174,IF(G174="UNIFORM",IF(AND(ISNUMBER(H174),ISNUMBER(I174)),(H174+I174)/2,""),IF(G174="TRIANGLE",IF(ISNUMBER(L174),L174,IF(ISNUMBER(J174),J174,"")),IF(ISNUMBER(J174),J174,IF(ISNUMBER(K174),K174,""))))))</f>
        <v/>
      </c>
      <c r="O41" s="32">
        <f>IF(A174="","",IF(G174="FIXED","fixed",IF(G174="UNIFORM","midpoint_median",IF(G174="TRIANGLE",IF(ISNUMBER(L174),"mode",IF(ISNUMBER(J174),"source_median","missing")),IF(ISNUMBER(J174),"source_median",IF(ISNUMBER(K174),"source_mean","missing"))))))</f>
        <v/>
      </c>
      <c r="P41" s="18" t="n"/>
      <c r="Q41" s="18" t="n"/>
      <c r="R41" s="18" t="n"/>
      <c r="S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51" t="n"/>
      <c r="I42" s="51" t="n"/>
      <c r="J42" s="51" t="n"/>
      <c r="K42" s="51" t="n"/>
      <c r="L42" s="51" t="n"/>
      <c r="M42" s="51" t="n"/>
      <c r="N42" s="52">
        <f>IF(A175="","",IF(G175="FIXED",M175,IF(G175="UNIFORM",IF(AND(ISNUMBER(H175),ISNUMBER(I175)),(H175+I175)/2,""),IF(G175="TRIANGLE",IF(ISNUMBER(L175),L175,IF(ISNUMBER(J175),J175,"")),IF(ISNUMBER(J175),J175,IF(ISNUMBER(K175),K175,""))))))</f>
        <v/>
      </c>
      <c r="O42" s="32">
        <f>IF(A175="","",IF(G175="FIXED","fixed",IF(G175="UNIFORM","midpoint_median",IF(G175="TRIANGLE",IF(ISNUMBER(L175),"mode",IF(ISNUMBER(J175),"source_median","missing")),IF(ISNUMBER(J175),"source_median",IF(ISNUMBER(K175),"source_mean","missing"))))))</f>
        <v/>
      </c>
      <c r="P42" s="18" t="n"/>
      <c r="Q42" s="18" t="n"/>
      <c r="R42" s="18" t="n"/>
      <c r="S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51" t="n"/>
      <c r="I43" s="51" t="n"/>
      <c r="J43" s="51" t="n"/>
      <c r="K43" s="51" t="n"/>
      <c r="L43" s="51" t="n"/>
      <c r="M43" s="51" t="n"/>
      <c r="N43" s="52">
        <f>IF(A176="","",IF(G176="FIXED",M176,IF(G176="UNIFORM",IF(AND(ISNUMBER(H176),ISNUMBER(I176)),(H176+I176)/2,""),IF(G176="TRIANGLE",IF(ISNUMBER(L176),L176,IF(ISNUMBER(J176),J176,"")),IF(ISNUMBER(J176),J176,IF(ISNUMBER(K176),K176,""))))))</f>
        <v/>
      </c>
      <c r="O43" s="32">
        <f>IF(A176="","",IF(G176="FIXED","fixed",IF(G176="UNIFORM","midpoint_median",IF(G176="TRIANGLE",IF(ISNUMBER(L176),"mode",IF(ISNUMBER(J176),"source_median","missing")),IF(ISNUMBER(J176),"source_median",IF(ISNUMBER(K176),"source_mean","missing"))))))</f>
        <v/>
      </c>
      <c r="P43" s="18" t="n"/>
      <c r="Q43" s="18" t="n"/>
      <c r="R43" s="18" t="n"/>
      <c r="S43" s="18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51" t="n"/>
      <c r="I44" s="51" t="n"/>
      <c r="J44" s="51" t="n"/>
      <c r="K44" s="51" t="n"/>
      <c r="L44" s="51" t="n"/>
      <c r="M44" s="51" t="n"/>
      <c r="N44" s="52">
        <f>IF(A177="","",IF(G177="FIXED",M177,IF(G177="UNIFORM",IF(AND(ISNUMBER(H177),ISNUMBER(I177)),(H177+I177)/2,""),IF(G177="TRIANGLE",IF(ISNUMBER(L177),L177,IF(ISNUMBER(J177),J177,"")),IF(ISNUMBER(J177),J177,IF(ISNUMBER(K177),K177,""))))))</f>
        <v/>
      </c>
      <c r="O44" s="32">
        <f>IF(A177="","",IF(G177="FIXED","fixed",IF(G177="UNIFORM","midpoint_median",IF(G177="TRIANGLE",IF(ISNUMBER(L177),"mode",IF(ISNUMBER(J177),"source_median","missing")),IF(ISNUMBER(J177),"source_median",IF(ISNUMBER(K177),"source_mean","missing"))))))</f>
        <v/>
      </c>
      <c r="P44" s="18" t="n"/>
      <c r="Q44" s="18" t="n"/>
      <c r="R44" s="18" t="n"/>
      <c r="S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51" t="n"/>
      <c r="I45" s="51" t="n"/>
      <c r="J45" s="51" t="n"/>
      <c r="K45" s="51" t="n"/>
      <c r="L45" s="51" t="n"/>
      <c r="M45" s="51" t="n"/>
      <c r="N45" s="52">
        <f>IF(A178="","",IF(G178="FIXED",M178,IF(G178="UNIFORM",IF(AND(ISNUMBER(H178),ISNUMBER(I178)),(H178+I178)/2,""),IF(G178="TRIANGLE",IF(ISNUMBER(L178),L178,IF(ISNUMBER(J178),J178,"")),IF(ISNUMBER(J178),J178,IF(ISNUMBER(K178),K178,""))))))</f>
        <v/>
      </c>
      <c r="O45" s="32">
        <f>IF(A178="","",IF(G178="FIXED","fixed",IF(G178="UNIFORM","midpoint_median",IF(G178="TRIANGLE",IF(ISNUMBER(L178),"mode",IF(ISNUMBER(J178),"source_median","missing")),IF(ISNUMBER(J178),"source_median",IF(ISNUMBER(K178),"source_mean","missing"))))))</f>
        <v/>
      </c>
      <c r="P45" s="18" t="n"/>
      <c r="Q45" s="18" t="n"/>
      <c r="R45" s="18" t="n"/>
      <c r="S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51" t="n"/>
      <c r="I46" s="51" t="n"/>
      <c r="J46" s="51" t="n"/>
      <c r="K46" s="51" t="n"/>
      <c r="L46" s="51" t="n"/>
      <c r="M46" s="51" t="n"/>
      <c r="N46" s="52">
        <f>IF(A179="","",IF(G179="FIXED",M179,IF(G179="UNIFORM",IF(AND(ISNUMBER(H179),ISNUMBER(I179)),(H179+I179)/2,""),IF(G179="TRIANGLE",IF(ISNUMBER(L179),L179,IF(ISNUMBER(J179),J179,"")),IF(ISNUMBER(J179),J179,IF(ISNUMBER(K179),K179,""))))))</f>
        <v/>
      </c>
      <c r="O46" s="32">
        <f>IF(A179="","",IF(G179="FIXED","fixed",IF(G179="UNIFORM","midpoint_median",IF(G179="TRIANGLE",IF(ISNUMBER(L179),"mode",IF(ISNUMBER(J179),"source_median","missing")),IF(ISNUMBER(J179),"source_median",IF(ISNUMBER(K179),"source_mean","missing"))))))</f>
        <v/>
      </c>
      <c r="P46" s="18" t="n"/>
      <c r="Q46" s="18" t="n"/>
      <c r="R46" s="18" t="n"/>
      <c r="S46" s="18" t="n"/>
    </row>
    <row r="47">
      <c r="A47" s="18" t="n"/>
      <c r="B47" s="18" t="n"/>
      <c r="C47" s="18" t="n"/>
      <c r="D47" s="18" t="n"/>
      <c r="E47" s="18" t="n"/>
      <c r="F47" s="18" t="n"/>
      <c r="G47" s="18" t="n"/>
      <c r="H47" s="51" t="n"/>
      <c r="I47" s="51" t="n"/>
      <c r="J47" s="51" t="n"/>
      <c r="K47" s="51" t="n"/>
      <c r="L47" s="51" t="n"/>
      <c r="M47" s="51" t="n"/>
      <c r="N47" s="52">
        <f>IF(A180="","",IF(G180="FIXED",M180,IF(G180="UNIFORM",IF(AND(ISNUMBER(H180),ISNUMBER(I180)),(H180+I180)/2,""),IF(G180="TRIANGLE",IF(ISNUMBER(L180),L180,IF(ISNUMBER(J180),J180,"")),IF(ISNUMBER(J180),J180,IF(ISNUMBER(K180),K180,""))))))</f>
        <v/>
      </c>
      <c r="O47" s="32">
        <f>IF(A180="","",IF(G180="FIXED","fixed",IF(G180="UNIFORM","midpoint_median",IF(G180="TRIANGLE",IF(ISNUMBER(L180),"mode",IF(ISNUMBER(J180),"source_median","missing")),IF(ISNUMBER(J180),"source_median",IF(ISNUMBER(K180),"source_mean","missing"))))))</f>
        <v/>
      </c>
      <c r="P47" s="18" t="n"/>
      <c r="Q47" s="18" t="n"/>
      <c r="R47" s="18" t="n"/>
      <c r="S47" s="18" t="n"/>
    </row>
    <row r="48">
      <c r="A48" s="18" t="n"/>
      <c r="B48" s="18" t="n"/>
      <c r="C48" s="18" t="n"/>
      <c r="D48" s="18" t="n"/>
      <c r="E48" s="18" t="n"/>
      <c r="F48" s="18" t="n"/>
      <c r="G48" s="18" t="n"/>
      <c r="H48" s="51" t="n"/>
      <c r="I48" s="51" t="n"/>
      <c r="J48" s="51" t="n"/>
      <c r="K48" s="51" t="n"/>
      <c r="L48" s="51" t="n"/>
      <c r="M48" s="51" t="n"/>
      <c r="N48" s="52">
        <f>IF(A181="","",IF(G181="FIXED",M181,IF(G181="UNIFORM",IF(AND(ISNUMBER(H181),ISNUMBER(I181)),(H181+I181)/2,""),IF(G181="TRIANGLE",IF(ISNUMBER(L181),L181,IF(ISNUMBER(J181),J181,"")),IF(ISNUMBER(J181),J181,IF(ISNUMBER(K181),K181,""))))))</f>
        <v/>
      </c>
      <c r="O48" s="32">
        <f>IF(A181="","",IF(G181="FIXED","fixed",IF(G181="UNIFORM","midpoint_median",IF(G181="TRIANGLE",IF(ISNUMBER(L181),"mode",IF(ISNUMBER(J181),"source_median","missing")),IF(ISNUMBER(J181),"source_median",IF(ISNUMBER(K181),"source_mean","missing"))))))</f>
        <v/>
      </c>
      <c r="P48" s="18" t="n"/>
      <c r="Q48" s="18" t="n"/>
      <c r="R48" s="18" t="n"/>
      <c r="S48" s="18" t="n"/>
    </row>
    <row r="49">
      <c r="A49" s="18" t="n"/>
      <c r="B49" s="18" t="n"/>
      <c r="C49" s="18" t="n"/>
      <c r="D49" s="18" t="n"/>
      <c r="E49" s="18" t="n"/>
      <c r="F49" s="18" t="n"/>
      <c r="G49" s="18" t="n"/>
      <c r="H49" s="51" t="n"/>
      <c r="I49" s="51" t="n"/>
      <c r="J49" s="51" t="n"/>
      <c r="K49" s="51" t="n"/>
      <c r="L49" s="51" t="n"/>
      <c r="M49" s="51" t="n"/>
      <c r="N49" s="52">
        <f>IF(A182="","",IF(G182="FIXED",M182,IF(G182="UNIFORM",IF(AND(ISNUMBER(H182),ISNUMBER(I182)),(H182+I182)/2,""),IF(G182="TRIANGLE",IF(ISNUMBER(L182),L182,IF(ISNUMBER(J182),J182,"")),IF(ISNUMBER(J182),J182,IF(ISNUMBER(K182),K182,""))))))</f>
        <v/>
      </c>
      <c r="O49" s="32">
        <f>IF(A182="","",IF(G182="FIXED","fixed",IF(G182="UNIFORM","midpoint_median",IF(G182="TRIANGLE",IF(ISNUMBER(L182),"mode",IF(ISNUMBER(J182),"source_median","missing")),IF(ISNUMBER(J182),"source_median",IF(ISNUMBER(K182),"source_mean","missing"))))))</f>
        <v/>
      </c>
      <c r="P49" s="18" t="n"/>
      <c r="Q49" s="18" t="n"/>
      <c r="R49" s="18" t="n"/>
      <c r="S49" s="18" t="n"/>
    </row>
    <row r="50">
      <c r="A50" s="18" t="n"/>
      <c r="B50" s="18" t="n"/>
      <c r="C50" s="18" t="n"/>
      <c r="D50" s="18" t="n"/>
      <c r="E50" s="18" t="n"/>
      <c r="F50" s="18" t="n"/>
      <c r="G50" s="18" t="n"/>
      <c r="H50" s="51" t="n"/>
      <c r="I50" s="51" t="n"/>
      <c r="J50" s="51" t="n"/>
      <c r="K50" s="51" t="n"/>
      <c r="L50" s="51" t="n"/>
      <c r="M50" s="51" t="n"/>
      <c r="N50" s="52">
        <f>IF(A183="","",IF(G183="FIXED",M183,IF(G183="UNIFORM",IF(AND(ISNUMBER(H183),ISNUMBER(I183)),(H183+I183)/2,""),IF(G183="TRIANGLE",IF(ISNUMBER(L183),L183,IF(ISNUMBER(J183),J183,"")),IF(ISNUMBER(J183),J183,IF(ISNUMBER(K183),K183,""))))))</f>
        <v/>
      </c>
      <c r="O50" s="32">
        <f>IF(A183="","",IF(G183="FIXED","fixed",IF(G183="UNIFORM","midpoint_median",IF(G183="TRIANGLE",IF(ISNUMBER(L183),"mode",IF(ISNUMBER(J183),"source_median","missing")),IF(ISNUMBER(J183),"source_median",IF(ISNUMBER(K183),"source_mean","missing"))))))</f>
        <v/>
      </c>
      <c r="P50" s="18" t="n"/>
      <c r="Q50" s="18" t="n"/>
      <c r="R50" s="18" t="n"/>
      <c r="S50" s="18" t="n"/>
    </row>
    <row r="51">
      <c r="A51" s="18" t="n"/>
      <c r="B51" s="18" t="n"/>
      <c r="C51" s="18" t="n"/>
      <c r="D51" s="18" t="n"/>
      <c r="E51" s="18" t="n"/>
      <c r="F51" s="18" t="n"/>
      <c r="G51" s="18" t="n"/>
      <c r="H51" s="51" t="n"/>
      <c r="I51" s="51" t="n"/>
      <c r="J51" s="51" t="n"/>
      <c r="K51" s="51" t="n"/>
      <c r="L51" s="51" t="n"/>
      <c r="M51" s="51" t="n"/>
      <c r="N51" s="52">
        <f>IF(A184="","",IF(G184="FIXED",M184,IF(G184="UNIFORM",IF(AND(ISNUMBER(H184),ISNUMBER(I184)),(H184+I184)/2,""),IF(G184="TRIANGLE",IF(ISNUMBER(L184),L184,IF(ISNUMBER(J184),J184,"")),IF(ISNUMBER(J184),J184,IF(ISNUMBER(K184),K184,""))))))</f>
        <v/>
      </c>
      <c r="O51" s="32">
        <f>IF(A184="","",IF(G184="FIXED","fixed",IF(G184="UNIFORM","midpoint_median",IF(G184="TRIANGLE",IF(ISNUMBER(L184),"mode",IF(ISNUMBER(J184),"source_median","missing")),IF(ISNUMBER(J184),"source_median",IF(ISNUMBER(K184),"source_mean","missing"))))))</f>
        <v/>
      </c>
      <c r="P51" s="18" t="n"/>
      <c r="Q51" s="18" t="n"/>
      <c r="R51" s="18" t="n"/>
      <c r="S51" s="18" t="n"/>
    </row>
    <row r="52">
      <c r="A52" s="18" t="n"/>
      <c r="B52" s="18" t="n"/>
      <c r="C52" s="18" t="n"/>
      <c r="D52" s="18" t="n"/>
      <c r="E52" s="18" t="n"/>
      <c r="F52" s="18" t="n"/>
      <c r="G52" s="18" t="n"/>
      <c r="H52" s="51" t="n"/>
      <c r="I52" s="51" t="n"/>
      <c r="J52" s="51" t="n"/>
      <c r="K52" s="51" t="n"/>
      <c r="L52" s="51" t="n"/>
      <c r="M52" s="51" t="n"/>
      <c r="N52" s="52">
        <f>IF(A185="","",IF(G185="FIXED",M185,IF(G185="UNIFORM",IF(AND(ISNUMBER(H185),ISNUMBER(I185)),(H185+I185)/2,""),IF(G185="TRIANGLE",IF(ISNUMBER(L185),L185,IF(ISNUMBER(J185),J185,"")),IF(ISNUMBER(J185),J185,IF(ISNUMBER(K185),K185,""))))))</f>
        <v/>
      </c>
      <c r="O52" s="32">
        <f>IF(A185="","",IF(G185="FIXED","fixed",IF(G185="UNIFORM","midpoint_median",IF(G185="TRIANGLE",IF(ISNUMBER(L185),"mode",IF(ISNUMBER(J185),"source_median","missing")),IF(ISNUMBER(J185),"source_median",IF(ISNUMBER(K185),"source_mean","missing"))))))</f>
        <v/>
      </c>
      <c r="P52" s="18" t="n"/>
      <c r="Q52" s="18" t="n"/>
      <c r="R52" s="18" t="n"/>
      <c r="S52" s="18" t="n"/>
    </row>
    <row r="53">
      <c r="A53" s="18" t="n"/>
      <c r="B53" s="18" t="n"/>
      <c r="C53" s="18" t="n"/>
      <c r="D53" s="18" t="n"/>
      <c r="E53" s="18" t="n"/>
      <c r="F53" s="18" t="n"/>
      <c r="G53" s="18" t="n"/>
      <c r="H53" s="51" t="n"/>
      <c r="I53" s="51" t="n"/>
      <c r="J53" s="51" t="n"/>
      <c r="K53" s="51" t="n"/>
      <c r="L53" s="51" t="n"/>
      <c r="M53" s="51" t="n"/>
      <c r="N53" s="52">
        <f>IF(A186="","",IF(G186="FIXED",M186,IF(G186="UNIFORM",IF(AND(ISNUMBER(H186),ISNUMBER(I186)),(H186+I186)/2,""),IF(G186="TRIANGLE",IF(ISNUMBER(L186),L186,IF(ISNUMBER(J186),J186,"")),IF(ISNUMBER(J186),J186,IF(ISNUMBER(K186),K186,""))))))</f>
        <v/>
      </c>
      <c r="O53" s="32">
        <f>IF(A186="","",IF(G186="FIXED","fixed",IF(G186="UNIFORM","midpoint_median",IF(G186="TRIANGLE",IF(ISNUMBER(L186),"mode",IF(ISNUMBER(J186),"source_median","missing")),IF(ISNUMBER(J186),"source_median",IF(ISNUMBER(K186),"source_mean","missing"))))))</f>
        <v/>
      </c>
      <c r="P53" s="18" t="n"/>
      <c r="Q53" s="18" t="n"/>
      <c r="R53" s="18" t="n"/>
      <c r="S53" s="18" t="n"/>
    </row>
    <row r="54">
      <c r="A54" s="18" t="n"/>
      <c r="B54" s="18" t="n"/>
      <c r="C54" s="18" t="n"/>
      <c r="D54" s="18" t="n"/>
      <c r="E54" s="18" t="n"/>
      <c r="F54" s="18" t="n"/>
      <c r="G54" s="18" t="n"/>
      <c r="H54" s="51" t="n"/>
      <c r="I54" s="51" t="n"/>
      <c r="J54" s="51" t="n"/>
      <c r="K54" s="51" t="n"/>
      <c r="L54" s="51" t="n"/>
      <c r="M54" s="51" t="n"/>
      <c r="N54" s="52">
        <f>IF(A187="","",IF(G187="FIXED",M187,IF(G187="UNIFORM",IF(AND(ISNUMBER(H187),ISNUMBER(I187)),(H187+I187)/2,""),IF(G187="TRIANGLE",IF(ISNUMBER(L187),L187,IF(ISNUMBER(J187),J187,"")),IF(ISNUMBER(J187),J187,IF(ISNUMBER(K187),K187,""))))))</f>
        <v/>
      </c>
      <c r="O54" s="32">
        <f>IF(A187="","",IF(G187="FIXED","fixed",IF(G187="UNIFORM","midpoint_median",IF(G187="TRIANGLE",IF(ISNUMBER(L187),"mode",IF(ISNUMBER(J187),"source_median","missing")),IF(ISNUMBER(J187),"source_median",IF(ISNUMBER(K187),"source_mean","missing"))))))</f>
        <v/>
      </c>
      <c r="P54" s="18" t="n"/>
      <c r="Q54" s="18" t="n"/>
      <c r="R54" s="18" t="n"/>
      <c r="S54" s="18" t="n"/>
    </row>
    <row r="55">
      <c r="A55" s="18" t="n"/>
      <c r="B55" s="18" t="n"/>
      <c r="C55" s="18" t="n"/>
      <c r="D55" s="18" t="n"/>
      <c r="E55" s="18" t="n"/>
      <c r="F55" s="18" t="n"/>
      <c r="G55" s="18" t="n"/>
      <c r="H55" s="51" t="n"/>
      <c r="I55" s="51" t="n"/>
      <c r="J55" s="51" t="n"/>
      <c r="K55" s="51" t="n"/>
      <c r="L55" s="51" t="n"/>
      <c r="M55" s="51" t="n"/>
      <c r="N55" s="52">
        <f>IF(A188="","",IF(G188="FIXED",M188,IF(G188="UNIFORM",IF(AND(ISNUMBER(H188),ISNUMBER(I188)),(H188+I188)/2,""),IF(G188="TRIANGLE",IF(ISNUMBER(L188),L188,IF(ISNUMBER(J188),J188,"")),IF(ISNUMBER(J188),J188,IF(ISNUMBER(K188),K188,""))))))</f>
        <v/>
      </c>
      <c r="O55" s="32">
        <f>IF(A188="","",IF(G188="FIXED","fixed",IF(G188="UNIFORM","midpoint_median",IF(G188="TRIANGLE",IF(ISNUMBER(L188),"mode",IF(ISNUMBER(J188),"source_median","missing")),IF(ISNUMBER(J188),"source_median",IF(ISNUMBER(K188),"source_mean","missing"))))))</f>
        <v/>
      </c>
      <c r="P55" s="18" t="n"/>
      <c r="Q55" s="18" t="n"/>
      <c r="R55" s="18" t="n"/>
      <c r="S55" s="18" t="n"/>
    </row>
    <row r="56">
      <c r="A56" s="18" t="n"/>
      <c r="B56" s="18" t="n"/>
      <c r="C56" s="18" t="n"/>
      <c r="D56" s="18" t="n"/>
      <c r="E56" s="18" t="n"/>
      <c r="F56" s="18" t="n"/>
      <c r="G56" s="18" t="n"/>
      <c r="H56" s="51" t="n"/>
      <c r="I56" s="51" t="n"/>
      <c r="J56" s="51" t="n"/>
      <c r="K56" s="51" t="n"/>
      <c r="L56" s="51" t="n"/>
      <c r="M56" s="51" t="n"/>
      <c r="N56" s="52">
        <f>IF(A189="","",IF(G189="FIXED",M189,IF(G189="UNIFORM",IF(AND(ISNUMBER(H189),ISNUMBER(I189)),(H189+I189)/2,""),IF(G189="TRIANGLE",IF(ISNUMBER(L189),L189,IF(ISNUMBER(J189),J189,"")),IF(ISNUMBER(J189),J189,IF(ISNUMBER(K189),K189,""))))))</f>
        <v/>
      </c>
      <c r="O56" s="32">
        <f>IF(A189="","",IF(G189="FIXED","fixed",IF(G189="UNIFORM","midpoint_median",IF(G189="TRIANGLE",IF(ISNUMBER(L189),"mode",IF(ISNUMBER(J189),"source_median","missing")),IF(ISNUMBER(J189),"source_median",IF(ISNUMBER(K189),"source_mean","missing"))))))</f>
        <v/>
      </c>
      <c r="P56" s="18" t="n"/>
      <c r="Q56" s="18" t="n"/>
      <c r="R56" s="18" t="n"/>
      <c r="S56" s="18" t="n"/>
    </row>
    <row r="57">
      <c r="A57" s="18" t="n"/>
      <c r="B57" s="18" t="n"/>
      <c r="C57" s="18" t="n"/>
      <c r="D57" s="18" t="n"/>
      <c r="E57" s="18" t="n"/>
      <c r="F57" s="18" t="n"/>
      <c r="G57" s="18" t="n"/>
      <c r="H57" s="51" t="n"/>
      <c r="I57" s="51" t="n"/>
      <c r="J57" s="51" t="n"/>
      <c r="K57" s="51" t="n"/>
      <c r="L57" s="51" t="n"/>
      <c r="M57" s="51" t="n"/>
      <c r="N57" s="52">
        <f>IF(A190="","",IF(G190="FIXED",M190,IF(G190="UNIFORM",IF(AND(ISNUMBER(H190),ISNUMBER(I190)),(H190+I190)/2,""),IF(G190="TRIANGLE",IF(ISNUMBER(L190),L190,IF(ISNUMBER(J190),J190,"")),IF(ISNUMBER(J190),J190,IF(ISNUMBER(K190),K190,""))))))</f>
        <v/>
      </c>
      <c r="O57" s="32">
        <f>IF(A190="","",IF(G190="FIXED","fixed",IF(G190="UNIFORM","midpoint_median",IF(G190="TRIANGLE",IF(ISNUMBER(L190),"mode",IF(ISNUMBER(J190),"source_median","missing")),IF(ISNUMBER(J190),"source_median",IF(ISNUMBER(K190),"source_mean","missing"))))))</f>
        <v/>
      </c>
      <c r="P57" s="18" t="n"/>
      <c r="Q57" s="18" t="n"/>
      <c r="R57" s="18" t="n"/>
      <c r="S57" s="18" t="n"/>
    </row>
    <row r="58">
      <c r="A58" s="18" t="n"/>
      <c r="B58" s="18" t="n"/>
      <c r="C58" s="18" t="n"/>
      <c r="D58" s="18" t="n"/>
      <c r="E58" s="18" t="n"/>
      <c r="F58" s="18" t="n"/>
      <c r="G58" s="18" t="n"/>
      <c r="H58" s="51" t="n"/>
      <c r="I58" s="51" t="n"/>
      <c r="J58" s="51" t="n"/>
      <c r="K58" s="51" t="n"/>
      <c r="L58" s="51" t="n"/>
      <c r="M58" s="51" t="n"/>
      <c r="N58" s="52">
        <f>IF(A191="","",IF(G191="FIXED",M191,IF(G191="UNIFORM",IF(AND(ISNUMBER(H191),ISNUMBER(I191)),(H191+I191)/2,""),IF(G191="TRIANGLE",IF(ISNUMBER(L191),L191,IF(ISNUMBER(J191),J191,"")),IF(ISNUMBER(J191),J191,IF(ISNUMBER(K191),K191,""))))))</f>
        <v/>
      </c>
      <c r="O58" s="32">
        <f>IF(A191="","",IF(G191="FIXED","fixed",IF(G191="UNIFORM","midpoint_median",IF(G191="TRIANGLE",IF(ISNUMBER(L191),"mode",IF(ISNUMBER(J191),"source_median","missing")),IF(ISNUMBER(J191),"source_median",IF(ISNUMBER(K191),"source_mean","missing"))))))</f>
        <v/>
      </c>
      <c r="P58" s="18" t="n"/>
      <c r="Q58" s="18" t="n"/>
      <c r="R58" s="18" t="n"/>
      <c r="S58" s="18" t="n"/>
    </row>
    <row r="59">
      <c r="A59" s="18" t="n"/>
      <c r="B59" s="18" t="n"/>
      <c r="C59" s="18" t="n"/>
      <c r="D59" s="18" t="n"/>
      <c r="E59" s="18" t="n"/>
      <c r="F59" s="18" t="n"/>
      <c r="G59" s="18" t="n"/>
      <c r="H59" s="51" t="n"/>
      <c r="I59" s="51" t="n"/>
      <c r="J59" s="51" t="n"/>
      <c r="K59" s="51" t="n"/>
      <c r="L59" s="51" t="n"/>
      <c r="M59" s="51" t="n"/>
      <c r="N59" s="52">
        <f>IF(A192="","",IF(G192="FIXED",M192,IF(G192="UNIFORM",IF(AND(ISNUMBER(H192),ISNUMBER(I192)),(H192+I192)/2,""),IF(G192="TRIANGLE",IF(ISNUMBER(L192),L192,IF(ISNUMBER(J192),J192,"")),IF(ISNUMBER(J192),J192,IF(ISNUMBER(K192),K192,""))))))</f>
        <v/>
      </c>
      <c r="O59" s="32">
        <f>IF(A192="","",IF(G192="FIXED","fixed",IF(G192="UNIFORM","midpoint_median",IF(G192="TRIANGLE",IF(ISNUMBER(L192),"mode",IF(ISNUMBER(J192),"source_median","missing")),IF(ISNUMBER(J192),"source_median",IF(ISNUMBER(K192),"source_mean","missing"))))))</f>
        <v/>
      </c>
      <c r="P59" s="18" t="n"/>
      <c r="Q59" s="18" t="n"/>
      <c r="R59" s="18" t="n"/>
      <c r="S59" s="18" t="n"/>
    </row>
    <row r="60">
      <c r="A60" s="18" t="n"/>
      <c r="B60" s="18" t="n"/>
      <c r="C60" s="18" t="n"/>
      <c r="D60" s="18" t="n"/>
      <c r="E60" s="18" t="n"/>
      <c r="F60" s="18" t="n"/>
      <c r="G60" s="18" t="n"/>
      <c r="H60" s="51" t="n"/>
      <c r="I60" s="51" t="n"/>
      <c r="J60" s="51" t="n"/>
      <c r="K60" s="51" t="n"/>
      <c r="L60" s="51" t="n"/>
      <c r="M60" s="51" t="n"/>
      <c r="N60" s="52">
        <f>IF(A193="","",IF(G193="FIXED",M193,IF(G193="UNIFORM",IF(AND(ISNUMBER(H193),ISNUMBER(I193)),(H193+I193)/2,""),IF(G193="TRIANGLE",IF(ISNUMBER(L193),L193,IF(ISNUMBER(J193),J193,"")),IF(ISNUMBER(J193),J193,IF(ISNUMBER(K193),K193,""))))))</f>
        <v/>
      </c>
      <c r="O60" s="32">
        <f>IF(A193="","",IF(G193="FIXED","fixed",IF(G193="UNIFORM","midpoint_median",IF(G193="TRIANGLE",IF(ISNUMBER(L193),"mode",IF(ISNUMBER(J193),"source_median","missing")),IF(ISNUMBER(J193),"source_median",IF(ISNUMBER(K193),"source_mean","missing"))))))</f>
        <v/>
      </c>
      <c r="P60" s="18" t="n"/>
      <c r="Q60" s="18" t="n"/>
      <c r="R60" s="18" t="n"/>
      <c r="S60" s="18" t="n"/>
    </row>
    <row r="61">
      <c r="A61" s="18" t="n"/>
      <c r="B61" s="18" t="n"/>
      <c r="C61" s="18" t="n"/>
      <c r="D61" s="18" t="n"/>
      <c r="E61" s="18" t="n"/>
      <c r="F61" s="18" t="n"/>
      <c r="G61" s="18" t="n"/>
      <c r="H61" s="51" t="n"/>
      <c r="I61" s="51" t="n"/>
      <c r="J61" s="51" t="n"/>
      <c r="K61" s="51" t="n"/>
      <c r="L61" s="51" t="n"/>
      <c r="M61" s="51" t="n"/>
      <c r="N61" s="52">
        <f>IF(A194="","",IF(G194="FIXED",M194,IF(G194="UNIFORM",IF(AND(ISNUMBER(H194),ISNUMBER(I194)),(H194+I194)/2,""),IF(G194="TRIANGLE",IF(ISNUMBER(L194),L194,IF(ISNUMBER(J194),J194,"")),IF(ISNUMBER(J194),J194,IF(ISNUMBER(K194),K194,""))))))</f>
        <v/>
      </c>
      <c r="O61" s="32">
        <f>IF(A194="","",IF(G194="FIXED","fixed",IF(G194="UNIFORM","midpoint_median",IF(G194="TRIANGLE",IF(ISNUMBER(L194),"mode",IF(ISNUMBER(J194),"source_median","missing")),IF(ISNUMBER(J194),"source_median",IF(ISNUMBER(K194),"source_mean","missing"))))))</f>
        <v/>
      </c>
      <c r="P61" s="18" t="n"/>
      <c r="Q61" s="18" t="n"/>
      <c r="R61" s="18" t="n"/>
      <c r="S61" s="18" t="n"/>
    </row>
    <row r="62">
      <c r="A62" s="18" t="n"/>
      <c r="B62" s="18" t="n"/>
      <c r="C62" s="18" t="n"/>
      <c r="D62" s="18" t="n"/>
      <c r="E62" s="18" t="n"/>
      <c r="F62" s="18" t="n"/>
      <c r="G62" s="18" t="n"/>
      <c r="H62" s="51" t="n"/>
      <c r="I62" s="51" t="n"/>
      <c r="J62" s="51" t="n"/>
      <c r="K62" s="51" t="n"/>
      <c r="L62" s="51" t="n"/>
      <c r="M62" s="51" t="n"/>
      <c r="N62" s="52">
        <f>IF(A195="","",IF(G195="FIXED",M195,IF(G195="UNIFORM",IF(AND(ISNUMBER(H195),ISNUMBER(I195)),(H195+I195)/2,""),IF(G195="TRIANGLE",IF(ISNUMBER(L195),L195,IF(ISNUMBER(J195),J195,"")),IF(ISNUMBER(J195),J195,IF(ISNUMBER(K195),K195,""))))))</f>
        <v/>
      </c>
      <c r="O62" s="32">
        <f>IF(A195="","",IF(G195="FIXED","fixed",IF(G195="UNIFORM","midpoint_median",IF(G195="TRIANGLE",IF(ISNUMBER(L195),"mode",IF(ISNUMBER(J195),"source_median","missing")),IF(ISNUMBER(J195),"source_median",IF(ISNUMBER(K195),"source_mean","missing"))))))</f>
        <v/>
      </c>
      <c r="P62" s="18" t="n"/>
      <c r="Q62" s="18" t="n"/>
      <c r="R62" s="18" t="n"/>
      <c r="S62" s="18" t="n"/>
    </row>
    <row r="63">
      <c r="A63" s="18" t="n"/>
      <c r="B63" s="18" t="n"/>
      <c r="C63" s="18" t="n"/>
      <c r="D63" s="18" t="n"/>
      <c r="E63" s="18" t="n"/>
      <c r="F63" s="18" t="n"/>
      <c r="G63" s="18" t="n"/>
      <c r="H63" s="51" t="n"/>
      <c r="I63" s="51" t="n"/>
      <c r="J63" s="51" t="n"/>
      <c r="K63" s="51" t="n"/>
      <c r="L63" s="51" t="n"/>
      <c r="M63" s="51" t="n"/>
      <c r="N63" s="52">
        <f>IF(A196="","",IF(G196="FIXED",M196,IF(G196="UNIFORM",IF(AND(ISNUMBER(H196),ISNUMBER(I196)),(H196+I196)/2,""),IF(G196="TRIANGLE",IF(ISNUMBER(L196),L196,IF(ISNUMBER(J196),J196,"")),IF(ISNUMBER(J196),J196,IF(ISNUMBER(K196),K196,""))))))</f>
        <v/>
      </c>
      <c r="O63" s="32">
        <f>IF(A196="","",IF(G196="FIXED","fixed",IF(G196="UNIFORM","midpoint_median",IF(G196="TRIANGLE",IF(ISNUMBER(L196),"mode",IF(ISNUMBER(J196),"source_median","missing")),IF(ISNUMBER(J196),"source_median",IF(ISNUMBER(K196),"source_mean","missing"))))))</f>
        <v/>
      </c>
      <c r="P63" s="18" t="n"/>
      <c r="Q63" s="18" t="n"/>
      <c r="R63" s="18" t="n"/>
      <c r="S63" s="18" t="n"/>
    </row>
    <row r="64">
      <c r="A64" s="18" t="n"/>
      <c r="B64" s="18" t="n"/>
      <c r="C64" s="18" t="n"/>
      <c r="D64" s="18" t="n"/>
      <c r="E64" s="18" t="n"/>
      <c r="F64" s="18" t="n"/>
      <c r="G64" s="18" t="n"/>
      <c r="H64" s="51" t="n"/>
      <c r="I64" s="51" t="n"/>
      <c r="J64" s="51" t="n"/>
      <c r="K64" s="51" t="n"/>
      <c r="L64" s="51" t="n"/>
      <c r="M64" s="51" t="n"/>
      <c r="N64" s="52">
        <f>IF(A197="","",IF(G197="FIXED",M197,IF(G197="UNIFORM",IF(AND(ISNUMBER(H197),ISNUMBER(I197)),(H197+I197)/2,""),IF(G197="TRIANGLE",IF(ISNUMBER(L197),L197,IF(ISNUMBER(J197),J197,"")),IF(ISNUMBER(J197),J197,IF(ISNUMBER(K197),K197,""))))))</f>
        <v/>
      </c>
      <c r="O64" s="32">
        <f>IF(A197="","",IF(G197="FIXED","fixed",IF(G197="UNIFORM","midpoint_median",IF(G197="TRIANGLE",IF(ISNUMBER(L197),"mode",IF(ISNUMBER(J197),"source_median","missing")),IF(ISNUMBER(J197),"source_median",IF(ISNUMBER(K197),"source_mean","missing"))))))</f>
        <v/>
      </c>
      <c r="P64" s="18" t="n"/>
      <c r="Q64" s="18" t="n"/>
      <c r="R64" s="18" t="n"/>
      <c r="S64" s="18" t="n"/>
    </row>
    <row r="65">
      <c r="A65" s="18" t="n"/>
      <c r="B65" s="18" t="n"/>
      <c r="C65" s="18" t="n"/>
      <c r="D65" s="18" t="n"/>
      <c r="E65" s="18" t="n"/>
      <c r="F65" s="18" t="n"/>
      <c r="G65" s="18" t="n"/>
      <c r="H65" s="51" t="n"/>
      <c r="I65" s="51" t="n"/>
      <c r="J65" s="51" t="n"/>
      <c r="K65" s="51" t="n"/>
      <c r="L65" s="51" t="n"/>
      <c r="M65" s="51" t="n"/>
      <c r="N65" s="52">
        <f>IF(A198="","",IF(G198="FIXED",M198,IF(G198="UNIFORM",IF(AND(ISNUMBER(H198),ISNUMBER(I198)),(H198+I198)/2,""),IF(G198="TRIANGLE",IF(ISNUMBER(L198),L198,IF(ISNUMBER(J198),J198,"")),IF(ISNUMBER(J198),J198,IF(ISNUMBER(K198),K198,""))))))</f>
        <v/>
      </c>
      <c r="O65" s="32">
        <f>IF(A198="","",IF(G198="FIXED","fixed",IF(G198="UNIFORM","midpoint_median",IF(G198="TRIANGLE",IF(ISNUMBER(L198),"mode",IF(ISNUMBER(J198),"source_median","missing")),IF(ISNUMBER(J198),"source_median",IF(ISNUMBER(K198),"source_mean","missing"))))))</f>
        <v/>
      </c>
      <c r="P65" s="18" t="n"/>
      <c r="Q65" s="18" t="n"/>
      <c r="R65" s="18" t="n"/>
      <c r="S65" s="18" t="n"/>
    </row>
    <row r="66">
      <c r="A66" s="18" t="n"/>
      <c r="B66" s="18" t="n"/>
      <c r="C66" s="18" t="n"/>
      <c r="D66" s="18" t="n"/>
      <c r="E66" s="18" t="n"/>
      <c r="F66" s="18" t="n"/>
      <c r="G66" s="18" t="n"/>
      <c r="H66" s="51" t="n"/>
      <c r="I66" s="51" t="n"/>
      <c r="J66" s="51" t="n"/>
      <c r="K66" s="51" t="n"/>
      <c r="L66" s="51" t="n"/>
      <c r="M66" s="51" t="n"/>
      <c r="N66" s="52">
        <f>IF(A199="","",IF(G199="FIXED",M199,IF(G199="UNIFORM",IF(AND(ISNUMBER(H199),ISNUMBER(I199)),(H199+I199)/2,""),IF(G199="TRIANGLE",IF(ISNUMBER(L199),L199,IF(ISNUMBER(J199),J199,"")),IF(ISNUMBER(J199),J199,IF(ISNUMBER(K199),K199,""))))))</f>
        <v/>
      </c>
      <c r="O66" s="32">
        <f>IF(A199="","",IF(G199="FIXED","fixed",IF(G199="UNIFORM","midpoint_median",IF(G199="TRIANGLE",IF(ISNUMBER(L199),"mode",IF(ISNUMBER(J199),"source_median","missing")),IF(ISNUMBER(J199),"source_median",IF(ISNUMBER(K199),"source_mean","missing"))))))</f>
        <v/>
      </c>
      <c r="P66" s="18" t="n"/>
      <c r="Q66" s="18" t="n"/>
      <c r="R66" s="18" t="n"/>
      <c r="S66" s="18" t="n"/>
    </row>
    <row r="67">
      <c r="A67" s="18" t="n"/>
      <c r="B67" s="18" t="n"/>
      <c r="C67" s="18" t="n"/>
      <c r="D67" s="18" t="n"/>
      <c r="E67" s="18" t="n"/>
      <c r="F67" s="18" t="n"/>
      <c r="G67" s="18" t="n"/>
      <c r="H67" s="51" t="n"/>
      <c r="I67" s="51" t="n"/>
      <c r="J67" s="51" t="n"/>
      <c r="K67" s="51" t="n"/>
      <c r="L67" s="51" t="n"/>
      <c r="M67" s="51" t="n"/>
      <c r="N67" s="52">
        <f>IF(A200="","",IF(G200="FIXED",M200,IF(G200="UNIFORM",IF(AND(ISNUMBER(H200),ISNUMBER(I200)),(H200+I200)/2,""),IF(G200="TRIANGLE",IF(ISNUMBER(L200),L200,IF(ISNUMBER(J200),J200,"")),IF(ISNUMBER(J200),J200,IF(ISNUMBER(K200),K200,""))))))</f>
        <v/>
      </c>
      <c r="O67" s="32">
        <f>IF(A200="","",IF(G200="FIXED","fixed",IF(G200="UNIFORM","midpoint_median",IF(G200="TRIANGLE",IF(ISNUMBER(L200),"mode",IF(ISNUMBER(J200),"source_median","missing")),IF(ISNUMBER(J200),"source_median",IF(ISNUMBER(K200),"source_mean","missing"))))))</f>
        <v/>
      </c>
      <c r="P67" s="18" t="n"/>
      <c r="Q67" s="18" t="n"/>
      <c r="R67" s="18" t="n"/>
      <c r="S67" s="18" t="n"/>
    </row>
    <row r="68">
      <c r="A68" s="18" t="n"/>
      <c r="B68" s="18" t="n"/>
      <c r="C68" s="18" t="n"/>
      <c r="D68" s="18" t="n"/>
      <c r="E68" s="18" t="n"/>
      <c r="F68" s="18" t="n"/>
      <c r="G68" s="18" t="n"/>
      <c r="H68" s="51" t="n"/>
      <c r="I68" s="51" t="n"/>
      <c r="J68" s="51" t="n"/>
      <c r="K68" s="51" t="n"/>
      <c r="L68" s="51" t="n"/>
      <c r="M68" s="51" t="n"/>
      <c r="N68" s="52">
        <f>IF(A201="","",IF(G201="FIXED",M201,IF(G201="UNIFORM",IF(AND(ISNUMBER(H201),ISNUMBER(I201)),(H201+I201)/2,""),IF(G201="TRIANGLE",IF(ISNUMBER(L201),L201,IF(ISNUMBER(J201),J201,"")),IF(ISNUMBER(J201),J201,IF(ISNUMBER(K201),K201,""))))))</f>
        <v/>
      </c>
      <c r="O68" s="32">
        <f>IF(A201="","",IF(G201="FIXED","fixed",IF(G201="UNIFORM","midpoint_median",IF(G201="TRIANGLE",IF(ISNUMBER(L201),"mode",IF(ISNUMBER(J201),"source_median","missing")),IF(ISNUMBER(J201),"source_median",IF(ISNUMBER(K201),"source_mean","missing"))))))</f>
        <v/>
      </c>
      <c r="P68" s="18" t="n"/>
      <c r="Q68" s="18" t="n"/>
      <c r="R68" s="18" t="n"/>
      <c r="S68" s="18" t="n"/>
    </row>
    <row r="69">
      <c r="A69" s="18" t="n"/>
      <c r="B69" s="18" t="n"/>
      <c r="C69" s="18" t="n"/>
      <c r="D69" s="18" t="n"/>
      <c r="E69" s="18" t="n"/>
      <c r="F69" s="18" t="n"/>
      <c r="G69" s="18" t="n"/>
      <c r="H69" s="51" t="n"/>
      <c r="I69" s="51" t="n"/>
      <c r="J69" s="51" t="n"/>
      <c r="K69" s="51" t="n"/>
      <c r="L69" s="51" t="n"/>
      <c r="M69" s="51" t="n"/>
      <c r="N69" s="52">
        <f>IF(A202="","",IF(G202="FIXED",M202,IF(G202="UNIFORM",IF(AND(ISNUMBER(H202),ISNUMBER(I202)),(H202+I202)/2,""),IF(G202="TRIANGLE",IF(ISNUMBER(L202),L202,IF(ISNUMBER(J202),J202,"")),IF(ISNUMBER(J202),J202,IF(ISNUMBER(K202),K202,""))))))</f>
        <v/>
      </c>
      <c r="O69" s="32">
        <f>IF(A202="","",IF(G202="FIXED","fixed",IF(G202="UNIFORM","midpoint_median",IF(G202="TRIANGLE",IF(ISNUMBER(L202),"mode",IF(ISNUMBER(J202),"source_median","missing")),IF(ISNUMBER(J202),"source_median",IF(ISNUMBER(K202),"source_mean","missing"))))))</f>
        <v/>
      </c>
      <c r="P69" s="18" t="n"/>
      <c r="Q69" s="18" t="n"/>
      <c r="R69" s="18" t="n"/>
      <c r="S69" s="18" t="n"/>
    </row>
    <row r="70">
      <c r="A70" s="18" t="n"/>
      <c r="B70" s="18" t="n"/>
      <c r="C70" s="18" t="n"/>
      <c r="D70" s="18" t="n"/>
      <c r="E70" s="18" t="n"/>
      <c r="F70" s="18" t="n"/>
      <c r="G70" s="18" t="n"/>
      <c r="H70" s="51" t="n"/>
      <c r="I70" s="51" t="n"/>
      <c r="J70" s="51" t="n"/>
      <c r="K70" s="51" t="n"/>
      <c r="L70" s="51" t="n"/>
      <c r="M70" s="51" t="n"/>
      <c r="N70" s="52">
        <f>IF(A203="","",IF(G203="FIXED",M203,IF(G203="UNIFORM",IF(AND(ISNUMBER(H203),ISNUMBER(I203)),(H203+I203)/2,""),IF(G203="TRIANGLE",IF(ISNUMBER(L203),L203,IF(ISNUMBER(J203),J203,"")),IF(ISNUMBER(J203),J203,IF(ISNUMBER(K203),K203,""))))))</f>
        <v/>
      </c>
      <c r="O70" s="32">
        <f>IF(A203="","",IF(G203="FIXED","fixed",IF(G203="UNIFORM","midpoint_median",IF(G203="TRIANGLE",IF(ISNUMBER(L203),"mode",IF(ISNUMBER(J203),"source_median","missing")),IF(ISNUMBER(J203),"source_median",IF(ISNUMBER(K203),"source_mean","missing"))))))</f>
        <v/>
      </c>
      <c r="P70" s="18" t="n"/>
      <c r="Q70" s="18" t="n"/>
      <c r="R70" s="18" t="n"/>
      <c r="S70" s="18" t="n"/>
    </row>
    <row r="71">
      <c r="A71" s="18" t="n"/>
      <c r="B71" s="18" t="n"/>
      <c r="C71" s="18" t="n"/>
      <c r="D71" s="18" t="n"/>
      <c r="E71" s="18" t="n"/>
      <c r="F71" s="18" t="n"/>
      <c r="G71" s="18" t="n"/>
      <c r="H71" s="51" t="n"/>
      <c r="I71" s="51" t="n"/>
      <c r="J71" s="51" t="n"/>
      <c r="K71" s="51" t="n"/>
      <c r="L71" s="51" t="n"/>
      <c r="M71" s="51" t="n"/>
      <c r="N71" s="52">
        <f>IF(A204="","",IF(G204="FIXED",M204,IF(G204="UNIFORM",IF(AND(ISNUMBER(H204),ISNUMBER(I204)),(H204+I204)/2,""),IF(G204="TRIANGLE",IF(ISNUMBER(L204),L204,IF(ISNUMBER(J204),J204,"")),IF(ISNUMBER(J204),J204,IF(ISNUMBER(K204),K204,""))))))</f>
        <v/>
      </c>
      <c r="O71" s="32">
        <f>IF(A204="","",IF(G204="FIXED","fixed",IF(G204="UNIFORM","midpoint_median",IF(G204="TRIANGLE",IF(ISNUMBER(L204),"mode",IF(ISNUMBER(J204),"source_median","missing")),IF(ISNUMBER(J204),"source_median",IF(ISNUMBER(K204),"source_mean","missing"))))))</f>
        <v/>
      </c>
      <c r="P71" s="18" t="n"/>
      <c r="Q71" s="18" t="n"/>
      <c r="R71" s="18" t="n"/>
      <c r="S71" s="18" t="n"/>
    </row>
  </sheetData>
  <dataValidations count="2">
    <dataValidation sqref="G5:G204" showDropDown="0" showInputMessage="0" showErrorMessage="0" allowBlank="0" type="list">
      <formula1>"FIXED,UNIFORM,TRIANGLE,NORMAL,LOGNORMAL,UNSPECIFIED,OTHER"</formula1>
    </dataValidation>
    <dataValidation sqref="R5:R204" showDropDown="0" showInputMessage="0" showErrorMessage="0" allowBlank="0" type="list">
      <formula1>"原文值,可复算,待核实,排除,不适用"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72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18" customWidth="1" min="4" max="4"/>
    <col width="14" customWidth="1" min="5" max="5"/>
    <col width="16" customWidth="1" min="6" max="6"/>
    <col width="16" customWidth="1" min="7" max="7"/>
    <col width="24" customWidth="1" min="8" max="8"/>
    <col width="16" customWidth="1" min="9" max="9"/>
    <col width="14" customWidth="1" min="10" max="10"/>
    <col width="24" customWidth="1" min="11" max="11"/>
    <col width="14" customWidth="1" min="12" max="12"/>
    <col width="42" customWidth="1" min="13" max="13"/>
    <col width="42" customWidth="1" min="14" max="14"/>
    <col width="28" customWidth="1" min="15" max="15"/>
    <col width="16" customWidth="1" min="16" max="16"/>
    <col width="14" customWidth="1" min="17" max="17"/>
    <col width="22" customWidth="1" min="18" max="18"/>
    <col width="16" customWidth="1" min="19" max="19"/>
    <col width="26" customWidth="1" min="20" max="20"/>
    <col width="20" customWidth="1" min="21" max="21"/>
    <col width="18" customWidth="1" min="22" max="22"/>
    <col width="14" customWidth="1" min="23" max="23"/>
    <col width="32" customWidth="1" min="24" max="24"/>
    <col width="36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 ht="24" customHeight="1">
      <c r="A1" s="1" t="inlineStr">
        <is>
          <t>模型流与公式</t>
        </is>
      </c>
    </row>
    <row r="2" ht="24" customHeight="1">
      <c r="A2" s="2" t="inlineStr">
        <is>
          <t>一行一个模型流；物理流、环境交换、分配负担和替代候选必须区分。</t>
        </is>
      </c>
    </row>
    <row r="4" ht="28" customHeight="1">
      <c r="A4" s="14" t="inlineStr">
        <is>
          <t>流ID</t>
        </is>
      </c>
      <c r="B4" s="15" t="inlineStr">
        <is>
          <t>过程ID</t>
        </is>
      </c>
      <c r="C4" s="15" t="inlineStr">
        <is>
          <t>流名称</t>
        </is>
      </c>
      <c r="D4" s="15" t="inlineStr">
        <is>
          <t>流类别</t>
        </is>
      </c>
      <c r="E4" s="15" t="inlineStr">
        <is>
          <t>方向</t>
        </is>
      </c>
      <c r="F4" s="15" t="inlineStr">
        <is>
          <t>来源过程ID</t>
        </is>
      </c>
      <c r="G4" s="15" t="inlineStr">
        <is>
          <t>目标过程ID</t>
        </is>
      </c>
      <c r="H4" s="15" t="inlineStr">
        <is>
          <t>值类型</t>
        </is>
      </c>
      <c r="I4" s="15" t="inlineStr">
        <is>
          <t>原始登记值</t>
        </is>
      </c>
      <c r="J4" s="15" t="inlineStr">
        <is>
          <t>原始单位</t>
        </is>
      </c>
      <c r="K4" s="15" t="inlineStr">
        <is>
          <t>参考基准</t>
        </is>
      </c>
      <c r="L4" s="15" t="inlineStr">
        <is>
          <t>公式ID</t>
        </is>
      </c>
      <c r="M4" s="15" t="inlineStr">
        <is>
          <t>来源公式</t>
        </is>
      </c>
      <c r="N4" s="15" t="inlineStr">
        <is>
          <t>采用公式</t>
        </is>
      </c>
      <c r="O4" s="15" t="inlineStr">
        <is>
          <t>输入参数ID</t>
        </is>
      </c>
      <c r="P4" s="15" t="inlineStr">
        <is>
          <t>图示代表值</t>
        </is>
      </c>
      <c r="Q4" s="15" t="inlineStr">
        <is>
          <t>采用单位</t>
        </is>
      </c>
      <c r="R4" s="15" t="inlineStr">
        <is>
          <t>符号约定</t>
        </is>
      </c>
      <c r="S4" s="15" t="inlineStr">
        <is>
          <t>是否内部流</t>
        </is>
      </c>
      <c r="T4" s="15" t="inlineStr">
        <is>
          <t>方法采用状态</t>
        </is>
      </c>
      <c r="U4" s="15" t="inlineStr">
        <is>
          <t>来源ID</t>
        </is>
      </c>
      <c r="V4" s="15" t="inlineStr">
        <is>
          <t>审查状态</t>
        </is>
      </c>
      <c r="W4" s="15" t="inlineStr">
        <is>
          <t>是否显示</t>
        </is>
      </c>
      <c r="X4" s="15" t="inlineStr">
        <is>
          <t>显示标签</t>
        </is>
      </c>
      <c r="Y4" s="16" t="inlineStr">
        <is>
          <t>备注</t>
        </is>
      </c>
      <c r="Z4" s="42" t="inlineStr">
        <is>
          <t>采用候选ID</t>
        </is>
      </c>
      <c r="AA4" s="42" t="inlineStr">
        <is>
          <t>数值生成方式</t>
        </is>
      </c>
      <c r="AB4" s="42" t="inlineStr">
        <is>
          <t>原始计量基准</t>
        </is>
      </c>
      <c r="AC4" s="42" t="inlineStr">
        <is>
          <t>采用计量基准</t>
        </is>
      </c>
    </row>
    <row r="5">
      <c r="A5" s="18" t="inlineStr">
        <is>
          <t>FL-RM</t>
        </is>
      </c>
      <c r="B5" s="18" t="inlineStr">
        <is>
          <t>PR01</t>
        </is>
      </c>
      <c r="C5" s="18" t="inlineStr">
        <is>
          <t>原料奶（收奶）</t>
        </is>
      </c>
      <c r="D5" s="18" t="inlineStr">
        <is>
          <t>物理流</t>
        </is>
      </c>
      <c r="E5" s="18" t="inlineStr">
        <is>
          <t>输入</t>
        </is>
      </c>
      <c r="F5" s="18" t="n"/>
      <c r="G5" s="18" t="inlineStr">
        <is>
          <t>PR01</t>
        </is>
      </c>
      <c r="H5" s="18" t="inlineStr">
        <is>
          <t>physical_material</t>
        </is>
      </c>
      <c r="I5" s="51" t="n">
        <v>583</v>
      </c>
      <c r="J5" s="18" t="inlineStr">
        <is>
          <t>m3/d</t>
        </is>
      </c>
      <c r="K5" s="18" t="inlineStr">
        <is>
          <t>1天</t>
        </is>
      </c>
      <c r="L5" s="18" t="n"/>
      <c r="M5" s="18" t="n"/>
      <c r="N5" s="18" t="n"/>
      <c r="O5" s="18" t="n"/>
      <c r="P5" s="52" t="n">
        <v>583</v>
      </c>
      <c r="Q5" s="18" t="inlineStr">
        <is>
          <t>m3/d</t>
        </is>
      </c>
      <c r="R5" s="18" t="inlineStr">
        <is>
          <t>+</t>
        </is>
      </c>
      <c r="S5" s="18" t="inlineStr">
        <is>
          <t>否</t>
        </is>
      </c>
      <c r="T5" s="18" t="inlineStr">
        <is>
          <t>来源ALCA原始物理流（未分配）</t>
        </is>
      </c>
      <c r="U5" s="18" t="inlineStr">
        <is>
          <t>SRC-PDF</t>
        </is>
      </c>
      <c r="V5" s="18" t="inlineStr">
        <is>
          <t>已审查</t>
        </is>
      </c>
      <c r="W5" s="18" t="inlineStr">
        <is>
          <t>是</t>
        </is>
      </c>
      <c r="X5" s="18" t="inlineStr">
        <is>
          <t>原料奶 600,490 kg/j</t>
        </is>
      </c>
      <c r="Y5" s="18" t="inlineStr">
        <is>
          <t>原料奶；SRC-RAW原始体积基准 583 m³/d（衍生版质量值仅参考不作基准）</t>
        </is>
      </c>
      <c r="Z5" t="inlineStr">
        <is>
          <t>CT-VOL-RM</t>
        </is>
      </c>
      <c r="AA5" t="inlineStr">
        <is>
          <t>直接报告</t>
        </is>
      </c>
      <c r="AB5" t="inlineStr">
        <is>
          <t>体积 m3/d（SRC-RAW）</t>
        </is>
      </c>
      <c r="AC5" t="inlineStr">
        <is>
          <t>1天生产</t>
        </is>
      </c>
    </row>
    <row r="6">
      <c r="A6" s="18" t="inlineStr">
        <is>
          <t>FL-SKIM</t>
        </is>
      </c>
      <c r="B6" s="18" t="inlineStr">
        <is>
          <t>PR02</t>
        </is>
      </c>
      <c r="C6" s="18" t="inlineStr">
        <is>
          <t>脱脂奶</t>
        </is>
      </c>
      <c r="D6" s="18" t="inlineStr">
        <is>
          <t>物理流</t>
        </is>
      </c>
      <c r="E6" s="18" t="inlineStr">
        <is>
          <t>输出</t>
        </is>
      </c>
      <c r="F6" s="18" t="inlineStr">
        <is>
          <t>PR02</t>
        </is>
      </c>
      <c r="G6" s="18" t="inlineStr">
        <is>
          <t>PR04</t>
        </is>
      </c>
      <c r="H6" s="18" t="inlineStr">
        <is>
          <t>physical_material</t>
        </is>
      </c>
      <c r="I6" s="51" t="n">
        <v>525</v>
      </c>
      <c r="J6" s="18" t="inlineStr">
        <is>
          <t>m3/d</t>
        </is>
      </c>
      <c r="K6" s="18" t="inlineStr">
        <is>
          <t>1天</t>
        </is>
      </c>
      <c r="L6" s="18" t="n"/>
      <c r="M6" s="18" t="n"/>
      <c r="N6" s="18" t="n"/>
      <c r="O6" s="18" t="n"/>
      <c r="P6" s="52" t="n">
        <v>525</v>
      </c>
      <c r="Q6" s="18" t="inlineStr">
        <is>
          <t>m3/d</t>
        </is>
      </c>
      <c r="R6" s="18" t="inlineStr">
        <is>
          <t>+</t>
        </is>
      </c>
      <c r="S6" s="18" t="inlineStr">
        <is>
          <t>是</t>
        </is>
      </c>
      <c r="T6" s="18" t="inlineStr">
        <is>
          <t>来源ALCA原始物理流（未分配）</t>
        </is>
      </c>
      <c r="U6" s="18" t="inlineStr">
        <is>
          <t>SRC-PDF</t>
        </is>
      </c>
      <c r="V6" s="18" t="inlineStr">
        <is>
          <t>已审查</t>
        </is>
      </c>
      <c r="W6" s="18" t="inlineStr">
        <is>
          <t>是</t>
        </is>
      </c>
      <c r="X6" s="18" t="inlineStr">
        <is>
          <t>脱脂奶 537,075</t>
        </is>
      </c>
      <c r="Y6" s="18" t="inlineStr">
        <is>
          <t>脱脂奶；SRC-RAW原始体积基准 525 m³/d（衍生版质量值仅参考不作基准）</t>
        </is>
      </c>
      <c r="Z6" t="inlineStr">
        <is>
          <t>CT-VOL-SKIM</t>
        </is>
      </c>
      <c r="AA6" t="inlineStr">
        <is>
          <t>直接报告</t>
        </is>
      </c>
      <c r="AB6" t="inlineStr">
        <is>
          <t>体积 m3/d（SRC-RAW）</t>
        </is>
      </c>
      <c r="AC6" t="inlineStr">
        <is>
          <t>1天生产</t>
        </is>
      </c>
    </row>
    <row r="7">
      <c r="A7" s="18" t="inlineStr">
        <is>
          <t>FL-CREAM</t>
        </is>
      </c>
      <c r="B7" s="18" t="inlineStr">
        <is>
          <t>PR02</t>
        </is>
      </c>
      <c r="C7" s="18" t="inlineStr">
        <is>
          <t>稀奶油</t>
        </is>
      </c>
      <c r="D7" s="18" t="inlineStr">
        <is>
          <t>物理流</t>
        </is>
      </c>
      <c r="E7" s="18" t="inlineStr">
        <is>
          <t>输出</t>
        </is>
      </c>
      <c r="F7" s="18" t="inlineStr">
        <is>
          <t>PR02</t>
        </is>
      </c>
      <c r="G7" s="18" t="inlineStr">
        <is>
          <t>PR03</t>
        </is>
      </c>
      <c r="H7" s="18" t="inlineStr">
        <is>
          <t>physical_material</t>
        </is>
      </c>
      <c r="I7" s="51" t="n">
        <v>58</v>
      </c>
      <c r="J7" s="18" t="inlineStr">
        <is>
          <t>m3/d</t>
        </is>
      </c>
      <c r="K7" s="18" t="inlineStr">
        <is>
          <t>1天</t>
        </is>
      </c>
      <c r="L7" s="18" t="n"/>
      <c r="M7" s="18" t="n"/>
      <c r="N7" s="18" t="n"/>
      <c r="O7" s="18" t="n"/>
      <c r="P7" s="52" t="n">
        <v>58</v>
      </c>
      <c r="Q7" s="18" t="inlineStr">
        <is>
          <t>m3/d</t>
        </is>
      </c>
      <c r="R7" s="18" t="inlineStr">
        <is>
          <t>+</t>
        </is>
      </c>
      <c r="S7" s="18" t="inlineStr">
        <is>
          <t>是</t>
        </is>
      </c>
      <c r="T7" s="18" t="inlineStr">
        <is>
          <t>来源ALCA原始物理流（未分配）</t>
        </is>
      </c>
      <c r="U7" s="18" t="inlineStr">
        <is>
          <t>SRC-PDF</t>
        </is>
      </c>
      <c r="V7" s="18" t="inlineStr">
        <is>
          <t>已审查</t>
        </is>
      </c>
      <c r="W7" s="18" t="inlineStr">
        <is>
          <t>是</t>
        </is>
      </c>
      <c r="X7" s="18" t="inlineStr">
        <is>
          <t>稀奶油 56,883</t>
        </is>
      </c>
      <c r="Y7" s="18" t="inlineStr">
        <is>
          <t>稀奶油；SRC-RAW原始体积基准 58 m³/d（衍生版质量值仅参考不作基准）</t>
        </is>
      </c>
      <c r="Z7" t="inlineStr">
        <is>
          <t>CT-VOL-CREAM</t>
        </is>
      </c>
      <c r="AA7" t="inlineStr">
        <is>
          <t>直接报告</t>
        </is>
      </c>
      <c r="AB7" t="inlineStr">
        <is>
          <t>体积 m3/d（SRC-RAW）</t>
        </is>
      </c>
      <c r="AC7" t="inlineStr">
        <is>
          <t>1天生产</t>
        </is>
      </c>
    </row>
    <row r="8">
      <c r="A8" s="18" t="inlineStr">
        <is>
          <t>FL-CAS</t>
        </is>
      </c>
      <c r="B8" s="18" t="inlineStr">
        <is>
          <t>PR05</t>
        </is>
      </c>
      <c r="C8" s="18" t="inlineStr">
        <is>
          <t>胶束酪蛋白</t>
        </is>
      </c>
      <c r="D8" s="18" t="inlineStr">
        <is>
          <t>物理流</t>
        </is>
      </c>
      <c r="E8" s="18" t="inlineStr">
        <is>
          <t>输出</t>
        </is>
      </c>
      <c r="F8" s="18" t="inlineStr">
        <is>
          <t>PR05</t>
        </is>
      </c>
      <c r="G8" s="18" t="inlineStr">
        <is>
          <t>PR06</t>
        </is>
      </c>
      <c r="H8" s="18" t="inlineStr">
        <is>
          <t>physical_material</t>
        </is>
      </c>
      <c r="I8" s="51" t="n">
        <v>175</v>
      </c>
      <c r="J8" s="18" t="inlineStr">
        <is>
          <t>m3/d</t>
        </is>
      </c>
      <c r="K8" s="18" t="inlineStr">
        <is>
          <t>1天</t>
        </is>
      </c>
      <c r="L8" s="18" t="n"/>
      <c r="M8" s="18" t="n"/>
      <c r="N8" s="18" t="n"/>
      <c r="O8" s="18" t="n"/>
      <c r="P8" s="52" t="n">
        <v>175</v>
      </c>
      <c r="Q8" s="18" t="inlineStr">
        <is>
          <t>m3/d</t>
        </is>
      </c>
      <c r="R8" s="18" t="inlineStr">
        <is>
          <t>+</t>
        </is>
      </c>
      <c r="S8" s="18" t="inlineStr">
        <is>
          <t>是</t>
        </is>
      </c>
      <c r="T8" s="18" t="inlineStr">
        <is>
          <t>来源ALCA原始物理流（未分配）</t>
        </is>
      </c>
      <c r="U8" s="18" t="inlineStr">
        <is>
          <t>SRC-PDF</t>
        </is>
      </c>
      <c r="V8" s="18" t="inlineStr">
        <is>
          <t>已审查</t>
        </is>
      </c>
      <c r="W8" s="18" t="inlineStr">
        <is>
          <t>是</t>
        </is>
      </c>
      <c r="X8" s="18" t="inlineStr">
        <is>
          <t>胶束酪蛋白 182,875</t>
        </is>
      </c>
      <c r="Y8" s="18" t="inlineStr">
        <is>
          <t>胶束酪蛋白；SRC-RAW原始体积基准 175 m³/d（衍生版质量值仅参考不作基准）</t>
        </is>
      </c>
      <c r="Z8" t="inlineStr">
        <is>
          <t>CT-VOL-CAS</t>
        </is>
      </c>
      <c r="AA8" t="inlineStr">
        <is>
          <t>直接报告</t>
        </is>
      </c>
      <c r="AB8" t="inlineStr">
        <is>
          <t>体积 m3/d（SRC-RAW）</t>
        </is>
      </c>
      <c r="AC8" t="inlineStr">
        <is>
          <t>1天生产</t>
        </is>
      </c>
    </row>
    <row r="9">
      <c r="A9" s="18" t="inlineStr">
        <is>
          <t>FL-WHEY</t>
        </is>
      </c>
      <c r="B9" s="18" t="inlineStr">
        <is>
          <t>PR05</t>
        </is>
      </c>
      <c r="C9" s="18" t="inlineStr">
        <is>
          <t>乳清（MF1渗透液）</t>
        </is>
      </c>
      <c r="D9" s="18" t="inlineStr">
        <is>
          <t>物理流</t>
        </is>
      </c>
      <c r="E9" s="18" t="inlineStr">
        <is>
          <t>输出</t>
        </is>
      </c>
      <c r="F9" s="18" t="inlineStr">
        <is>
          <t>PR05</t>
        </is>
      </c>
      <c r="G9" s="18" t="inlineStr">
        <is>
          <t>PR07</t>
        </is>
      </c>
      <c r="H9" s="18" t="inlineStr">
        <is>
          <t>physical_material</t>
        </is>
      </c>
      <c r="I9" s="51" t="n">
        <v>350</v>
      </c>
      <c r="J9" s="18" t="inlineStr">
        <is>
          <t>m3/d</t>
        </is>
      </c>
      <c r="K9" s="18" t="inlineStr">
        <is>
          <t>1天</t>
        </is>
      </c>
      <c r="L9" s="18" t="n"/>
      <c r="M9" s="18" t="n"/>
      <c r="N9" s="18" t="n"/>
      <c r="O9" s="18" t="n"/>
      <c r="P9" s="52" t="n">
        <v>350</v>
      </c>
      <c r="Q9" s="18" t="inlineStr">
        <is>
          <t>m3/d</t>
        </is>
      </c>
      <c r="R9" s="18" t="inlineStr">
        <is>
          <t>+</t>
        </is>
      </c>
      <c r="S9" s="18" t="inlineStr">
        <is>
          <t>是</t>
        </is>
      </c>
      <c r="T9" s="18" t="inlineStr">
        <is>
          <t>来源ALCA原始物理流（未分配）</t>
        </is>
      </c>
      <c r="U9" s="18" t="inlineStr">
        <is>
          <t>SRC-PDF</t>
        </is>
      </c>
      <c r="V9" s="18" t="inlineStr">
        <is>
          <t>已审查</t>
        </is>
      </c>
      <c r="W9" s="18" t="inlineStr">
        <is>
          <t>是</t>
        </is>
      </c>
      <c r="X9" s="18" t="inlineStr">
        <is>
          <t>乳清 354,900</t>
        </is>
      </c>
      <c r="Y9" s="18" t="inlineStr">
        <is>
          <t>乳清；SRC-RAW原始体积基准 350 m³/d（衍生版质量值仅参考不作基准）</t>
        </is>
      </c>
      <c r="Z9" t="inlineStr">
        <is>
          <t>CT-VOL-WHEY</t>
        </is>
      </c>
      <c r="AA9" t="inlineStr">
        <is>
          <t>直接报告</t>
        </is>
      </c>
      <c r="AB9" t="inlineStr">
        <is>
          <t>体积 m3/d（SRC-RAW）</t>
        </is>
      </c>
      <c r="AC9" t="inlineStr">
        <is>
          <t>1天生产</t>
        </is>
      </c>
    </row>
    <row r="10">
      <c r="A10" s="18" t="inlineStr">
        <is>
          <t>FL-W08</t>
        </is>
      </c>
      <c r="B10" s="18" t="inlineStr">
        <is>
          <t>PR08</t>
        </is>
      </c>
      <c r="C10" s="18" t="inlineStr">
        <is>
          <t>UF10透析加水</t>
        </is>
      </c>
      <c r="D10" s="18" t="inlineStr">
        <is>
          <t>物理流</t>
        </is>
      </c>
      <c r="E10" s="18" t="inlineStr">
        <is>
          <t>输入</t>
        </is>
      </c>
      <c r="F10" s="18" t="n"/>
      <c r="G10" s="18" t="inlineStr">
        <is>
          <t>PR08</t>
        </is>
      </c>
      <c r="H10" s="18" t="inlineStr">
        <is>
          <t>physical_material</t>
        </is>
      </c>
      <c r="I10" s="51" t="n">
        <v>63</v>
      </c>
      <c r="J10" s="18" t="inlineStr">
        <is>
          <t>m3/d</t>
        </is>
      </c>
      <c r="K10" s="18" t="inlineStr">
        <is>
          <t>1天</t>
        </is>
      </c>
      <c r="L10" s="18" t="n"/>
      <c r="M10" s="18" t="n"/>
      <c r="N10" s="18" t="n"/>
      <c r="O10" s="18" t="n"/>
      <c r="P10" s="52" t="n">
        <v>63</v>
      </c>
      <c r="Q10" s="18" t="inlineStr">
        <is>
          <t>m3/d</t>
        </is>
      </c>
      <c r="R10" s="18" t="inlineStr">
        <is>
          <t>+</t>
        </is>
      </c>
      <c r="S10" s="18" t="inlineStr">
        <is>
          <t>否</t>
        </is>
      </c>
      <c r="T10" s="18" t="inlineStr">
        <is>
          <t>来源ALCA原始物理流（未分配）</t>
        </is>
      </c>
      <c r="U10" s="18" t="inlineStr">
        <is>
          <t>SRC-PDF</t>
        </is>
      </c>
      <c r="V10" s="18" t="inlineStr">
        <is>
          <t>已审查</t>
        </is>
      </c>
      <c r="W10" s="18" t="inlineStr">
        <is>
          <t>是</t>
        </is>
      </c>
      <c r="X10" s="18" t="inlineStr">
        <is>
          <t>加水 63,000</t>
        </is>
      </c>
      <c r="Y10" s="18" t="inlineStr">
        <is>
          <t>UF10透析加水；SRC-RAW原始体积 63 m³/d（衍生版质量值仅参考）</t>
        </is>
      </c>
      <c r="Z10" t="inlineStr">
        <is>
          <t>CT-VOL-W08</t>
        </is>
      </c>
      <c r="AA10" t="inlineStr">
        <is>
          <t>直接报告</t>
        </is>
      </c>
      <c r="AB10" t="inlineStr">
        <is>
          <t>体积 m3/d（SRC-RAW）</t>
        </is>
      </c>
      <c r="AC10" t="inlineStr">
        <is>
          <t>1天生产</t>
        </is>
      </c>
    </row>
    <row r="11">
      <c r="A11" s="18" t="inlineStr">
        <is>
          <t>FL-WPI</t>
        </is>
      </c>
      <c r="B11" s="18" t="inlineStr">
        <is>
          <t>PR08</t>
        </is>
      </c>
      <c r="C11" s="18" t="inlineStr">
        <is>
          <t>WPI浓缩液</t>
        </is>
      </c>
      <c r="D11" s="18" t="inlineStr">
        <is>
          <t>物理流</t>
        </is>
      </c>
      <c r="E11" s="18" t="inlineStr">
        <is>
          <t>输出</t>
        </is>
      </c>
      <c r="F11" s="18" t="inlineStr">
        <is>
          <t>PR08</t>
        </is>
      </c>
      <c r="G11" s="18" t="inlineStr">
        <is>
          <t>PR09</t>
        </is>
      </c>
      <c r="H11" s="18" t="inlineStr">
        <is>
          <t>physical_material</t>
        </is>
      </c>
      <c r="I11" s="51" t="n">
        <v>11.7</v>
      </c>
      <c r="J11" s="18" t="inlineStr">
        <is>
          <t>m3/d</t>
        </is>
      </c>
      <c r="K11" s="18" t="inlineStr">
        <is>
          <t>1天</t>
        </is>
      </c>
      <c r="L11" s="18" t="n"/>
      <c r="M11" s="18" t="n"/>
      <c r="N11" s="18" t="n"/>
      <c r="O11" s="18" t="n"/>
      <c r="P11" s="52" t="n">
        <v>11.7</v>
      </c>
      <c r="Q11" s="18" t="inlineStr">
        <is>
          <t>m3/d</t>
        </is>
      </c>
      <c r="R11" s="18" t="inlineStr">
        <is>
          <t>+</t>
        </is>
      </c>
      <c r="S11" s="18" t="inlineStr">
        <is>
          <t>是</t>
        </is>
      </c>
      <c r="T11" s="18" t="inlineStr">
        <is>
          <t>来源ALCA原始物理流（未分配）</t>
        </is>
      </c>
      <c r="U11" s="18" t="inlineStr">
        <is>
          <t>SRC-PDF</t>
        </is>
      </c>
      <c r="V11" s="18" t="inlineStr">
        <is>
          <t>已审查</t>
        </is>
      </c>
      <c r="W11" s="18" t="inlineStr">
        <is>
          <t>是</t>
        </is>
      </c>
      <c r="X11" s="18" t="inlineStr">
        <is>
          <t>WPI 12,004.2</t>
        </is>
      </c>
      <c r="Y11" s="18" t="inlineStr">
        <is>
          <t>WPI浓缩液；SRC-RAW原始体积基准 11.7 m³/d（衍生版质量值仅参考不作基准）</t>
        </is>
      </c>
      <c r="Z11" t="inlineStr">
        <is>
          <t>CT-VOL-WPI</t>
        </is>
      </c>
      <c r="AA11" t="inlineStr">
        <is>
          <t>直接报告</t>
        </is>
      </c>
      <c r="AB11" t="inlineStr">
        <is>
          <t>体积 m3/d（SRC-RAW）</t>
        </is>
      </c>
      <c r="AC11" t="inlineStr">
        <is>
          <t>1天生产</t>
        </is>
      </c>
    </row>
    <row r="12">
      <c r="A12" s="18" t="inlineStr">
        <is>
          <t>FL-LACP</t>
        </is>
      </c>
      <c r="B12" s="18" t="inlineStr">
        <is>
          <t>PR08</t>
        </is>
      </c>
      <c r="C12" s="18" t="inlineStr">
        <is>
          <t>乳糖渗透液</t>
        </is>
      </c>
      <c r="D12" s="18" t="inlineStr">
        <is>
          <t>物理流</t>
        </is>
      </c>
      <c r="E12" s="18" t="inlineStr">
        <is>
          <t>输出</t>
        </is>
      </c>
      <c r="F12" s="18" t="inlineStr">
        <is>
          <t>PR08</t>
        </is>
      </c>
      <c r="G12" s="18" t="inlineStr">
        <is>
          <t>PR11</t>
        </is>
      </c>
      <c r="H12" s="18" t="inlineStr">
        <is>
          <t>physical_material</t>
        </is>
      </c>
      <c r="I12" s="51" t="n">
        <v>401.3</v>
      </c>
      <c r="J12" s="18" t="inlineStr">
        <is>
          <t>m3/d</t>
        </is>
      </c>
      <c r="K12" s="18" t="inlineStr">
        <is>
          <t>1天</t>
        </is>
      </c>
      <c r="L12" s="18" t="n"/>
      <c r="M12" s="18" t="n"/>
      <c r="N12" s="18" t="n"/>
      <c r="O12" s="18" t="n"/>
      <c r="P12" s="52" t="n">
        <v>401.3</v>
      </c>
      <c r="Q12" s="18" t="inlineStr">
        <is>
          <t>m3/d</t>
        </is>
      </c>
      <c r="R12" s="18" t="inlineStr">
        <is>
          <t>+</t>
        </is>
      </c>
      <c r="S12" s="18" t="inlineStr">
        <is>
          <t>是</t>
        </is>
      </c>
      <c r="T12" s="18" t="inlineStr">
        <is>
          <t>来源ALCA原始物理流（未分配）</t>
        </is>
      </c>
      <c r="U12" s="18" t="inlineStr">
        <is>
          <t>SRC-PDF</t>
        </is>
      </c>
      <c r="V12" s="18" t="inlineStr">
        <is>
          <t>已审查</t>
        </is>
      </c>
      <c r="W12" s="18" t="inlineStr">
        <is>
          <t>是</t>
        </is>
      </c>
      <c r="X12" s="18" t="inlineStr">
        <is>
          <t>乳糖渗透液 406,115.6</t>
        </is>
      </c>
      <c r="Y12" s="18" t="inlineStr">
        <is>
          <t>乳糖渗透液；SRC-RAW原始体积基准 401.3 m³/d（衍生版质量值仅参考不作基准）</t>
        </is>
      </c>
      <c r="Z12" t="inlineStr">
        <is>
          <t>CT-VOL-LACP</t>
        </is>
      </c>
      <c r="AA12" t="inlineStr">
        <is>
          <t>直接报告</t>
        </is>
      </c>
      <c r="AB12" t="inlineStr">
        <is>
          <t>体积 m3/d（SRC-RAW）</t>
        </is>
      </c>
      <c r="AC12" t="inlineStr">
        <is>
          <t>1天生产</t>
        </is>
      </c>
    </row>
    <row r="13">
      <c r="A13" s="18" t="inlineStr">
        <is>
          <t>FL-OSM</t>
        </is>
      </c>
      <c r="B13" s="18" t="inlineStr">
        <is>
          <t>PR11</t>
        </is>
      </c>
      <c r="C13" s="18" t="inlineStr">
        <is>
          <t>渗透水（osmosate）</t>
        </is>
      </c>
      <c r="D13" s="18" t="inlineStr">
        <is>
          <t>物理流</t>
        </is>
      </c>
      <c r="E13" s="18" t="inlineStr">
        <is>
          <t>输出</t>
        </is>
      </c>
      <c r="F13" s="18" t="inlineStr">
        <is>
          <t>PR11</t>
        </is>
      </c>
      <c r="G13" s="18" t="n"/>
      <c r="H13" s="18" t="inlineStr">
        <is>
          <t>physical_material</t>
        </is>
      </c>
      <c r="I13" s="51" t="n">
        <v>316</v>
      </c>
      <c r="J13" s="18" t="inlineStr">
        <is>
          <t>m3/d</t>
        </is>
      </c>
      <c r="K13" s="18" t="inlineStr">
        <is>
          <t>1天</t>
        </is>
      </c>
      <c r="L13" s="18" t="n"/>
      <c r="M13" s="18" t="n"/>
      <c r="N13" s="18" t="n"/>
      <c r="O13" s="18" t="n"/>
      <c r="P13" s="52" t="n">
        <v>316</v>
      </c>
      <c r="Q13" s="18" t="inlineStr">
        <is>
          <t>m3/d</t>
        </is>
      </c>
      <c r="R13" s="18" t="inlineStr">
        <is>
          <t>+</t>
        </is>
      </c>
      <c r="S13" s="18" t="inlineStr">
        <is>
          <t>否</t>
        </is>
      </c>
      <c r="T13" s="18" t="inlineStr">
        <is>
          <t>来源ALCA原始物理流（未分配）</t>
        </is>
      </c>
      <c r="U13" s="18" t="inlineStr">
        <is>
          <t>SRC-PDF</t>
        </is>
      </c>
      <c r="V13" s="18" t="inlineStr">
        <is>
          <t>已审查</t>
        </is>
      </c>
      <c r="W13" s="18" t="inlineStr">
        <is>
          <t>是</t>
        </is>
      </c>
      <c r="X13" s="18" t="inlineStr">
        <is>
          <t>渗透水 316,000</t>
        </is>
      </c>
      <c r="Y13" s="18" t="inlineStr">
        <is>
          <t>渗透水；SRC-RAW原始体积基准 316 m³/d（衍生版质量值仅参考不作基准）</t>
        </is>
      </c>
      <c r="Z13" t="inlineStr">
        <is>
          <t>CT-VOL-OSM</t>
        </is>
      </c>
      <c r="AA13" t="inlineStr">
        <is>
          <t>直接报告</t>
        </is>
      </c>
      <c r="AB13" t="inlineStr">
        <is>
          <t>体积 m3/d（SRC-RAW）</t>
        </is>
      </c>
      <c r="AC13" t="inlineStr">
        <is>
          <t>1天生产</t>
        </is>
      </c>
    </row>
    <row r="14">
      <c r="A14" s="18" t="inlineStr">
        <is>
          <t>FL-LAC</t>
        </is>
      </c>
      <c r="B14" s="18" t="inlineStr">
        <is>
          <t>PR11</t>
        </is>
      </c>
      <c r="C14" s="18" t="inlineStr">
        <is>
          <t>浓缩乳糖</t>
        </is>
      </c>
      <c r="D14" s="18" t="inlineStr">
        <is>
          <t>物理流</t>
        </is>
      </c>
      <c r="E14" s="18" t="inlineStr">
        <is>
          <t>输出</t>
        </is>
      </c>
      <c r="F14" s="18" t="inlineStr">
        <is>
          <t>PR11</t>
        </is>
      </c>
      <c r="G14" s="18" t="inlineStr">
        <is>
          <t>PR12</t>
        </is>
      </c>
      <c r="H14" s="18" t="inlineStr">
        <is>
          <t>physical_material</t>
        </is>
      </c>
      <c r="I14" s="51" t="n">
        <v>85.3</v>
      </c>
      <c r="J14" s="18" t="inlineStr">
        <is>
          <t>m3/d</t>
        </is>
      </c>
      <c r="K14" s="18" t="inlineStr">
        <is>
          <t>1天</t>
        </is>
      </c>
      <c r="L14" s="18" t="n"/>
      <c r="M14" s="18" t="n"/>
      <c r="N14" s="18" t="n"/>
      <c r="O14" s="18" t="n"/>
      <c r="P14" s="52" t="n">
        <v>85.3</v>
      </c>
      <c r="Q14" s="18" t="inlineStr">
        <is>
          <t>m3/d</t>
        </is>
      </c>
      <c r="R14" s="18" t="inlineStr">
        <is>
          <t>+</t>
        </is>
      </c>
      <c r="S14" s="18" t="inlineStr">
        <is>
          <t>是</t>
        </is>
      </c>
      <c r="T14" s="18" t="inlineStr">
        <is>
          <t>来源ALCA原始物理流（未分配）</t>
        </is>
      </c>
      <c r="U14" s="18" t="inlineStr">
        <is>
          <t>SRC-PDF</t>
        </is>
      </c>
      <c r="V14" s="18" t="inlineStr">
        <is>
          <t>已审查</t>
        </is>
      </c>
      <c r="W14" s="18" t="inlineStr">
        <is>
          <t>是</t>
        </is>
      </c>
      <c r="X14" s="18" t="inlineStr">
        <is>
          <t>浓缩乳糖 90,115.6</t>
        </is>
      </c>
      <c r="Y14" s="18" t="inlineStr">
        <is>
          <t>浓缩乳糖；SRC-RAW原始体积基准 85.3 m³/d（衍生版质量值仅参考不作基准）</t>
        </is>
      </c>
      <c r="Z14" t="inlineStr">
        <is>
          <t>CT-VOL-LAC</t>
        </is>
      </c>
      <c r="AA14" t="inlineStr">
        <is>
          <t>直接报告</t>
        </is>
      </c>
      <c r="AB14" t="inlineStr">
        <is>
          <t>体积 m3/d（SRC-RAW）</t>
        </is>
      </c>
      <c r="AC14" t="inlineStr">
        <is>
          <t>1天生产</t>
        </is>
      </c>
    </row>
    <row r="15">
      <c r="A15" s="18" t="inlineStr">
        <is>
          <t>FL-EL-01</t>
        </is>
      </c>
      <c r="B15" s="18" t="inlineStr">
        <is>
          <t>PR01</t>
        </is>
      </c>
      <c r="C15" s="18" t="inlineStr">
        <is>
          <t>电力（生产）</t>
        </is>
      </c>
      <c r="D15" s="18" t="inlineStr">
        <is>
          <t>能源</t>
        </is>
      </c>
      <c r="E15" s="18" t="inlineStr">
        <is>
          <t>输入</t>
        </is>
      </c>
      <c r="F15" s="18" t="n"/>
      <c r="G15" s="18" t="inlineStr">
        <is>
          <t>PR01</t>
        </is>
      </c>
      <c r="H15" s="18" t="inlineStr">
        <is>
          <t>physical_energy</t>
        </is>
      </c>
      <c r="I15" s="51" t="n"/>
      <c r="J15" s="18" t="inlineStr">
        <is>
          <t>kWh/d</t>
        </is>
      </c>
      <c r="K15" s="18" t="inlineStr">
        <is>
          <t>1天</t>
        </is>
      </c>
      <c r="L15" s="18" t="n"/>
      <c r="M15" s="18" t="n"/>
      <c r="N15" s="18" t="inlineStr">
        <is>
          <t>＝SUM(分项电力参数)</t>
        </is>
      </c>
      <c r="O15" s="18" t="inlineStr">
        <is>
          <t>PA-EN-01A;PA-EN-01B</t>
        </is>
      </c>
      <c r="P15" s="52" t="n">
        <v>1138</v>
      </c>
      <c r="Q15" s="18" t="inlineStr">
        <is>
          <t>kWh/d</t>
        </is>
      </c>
      <c r="R15" s="18" t="inlineStr">
        <is>
          <t>+</t>
        </is>
      </c>
      <c r="S15" s="18" t="inlineStr">
        <is>
          <t>否</t>
        </is>
      </c>
      <c r="T15" s="18" t="inlineStr">
        <is>
          <t>来源原始清单（未分配）</t>
        </is>
      </c>
      <c r="U15" s="18" t="inlineStr">
        <is>
          <t>SRC-RAW</t>
        </is>
      </c>
      <c r="V15" s="18" t="inlineStr">
        <is>
          <t>已审查</t>
        </is>
      </c>
      <c r="W15" s="18" t="inlineStr">
        <is>
          <t>是</t>
        </is>
      </c>
      <c r="X15" s="18" t="inlineStr">
        <is>
          <t>PR01 生产电力 1138.0</t>
        </is>
      </c>
      <c r="Y15" s="18" t="inlineStr">
        <is>
          <t>分项实测加总；TOTALs未给出</t>
        </is>
      </c>
      <c r="AA15" t="inlineStr">
        <is>
          <t>公式派生</t>
        </is>
      </c>
      <c r="AB15" t="inlineStr">
        <is>
          <t>1天生产</t>
        </is>
      </c>
      <c r="AC15" t="inlineStr">
        <is>
          <t>1天生产</t>
        </is>
      </c>
    </row>
    <row r="16">
      <c r="A16" s="18" t="inlineStr">
        <is>
          <t>FL-EL-02</t>
        </is>
      </c>
      <c r="B16" s="18" t="inlineStr">
        <is>
          <t>PR02</t>
        </is>
      </c>
      <c r="C16" s="18" t="inlineStr">
        <is>
          <t>电力（生产）</t>
        </is>
      </c>
      <c r="D16" s="18" t="inlineStr">
        <is>
          <t>能源</t>
        </is>
      </c>
      <c r="E16" s="18" t="inlineStr">
        <is>
          <t>输入</t>
        </is>
      </c>
      <c r="F16" s="18" t="n"/>
      <c r="G16" s="18" t="inlineStr">
        <is>
          <t>PR02</t>
        </is>
      </c>
      <c r="H16" s="18" t="inlineStr">
        <is>
          <t>physical_energy</t>
        </is>
      </c>
      <c r="I16" s="51" t="n"/>
      <c r="J16" s="18" t="inlineStr">
        <is>
          <t>kWh/d</t>
        </is>
      </c>
      <c r="K16" s="18" t="inlineStr">
        <is>
          <t>1天</t>
        </is>
      </c>
      <c r="L16" s="18" t="n"/>
      <c r="M16" s="18" t="n"/>
      <c r="N16" s="18" t="inlineStr">
        <is>
          <t>＝SUM(分项电力参数)</t>
        </is>
      </c>
      <c r="O16" s="18" t="inlineStr">
        <is>
          <t>PA-EN-02A</t>
        </is>
      </c>
      <c r="P16" s="52" t="n">
        <v>1035</v>
      </c>
      <c r="Q16" s="18" t="inlineStr">
        <is>
          <t>kWh/d</t>
        </is>
      </c>
      <c r="R16" s="18" t="inlineStr">
        <is>
          <t>+</t>
        </is>
      </c>
      <c r="S16" s="18" t="inlineStr">
        <is>
          <t>否</t>
        </is>
      </c>
      <c r="T16" s="18" t="inlineStr">
        <is>
          <t>来源原始清单（未分配）</t>
        </is>
      </c>
      <c r="U16" s="18" t="inlineStr">
        <is>
          <t>SRC-RAW</t>
        </is>
      </c>
      <c r="V16" s="18" t="inlineStr">
        <is>
          <t>已审查</t>
        </is>
      </c>
      <c r="W16" s="18" t="inlineStr">
        <is>
          <t>是</t>
        </is>
      </c>
      <c r="X16" s="18" t="inlineStr">
        <is>
          <t>PR02 生产电力 1035.0</t>
        </is>
      </c>
      <c r="Y16" s="18" t="inlineStr">
        <is>
          <t>分项实测加总；TOTALs未给出</t>
        </is>
      </c>
      <c r="AA16" t="inlineStr">
        <is>
          <t>公式派生</t>
        </is>
      </c>
      <c r="AB16" t="inlineStr">
        <is>
          <t>1天生产</t>
        </is>
      </c>
      <c r="AC16" t="inlineStr">
        <is>
          <t>1天生产</t>
        </is>
      </c>
    </row>
    <row r="17">
      <c r="A17" s="18" t="inlineStr">
        <is>
          <t>FL-EL-03</t>
        </is>
      </c>
      <c r="B17" s="18" t="inlineStr">
        <is>
          <t>PR03</t>
        </is>
      </c>
      <c r="C17" s="18" t="inlineStr">
        <is>
          <t>电力（生产）</t>
        </is>
      </c>
      <c r="D17" s="18" t="inlineStr">
        <is>
          <t>能源</t>
        </is>
      </c>
      <c r="E17" s="18" t="inlineStr">
        <is>
          <t>输入</t>
        </is>
      </c>
      <c r="F17" s="18" t="n"/>
      <c r="G17" s="18" t="inlineStr">
        <is>
          <t>PR03</t>
        </is>
      </c>
      <c r="H17" s="18" t="inlineStr">
        <is>
          <t>physical_energy</t>
        </is>
      </c>
      <c r="I17" s="51" t="n">
        <v>1216.4</v>
      </c>
      <c r="J17" s="18" t="inlineStr">
        <is>
          <t>kWh/d</t>
        </is>
      </c>
      <c r="K17" s="18" t="inlineStr">
        <is>
          <t>1天</t>
        </is>
      </c>
      <c r="L17" s="18" t="n"/>
      <c r="M17" s="18" t="n"/>
      <c r="N17" s="18" t="n"/>
      <c r="O17" s="18" t="n"/>
      <c r="P17" s="52" t="n">
        <v>1216.4</v>
      </c>
      <c r="Q17" s="18" t="inlineStr">
        <is>
          <t>kWh/d</t>
        </is>
      </c>
      <c r="R17" s="18" t="inlineStr">
        <is>
          <t>+</t>
        </is>
      </c>
      <c r="S17" s="18" t="inlineStr">
        <is>
          <t>否</t>
        </is>
      </c>
      <c r="T17" s="18" t="inlineStr">
        <is>
          <t>来源原始清单（未分配）</t>
        </is>
      </c>
      <c r="U17" s="18" t="inlineStr">
        <is>
          <t>SRC-RAW</t>
        </is>
      </c>
      <c r="V17" s="18" t="inlineStr">
        <is>
          <t>已审查</t>
        </is>
      </c>
      <c r="W17" s="18" t="inlineStr">
        <is>
          <t>是</t>
        </is>
      </c>
      <c r="X17" s="18" t="inlineStr">
        <is>
          <t>PR03 生产电力 1216.4</t>
        </is>
      </c>
      <c r="Y17" s="18" t="inlineStr">
        <is>
          <t>步骤电力合计（TOTALs）</t>
        </is>
      </c>
      <c r="Z17" t="inlineStr">
        <is>
          <t>CT-ELT-03</t>
        </is>
      </c>
      <c r="AA17" t="inlineStr">
        <is>
          <t>直接报告</t>
        </is>
      </c>
      <c r="AB17" t="inlineStr">
        <is>
          <t>1天生产</t>
        </is>
      </c>
      <c r="AC17" t="inlineStr">
        <is>
          <t>1天生产</t>
        </is>
      </c>
    </row>
    <row r="18">
      <c r="A18" s="18" t="inlineStr">
        <is>
          <t>FL-EL-04</t>
        </is>
      </c>
      <c r="B18" s="18" t="inlineStr">
        <is>
          <t>PR04</t>
        </is>
      </c>
      <c r="C18" s="18" t="inlineStr">
        <is>
          <t>电力（生产）</t>
        </is>
      </c>
      <c r="D18" s="18" t="inlineStr">
        <is>
          <t>能源</t>
        </is>
      </c>
      <c r="E18" s="18" t="inlineStr">
        <is>
          <t>输入</t>
        </is>
      </c>
      <c r="F18" s="18" t="n"/>
      <c r="G18" s="18" t="inlineStr">
        <is>
          <t>PR04</t>
        </is>
      </c>
      <c r="H18" s="18" t="inlineStr">
        <is>
          <t>physical_energy</t>
        </is>
      </c>
      <c r="I18" s="51" t="n"/>
      <c r="J18" s="18" t="inlineStr">
        <is>
          <t>kWh/d</t>
        </is>
      </c>
      <c r="K18" s="18" t="inlineStr">
        <is>
          <t>1天</t>
        </is>
      </c>
      <c r="L18" s="18" t="n"/>
      <c r="M18" s="18" t="n"/>
      <c r="N18" s="18" t="inlineStr">
        <is>
          <t>＝SUM(分项电力参数)</t>
        </is>
      </c>
      <c r="O18" s="18" t="inlineStr">
        <is>
          <t>PA-EN-04A</t>
        </is>
      </c>
      <c r="P18" s="52" t="n">
        <v>1440</v>
      </c>
      <c r="Q18" s="18" t="inlineStr">
        <is>
          <t>kWh/d</t>
        </is>
      </c>
      <c r="R18" s="18" t="inlineStr">
        <is>
          <t>+</t>
        </is>
      </c>
      <c r="S18" s="18" t="inlineStr">
        <is>
          <t>否</t>
        </is>
      </c>
      <c r="T18" s="18" t="inlineStr">
        <is>
          <t>来源原始清单（未分配）</t>
        </is>
      </c>
      <c r="U18" s="18" t="inlineStr">
        <is>
          <t>SRC-RAW</t>
        </is>
      </c>
      <c r="V18" s="18" t="inlineStr">
        <is>
          <t>已审查</t>
        </is>
      </c>
      <c r="W18" s="18" t="inlineStr">
        <is>
          <t>是</t>
        </is>
      </c>
      <c r="X18" s="18" t="inlineStr">
        <is>
          <t>PR04 生产电力 1440.0</t>
        </is>
      </c>
      <c r="Y18" s="18" t="inlineStr">
        <is>
          <t>分项实测加总；TOTALs未给出</t>
        </is>
      </c>
      <c r="AA18" t="inlineStr">
        <is>
          <t>公式派生</t>
        </is>
      </c>
      <c r="AB18" t="inlineStr">
        <is>
          <t>1天生产</t>
        </is>
      </c>
      <c r="AC18" t="inlineStr">
        <is>
          <t>1天生产</t>
        </is>
      </c>
    </row>
    <row r="19">
      <c r="A19" s="18" t="inlineStr">
        <is>
          <t>FL-EL-05</t>
        </is>
      </c>
      <c r="B19" s="18" t="inlineStr">
        <is>
          <t>PR05</t>
        </is>
      </c>
      <c r="C19" s="18" t="inlineStr">
        <is>
          <t>电力（生产）</t>
        </is>
      </c>
      <c r="D19" s="18" t="inlineStr">
        <is>
          <t>能源</t>
        </is>
      </c>
      <c r="E19" s="18" t="inlineStr">
        <is>
          <t>输入</t>
        </is>
      </c>
      <c r="F19" s="18" t="n"/>
      <c r="G19" s="18" t="inlineStr">
        <is>
          <t>PR05</t>
        </is>
      </c>
      <c r="H19" s="18" t="inlineStr">
        <is>
          <t>physical_energy</t>
        </is>
      </c>
      <c r="I19" s="51" t="n"/>
      <c r="J19" s="18" t="inlineStr">
        <is>
          <t>kWh/d</t>
        </is>
      </c>
      <c r="K19" s="18" t="inlineStr">
        <is>
          <t>1天</t>
        </is>
      </c>
      <c r="L19" s="18" t="n"/>
      <c r="M19" s="18" t="n"/>
      <c r="N19" s="18" t="inlineStr">
        <is>
          <t>＝SUM(分项电力参数)</t>
        </is>
      </c>
      <c r="O19" s="18" t="inlineStr">
        <is>
          <t>PA-EN-05A;PA-EN-05B</t>
        </is>
      </c>
      <c r="P19" s="52" t="n">
        <v>8153</v>
      </c>
      <c r="Q19" s="18" t="inlineStr">
        <is>
          <t>kWh/d</t>
        </is>
      </c>
      <c r="R19" s="18" t="inlineStr">
        <is>
          <t>+</t>
        </is>
      </c>
      <c r="S19" s="18" t="inlineStr">
        <is>
          <t>否</t>
        </is>
      </c>
      <c r="T19" s="18" t="inlineStr">
        <is>
          <t>来源原始清单（未分配）</t>
        </is>
      </c>
      <c r="U19" s="18" t="inlineStr">
        <is>
          <t>SRC-RAW</t>
        </is>
      </c>
      <c r="V19" s="18" t="inlineStr">
        <is>
          <t>已审查</t>
        </is>
      </c>
      <c r="W19" s="18" t="inlineStr">
        <is>
          <t>是</t>
        </is>
      </c>
      <c r="X19" s="18" t="inlineStr">
        <is>
          <t>PR05 生产电力 8153.0</t>
        </is>
      </c>
      <c r="Y19" s="18" t="inlineStr">
        <is>
          <t>分项实测加总；TOTALs未给出</t>
        </is>
      </c>
      <c r="AA19" t="inlineStr">
        <is>
          <t>公式派生</t>
        </is>
      </c>
      <c r="AB19" t="inlineStr">
        <is>
          <t>1天生产</t>
        </is>
      </c>
      <c r="AC19" t="inlineStr">
        <is>
          <t>1天生产</t>
        </is>
      </c>
    </row>
    <row r="20">
      <c r="A20" s="18" t="inlineStr">
        <is>
          <t>FL-EL-06</t>
        </is>
      </c>
      <c r="B20" s="18" t="inlineStr">
        <is>
          <t>PR06</t>
        </is>
      </c>
      <c r="C20" s="18" t="inlineStr">
        <is>
          <t>电力（生产）</t>
        </is>
      </c>
      <c r="D20" s="18" t="inlineStr">
        <is>
          <t>能源</t>
        </is>
      </c>
      <c r="E20" s="18" t="inlineStr">
        <is>
          <t>输入</t>
        </is>
      </c>
      <c r="F20" s="18" t="n"/>
      <c r="G20" s="18" t="inlineStr">
        <is>
          <t>PR06</t>
        </is>
      </c>
      <c r="H20" s="18" t="inlineStr">
        <is>
          <t>physical_energy</t>
        </is>
      </c>
      <c r="I20" s="51" t="n"/>
      <c r="J20" s="18" t="inlineStr">
        <is>
          <t>kWh/d</t>
        </is>
      </c>
      <c r="K20" s="18" t="inlineStr">
        <is>
          <t>1天</t>
        </is>
      </c>
      <c r="L20" s="18" t="n"/>
      <c r="M20" s="18" t="n"/>
      <c r="N20" s="18" t="inlineStr">
        <is>
          <t>＝SUM(分项电力参数)</t>
        </is>
      </c>
      <c r="O20" s="18" t="inlineStr">
        <is>
          <t>PA-EN-06A</t>
        </is>
      </c>
      <c r="P20" s="52" t="n">
        <v>3685</v>
      </c>
      <c r="Q20" s="18" t="inlineStr">
        <is>
          <t>kWh/d</t>
        </is>
      </c>
      <c r="R20" s="18" t="inlineStr">
        <is>
          <t>+</t>
        </is>
      </c>
      <c r="S20" s="18" t="inlineStr">
        <is>
          <t>否</t>
        </is>
      </c>
      <c r="T20" s="18" t="inlineStr">
        <is>
          <t>来源原始清单（未分配）</t>
        </is>
      </c>
      <c r="U20" s="18" t="inlineStr">
        <is>
          <t>SRC-RAW</t>
        </is>
      </c>
      <c r="V20" s="18" t="inlineStr">
        <is>
          <t>已审查</t>
        </is>
      </c>
      <c r="W20" s="18" t="inlineStr">
        <is>
          <t>是</t>
        </is>
      </c>
      <c r="X20" s="18" t="inlineStr">
        <is>
          <t>PR06 生产电力 3685.0</t>
        </is>
      </c>
      <c r="Y20" s="18" t="inlineStr">
        <is>
          <t>分项实测加总；TOTALs未给出</t>
        </is>
      </c>
      <c r="AA20" t="inlineStr">
        <is>
          <t>公式派生</t>
        </is>
      </c>
      <c r="AB20" t="inlineStr">
        <is>
          <t>1天生产</t>
        </is>
      </c>
      <c r="AC20" t="inlineStr">
        <is>
          <t>1天生产</t>
        </is>
      </c>
    </row>
    <row r="21">
      <c r="A21" s="18" t="inlineStr">
        <is>
          <t>FL-EL-07</t>
        </is>
      </c>
      <c r="B21" s="18" t="inlineStr">
        <is>
          <t>PR07</t>
        </is>
      </c>
      <c r="C21" s="18" t="inlineStr">
        <is>
          <t>电力（生产）</t>
        </is>
      </c>
      <c r="D21" s="18" t="inlineStr">
        <is>
          <t>能源</t>
        </is>
      </c>
      <c r="E21" s="18" t="inlineStr">
        <is>
          <t>输入</t>
        </is>
      </c>
      <c r="F21" s="18" t="n"/>
      <c r="G21" s="18" t="inlineStr">
        <is>
          <t>PR07</t>
        </is>
      </c>
      <c r="H21" s="18" t="inlineStr">
        <is>
          <t>physical_energy</t>
        </is>
      </c>
      <c r="I21" s="51" t="n"/>
      <c r="J21" s="18" t="inlineStr">
        <is>
          <t>kWh/d</t>
        </is>
      </c>
      <c r="K21" s="18" t="inlineStr">
        <is>
          <t>1天</t>
        </is>
      </c>
      <c r="L21" s="18" t="n"/>
      <c r="M21" s="18" t="n"/>
      <c r="N21" s="18" t="inlineStr">
        <is>
          <t>＝SUM(分项电力参数)</t>
        </is>
      </c>
      <c r="O21" s="18" t="inlineStr">
        <is>
          <t>PA-EN-07A;PA-EN-07B</t>
        </is>
      </c>
      <c r="P21" s="52" t="n">
        <v>38</v>
      </c>
      <c r="Q21" s="18" t="inlineStr">
        <is>
          <t>kWh/d</t>
        </is>
      </c>
      <c r="R21" s="18" t="inlineStr">
        <is>
          <t>+</t>
        </is>
      </c>
      <c r="S21" s="18" t="inlineStr">
        <is>
          <t>否</t>
        </is>
      </c>
      <c r="T21" s="18" t="inlineStr">
        <is>
          <t>来源原始清单（未分配）</t>
        </is>
      </c>
      <c r="U21" s="18" t="inlineStr">
        <is>
          <t>SRC-RAW</t>
        </is>
      </c>
      <c r="V21" s="18" t="inlineStr">
        <is>
          <t>已审查</t>
        </is>
      </c>
      <c r="W21" s="18" t="inlineStr">
        <is>
          <t>是</t>
        </is>
      </c>
      <c r="X21" s="18" t="inlineStr">
        <is>
          <t>PR07 生产电力 38.0</t>
        </is>
      </c>
      <c r="Y21" s="18" t="inlineStr">
        <is>
          <t>分项实测加总；TOTALs未给出</t>
        </is>
      </c>
      <c r="AA21" t="inlineStr">
        <is>
          <t>公式派生</t>
        </is>
      </c>
      <c r="AB21" t="inlineStr">
        <is>
          <t>1天生产</t>
        </is>
      </c>
      <c r="AC21" t="inlineStr">
        <is>
          <t>1天生产</t>
        </is>
      </c>
    </row>
    <row r="22">
      <c r="A22" s="18" t="inlineStr">
        <is>
          <t>FL-EL-08</t>
        </is>
      </c>
      <c r="B22" s="18" t="inlineStr">
        <is>
          <t>PR08</t>
        </is>
      </c>
      <c r="C22" s="18" t="inlineStr">
        <is>
          <t>电力（生产）</t>
        </is>
      </c>
      <c r="D22" s="18" t="inlineStr">
        <is>
          <t>能源</t>
        </is>
      </c>
      <c r="E22" s="18" t="inlineStr">
        <is>
          <t>输入</t>
        </is>
      </c>
      <c r="F22" s="18" t="n"/>
      <c r="G22" s="18" t="inlineStr">
        <is>
          <t>PR08</t>
        </is>
      </c>
      <c r="H22" s="18" t="inlineStr">
        <is>
          <t>physical_energy</t>
        </is>
      </c>
      <c r="I22" s="51" t="n"/>
      <c r="J22" s="18" t="inlineStr">
        <is>
          <t>kWh/d</t>
        </is>
      </c>
      <c r="K22" s="18" t="inlineStr">
        <is>
          <t>1天</t>
        </is>
      </c>
      <c r="L22" s="18" t="n"/>
      <c r="M22" s="18" t="n"/>
      <c r="N22" s="18" t="inlineStr">
        <is>
          <t>＝SUM(分项电力参数)</t>
        </is>
      </c>
      <c r="O22" s="18" t="inlineStr">
        <is>
          <t>PA-EN-08A;PA-EN-08B</t>
        </is>
      </c>
      <c r="P22" s="52" t="n">
        <v>2213</v>
      </c>
      <c r="Q22" s="18" t="inlineStr">
        <is>
          <t>kWh/d</t>
        </is>
      </c>
      <c r="R22" s="18" t="inlineStr">
        <is>
          <t>+</t>
        </is>
      </c>
      <c r="S22" s="18" t="inlineStr">
        <is>
          <t>否</t>
        </is>
      </c>
      <c r="T22" s="18" t="inlineStr">
        <is>
          <t>来源原始清单（未分配）</t>
        </is>
      </c>
      <c r="U22" s="18" t="inlineStr">
        <is>
          <t>SRC-RAW</t>
        </is>
      </c>
      <c r="V22" s="18" t="inlineStr">
        <is>
          <t>已审查</t>
        </is>
      </c>
      <c r="W22" s="18" t="inlineStr">
        <is>
          <t>是</t>
        </is>
      </c>
      <c r="X22" s="18" t="inlineStr">
        <is>
          <t>PR08 生产电力 2213.0</t>
        </is>
      </c>
      <c r="Y22" s="18" t="inlineStr">
        <is>
          <t>分项实测加总；TOTALs未给出</t>
        </is>
      </c>
      <c r="AA22" t="inlineStr">
        <is>
          <t>公式派生</t>
        </is>
      </c>
      <c r="AB22" t="inlineStr">
        <is>
          <t>1天生产</t>
        </is>
      </c>
      <c r="AC22" t="inlineStr">
        <is>
          <t>1天生产</t>
        </is>
      </c>
    </row>
    <row r="23">
      <c r="A23" s="18" t="inlineStr">
        <is>
          <t>FL-EL-09</t>
        </is>
      </c>
      <c r="B23" s="18" t="inlineStr">
        <is>
          <t>PR09</t>
        </is>
      </c>
      <c r="C23" s="18" t="inlineStr">
        <is>
          <t>电力（生产）</t>
        </is>
      </c>
      <c r="D23" s="18" t="inlineStr">
        <is>
          <t>能源</t>
        </is>
      </c>
      <c r="E23" s="18" t="inlineStr">
        <is>
          <t>输入</t>
        </is>
      </c>
      <c r="F23" s="18" t="n"/>
      <c r="G23" s="18" t="inlineStr">
        <is>
          <t>PR09</t>
        </is>
      </c>
      <c r="H23" s="18" t="inlineStr">
        <is>
          <t>physical_energy</t>
        </is>
      </c>
      <c r="I23" s="51" t="n"/>
      <c r="J23" s="18" t="inlineStr">
        <is>
          <t>kWh/d</t>
        </is>
      </c>
      <c r="K23" s="18" t="inlineStr">
        <is>
          <t>1天</t>
        </is>
      </c>
      <c r="L23" s="18" t="n"/>
      <c r="M23" s="18" t="n"/>
      <c r="N23" s="18" t="inlineStr">
        <is>
          <t>＝SUM(分项电力参数)</t>
        </is>
      </c>
      <c r="O23" s="18" t="inlineStr">
        <is>
          <t>PA-EN-09A</t>
        </is>
      </c>
      <c r="P23" s="52" t="n">
        <v>129</v>
      </c>
      <c r="Q23" s="18" t="inlineStr">
        <is>
          <t>kWh/d</t>
        </is>
      </c>
      <c r="R23" s="18" t="inlineStr">
        <is>
          <t>+</t>
        </is>
      </c>
      <c r="S23" s="18" t="inlineStr">
        <is>
          <t>否</t>
        </is>
      </c>
      <c r="T23" s="18" t="inlineStr">
        <is>
          <t>来源原始清单（未分配）</t>
        </is>
      </c>
      <c r="U23" s="18" t="inlineStr">
        <is>
          <t>SRC-RAW</t>
        </is>
      </c>
      <c r="V23" s="18" t="inlineStr">
        <is>
          <t>已审查</t>
        </is>
      </c>
      <c r="W23" s="18" t="inlineStr">
        <is>
          <t>是</t>
        </is>
      </c>
      <c r="X23" s="18" t="inlineStr">
        <is>
          <t>PR09 生产电力 129.0</t>
        </is>
      </c>
      <c r="Y23" s="18" t="inlineStr">
        <is>
          <t>分项实测加总；TOTALs未给出</t>
        </is>
      </c>
      <c r="AA23" t="inlineStr">
        <is>
          <t>公式派生</t>
        </is>
      </c>
      <c r="AB23" t="inlineStr">
        <is>
          <t>1天生产</t>
        </is>
      </c>
      <c r="AC23" t="inlineStr">
        <is>
          <t>1天生产</t>
        </is>
      </c>
    </row>
    <row r="24">
      <c r="A24" s="18" t="inlineStr">
        <is>
          <t>FL-EL-10</t>
        </is>
      </c>
      <c r="B24" s="18" t="inlineStr">
        <is>
          <t>PR10</t>
        </is>
      </c>
      <c r="C24" s="18" t="inlineStr">
        <is>
          <t>电力（生产）</t>
        </is>
      </c>
      <c r="D24" s="18" t="inlineStr">
        <is>
          <t>能源</t>
        </is>
      </c>
      <c r="E24" s="18" t="inlineStr">
        <is>
          <t>输入</t>
        </is>
      </c>
      <c r="F24" s="18" t="n"/>
      <c r="G24" s="18" t="inlineStr">
        <is>
          <t>PR10</t>
        </is>
      </c>
      <c r="H24" s="18" t="inlineStr">
        <is>
          <t>physical_energy</t>
        </is>
      </c>
      <c r="I24" s="51" t="n"/>
      <c r="J24" s="18" t="inlineStr">
        <is>
          <t>kWh/d</t>
        </is>
      </c>
      <c r="K24" s="18" t="inlineStr">
        <is>
          <t>1天</t>
        </is>
      </c>
      <c r="L24" s="18" t="n"/>
      <c r="M24" s="18" t="n"/>
      <c r="N24" s="18" t="inlineStr">
        <is>
          <t>＝SUM(分项电力参数)</t>
        </is>
      </c>
      <c r="O24" s="18" t="inlineStr">
        <is>
          <t>PA-EN-10A;PA-EN-10B</t>
        </is>
      </c>
      <c r="P24" s="52" t="n">
        <v>1.2</v>
      </c>
      <c r="Q24" s="18" t="inlineStr">
        <is>
          <t>kWh/d</t>
        </is>
      </c>
      <c r="R24" s="18" t="inlineStr">
        <is>
          <t>+</t>
        </is>
      </c>
      <c r="S24" s="18" t="inlineStr">
        <is>
          <t>否</t>
        </is>
      </c>
      <c r="T24" s="18" t="inlineStr">
        <is>
          <t>来源原始清单（未分配）</t>
        </is>
      </c>
      <c r="U24" s="18" t="inlineStr">
        <is>
          <t>SRC-RAW</t>
        </is>
      </c>
      <c r="V24" s="18" t="inlineStr">
        <is>
          <t>已审查</t>
        </is>
      </c>
      <c r="W24" s="18" t="inlineStr">
        <is>
          <t>是</t>
        </is>
      </c>
      <c r="X24" s="18" t="inlineStr">
        <is>
          <t>PR10 生产电力 1.2</t>
        </is>
      </c>
      <c r="Y24" s="18" t="inlineStr">
        <is>
          <t>分项实测加总；TOTALs未给出</t>
        </is>
      </c>
      <c r="AA24" t="inlineStr">
        <is>
          <t>公式派生</t>
        </is>
      </c>
      <c r="AB24" t="inlineStr">
        <is>
          <t>1天生产</t>
        </is>
      </c>
      <c r="AC24" t="inlineStr">
        <is>
          <t>1天生产</t>
        </is>
      </c>
    </row>
    <row r="25">
      <c r="A25" s="18" t="inlineStr">
        <is>
          <t>FL-EL-11</t>
        </is>
      </c>
      <c r="B25" s="18" t="inlineStr">
        <is>
          <t>PR11</t>
        </is>
      </c>
      <c r="C25" s="18" t="inlineStr">
        <is>
          <t>电力（生产）</t>
        </is>
      </c>
      <c r="D25" s="18" t="inlineStr">
        <is>
          <t>能源</t>
        </is>
      </c>
      <c r="E25" s="18" t="inlineStr">
        <is>
          <t>输入</t>
        </is>
      </c>
      <c r="F25" s="18" t="n"/>
      <c r="G25" s="18" t="inlineStr">
        <is>
          <t>PR11</t>
        </is>
      </c>
      <c r="H25" s="18" t="inlineStr">
        <is>
          <t>physical_energy</t>
        </is>
      </c>
      <c r="I25" s="51" t="n"/>
      <c r="J25" s="18" t="inlineStr">
        <is>
          <t>kWh/d</t>
        </is>
      </c>
      <c r="K25" s="18" t="inlineStr">
        <is>
          <t>1天</t>
        </is>
      </c>
      <c r="L25" s="18" t="n"/>
      <c r="M25" s="18" t="n"/>
      <c r="N25" s="18" t="inlineStr">
        <is>
          <t>＝SUM(分项电力参数)</t>
        </is>
      </c>
      <c r="O25" s="18" t="inlineStr">
        <is>
          <t>PA-EN-11A</t>
        </is>
      </c>
      <c r="P25" s="52" t="n">
        <v>1535</v>
      </c>
      <c r="Q25" s="18" t="inlineStr">
        <is>
          <t>kWh/d</t>
        </is>
      </c>
      <c r="R25" s="18" t="inlineStr">
        <is>
          <t>+</t>
        </is>
      </c>
      <c r="S25" s="18" t="inlineStr">
        <is>
          <t>否</t>
        </is>
      </c>
      <c r="T25" s="18" t="inlineStr">
        <is>
          <t>来源原始清单（未分配）</t>
        </is>
      </c>
      <c r="U25" s="18" t="inlineStr">
        <is>
          <t>SRC-RAW</t>
        </is>
      </c>
      <c r="V25" s="18" t="inlineStr">
        <is>
          <t>已审查</t>
        </is>
      </c>
      <c r="W25" s="18" t="inlineStr">
        <is>
          <t>是</t>
        </is>
      </c>
      <c r="X25" s="18" t="inlineStr">
        <is>
          <t>PR11 生产电力 1535.0</t>
        </is>
      </c>
      <c r="Y25" s="18" t="inlineStr">
        <is>
          <t>分项实测加总；TOTALs未给出</t>
        </is>
      </c>
      <c r="AA25" t="inlineStr">
        <is>
          <t>公式派生</t>
        </is>
      </c>
      <c r="AB25" t="inlineStr">
        <is>
          <t>1天生产</t>
        </is>
      </c>
      <c r="AC25" t="inlineStr">
        <is>
          <t>1天生产</t>
        </is>
      </c>
    </row>
    <row r="26">
      <c r="A26" s="18" t="inlineStr">
        <is>
          <t>FL-EL-12</t>
        </is>
      </c>
      <c r="B26" s="18" t="inlineStr">
        <is>
          <t>PR12</t>
        </is>
      </c>
      <c r="C26" s="18" t="inlineStr">
        <is>
          <t>电力（生产）</t>
        </is>
      </c>
      <c r="D26" s="18" t="inlineStr">
        <is>
          <t>能源</t>
        </is>
      </c>
      <c r="E26" s="18" t="inlineStr">
        <is>
          <t>输入</t>
        </is>
      </c>
      <c r="F26" s="18" t="n"/>
      <c r="G26" s="18" t="inlineStr">
        <is>
          <t>PR12</t>
        </is>
      </c>
      <c r="H26" s="18" t="inlineStr">
        <is>
          <t>physical_energy</t>
        </is>
      </c>
      <c r="I26" s="51" t="n"/>
      <c r="J26" s="18" t="inlineStr">
        <is>
          <t>kWh/d</t>
        </is>
      </c>
      <c r="K26" s="18" t="inlineStr">
        <is>
          <t>1天</t>
        </is>
      </c>
      <c r="L26" s="18" t="n"/>
      <c r="M26" s="18" t="n"/>
      <c r="N26" s="18" t="inlineStr">
        <is>
          <t>＝SUM(分项电力参数)</t>
        </is>
      </c>
      <c r="O26" s="18" t="inlineStr">
        <is>
          <t>PA-EN-12A</t>
        </is>
      </c>
      <c r="P26" s="52" t="n">
        <v>172</v>
      </c>
      <c r="Q26" s="18" t="inlineStr">
        <is>
          <t>kWh/d</t>
        </is>
      </c>
      <c r="R26" s="18" t="inlineStr">
        <is>
          <t>+</t>
        </is>
      </c>
      <c r="S26" s="18" t="inlineStr">
        <is>
          <t>否</t>
        </is>
      </c>
      <c r="T26" s="18" t="inlineStr">
        <is>
          <t>来源原始清单（未分配）</t>
        </is>
      </c>
      <c r="U26" s="18" t="inlineStr">
        <is>
          <t>SRC-RAW</t>
        </is>
      </c>
      <c r="V26" s="18" t="inlineStr">
        <is>
          <t>已审查</t>
        </is>
      </c>
      <c r="W26" s="18" t="inlineStr">
        <is>
          <t>是</t>
        </is>
      </c>
      <c r="X26" s="18" t="inlineStr">
        <is>
          <t>PR12 生产电力 172.0</t>
        </is>
      </c>
      <c r="Y26" s="18" t="inlineStr">
        <is>
          <t>分项实测加总；TOTALs未给出</t>
        </is>
      </c>
      <c r="AA26" t="inlineStr">
        <is>
          <t>公式派生</t>
        </is>
      </c>
      <c r="AB26" t="inlineStr">
        <is>
          <t>1天生产</t>
        </is>
      </c>
      <c r="AC26" t="inlineStr">
        <is>
          <t>1天生产</t>
        </is>
      </c>
    </row>
    <row r="27">
      <c r="A27" s="18" t="inlineStr">
        <is>
          <t>FL-EL-20</t>
        </is>
      </c>
      <c r="B27" s="18" t="inlineStr">
        <is>
          <t>PR20</t>
        </is>
      </c>
      <c r="C27" s="18" t="inlineStr">
        <is>
          <t>电力（生产）</t>
        </is>
      </c>
      <c r="D27" s="18" t="inlineStr">
        <is>
          <t>能源</t>
        </is>
      </c>
      <c r="E27" s="18" t="inlineStr">
        <is>
          <t>输入</t>
        </is>
      </c>
      <c r="F27" s="18" t="n"/>
      <c r="G27" s="18" t="inlineStr">
        <is>
          <t>PR20</t>
        </is>
      </c>
      <c r="H27" s="18" t="inlineStr">
        <is>
          <t>physical_energy</t>
        </is>
      </c>
      <c r="I27" s="51" t="n"/>
      <c r="J27" s="18" t="inlineStr">
        <is>
          <t>kWh/d</t>
        </is>
      </c>
      <c r="K27" s="18" t="inlineStr">
        <is>
          <t>1天</t>
        </is>
      </c>
      <c r="L27" s="18" t="n"/>
      <c r="M27" s="18" t="n"/>
      <c r="N27" s="18" t="inlineStr">
        <is>
          <t>＝SUM(分项电力参数)</t>
        </is>
      </c>
      <c r="O27" s="18" t="inlineStr">
        <is>
          <t>PA-EN-20A;PA-EN-20B;PA-EN-20C;PA-EN-20D</t>
        </is>
      </c>
      <c r="P27" s="52" t="n">
        <v>5050.7</v>
      </c>
      <c r="Q27" s="18" t="inlineStr">
        <is>
          <t>kWh/d</t>
        </is>
      </c>
      <c r="R27" s="18" t="inlineStr">
        <is>
          <t>+</t>
        </is>
      </c>
      <c r="S27" s="18" t="inlineStr">
        <is>
          <t>否</t>
        </is>
      </c>
      <c r="T27" s="18" t="inlineStr">
        <is>
          <t>来源原始清单（未分配）</t>
        </is>
      </c>
      <c r="U27" s="18" t="inlineStr">
        <is>
          <t>SRC-RAW</t>
        </is>
      </c>
      <c r="V27" s="18" t="inlineStr">
        <is>
          <t>已审查</t>
        </is>
      </c>
      <c r="W27" s="18" t="inlineStr">
        <is>
          <t>是</t>
        </is>
      </c>
      <c r="X27" s="18" t="inlineStr">
        <is>
          <t>PR20 生产电力 5050.7</t>
        </is>
      </c>
      <c r="Y27" s="18" t="inlineStr">
        <is>
          <t>分项实测加总；TOTALs未给出</t>
        </is>
      </c>
      <c r="AA27" t="inlineStr">
        <is>
          <t>公式派生</t>
        </is>
      </c>
      <c r="AB27" t="inlineStr">
        <is>
          <t>1天生产</t>
        </is>
      </c>
      <c r="AC27" t="inlineStr">
        <is>
          <t>1天生产</t>
        </is>
      </c>
    </row>
    <row r="28">
      <c r="A28" s="18" t="inlineStr">
        <is>
          <t>FL-GAS-04</t>
        </is>
      </c>
      <c r="B28" s="18" t="inlineStr">
        <is>
          <t>PR04</t>
        </is>
      </c>
      <c r="C28" s="18" t="inlineStr">
        <is>
          <t>燃气热（生产）</t>
        </is>
      </c>
      <c r="D28" s="18" t="inlineStr">
        <is>
          <t>能源</t>
        </is>
      </c>
      <c r="E28" s="18" t="inlineStr">
        <is>
          <t>输入</t>
        </is>
      </c>
      <c r="F28" s="18" t="n"/>
      <c r="G28" s="18" t="inlineStr">
        <is>
          <t>PR04</t>
        </is>
      </c>
      <c r="H28" s="18" t="inlineStr">
        <is>
          <t>physical_energy</t>
        </is>
      </c>
      <c r="I28" s="51" t="n">
        <v>19465</v>
      </c>
      <c r="J28" s="18" t="inlineStr">
        <is>
          <t>MJ/d</t>
        </is>
      </c>
      <c r="K28" s="18" t="inlineStr">
        <is>
          <t>1天</t>
        </is>
      </c>
      <c r="L28" s="18" t="n"/>
      <c r="M28" s="18" t="n"/>
      <c r="N28" s="18" t="n"/>
      <c r="O28" s="18" t="n"/>
      <c r="P28" s="52" t="n">
        <v>19465</v>
      </c>
      <c r="Q28" s="18" t="inlineStr">
        <is>
          <t>MJ/d</t>
        </is>
      </c>
      <c r="R28" s="18" t="inlineStr">
        <is>
          <t>+</t>
        </is>
      </c>
      <c r="S28" s="18" t="inlineStr">
        <is>
          <t>否</t>
        </is>
      </c>
      <c r="T28" s="18" t="inlineStr">
        <is>
          <t>来源原始清单（未分配）</t>
        </is>
      </c>
      <c r="U28" s="18" t="inlineStr">
        <is>
          <t>SRC-RAW</t>
        </is>
      </c>
      <c r="V28" s="18" t="inlineStr">
        <is>
          <t>已审查</t>
        </is>
      </c>
      <c r="W28" s="18" t="inlineStr">
        <is>
          <t>是</t>
        </is>
      </c>
      <c r="X28" s="18" t="inlineStr">
        <is>
          <t>PR04 燃气热（生产） 19465</t>
        </is>
      </c>
      <c r="Y28" s="18" t="inlineStr">
        <is>
          <t>燃气锅炉</t>
        </is>
      </c>
      <c r="Z28" t="inlineStr">
        <is>
          <t>CT-GAST-04</t>
        </is>
      </c>
      <c r="AA28" t="inlineStr">
        <is>
          <t>直接报告</t>
        </is>
      </c>
      <c r="AB28" t="inlineStr">
        <is>
          <t>1天生产</t>
        </is>
      </c>
      <c r="AC28" t="inlineStr">
        <is>
          <t>1天生产</t>
        </is>
      </c>
    </row>
    <row r="29">
      <c r="A29" s="18" t="inlineStr">
        <is>
          <t>FL-GAS-05</t>
        </is>
      </c>
      <c r="B29" s="18" t="inlineStr">
        <is>
          <t>PR05</t>
        </is>
      </c>
      <c r="C29" s="18" t="inlineStr">
        <is>
          <t>燃气热（生产）</t>
        </is>
      </c>
      <c r="D29" s="18" t="inlineStr">
        <is>
          <t>能源</t>
        </is>
      </c>
      <c r="E29" s="18" t="inlineStr">
        <is>
          <t>输入</t>
        </is>
      </c>
      <c r="F29" s="18" t="n"/>
      <c r="G29" s="18" t="inlineStr">
        <is>
          <t>PR05</t>
        </is>
      </c>
      <c r="H29" s="18" t="inlineStr">
        <is>
          <t>physical_energy</t>
        </is>
      </c>
      <c r="I29" s="51" t="n">
        <v>54075</v>
      </c>
      <c r="J29" s="18" t="inlineStr">
        <is>
          <t>MJ/d</t>
        </is>
      </c>
      <c r="K29" s="18" t="inlineStr">
        <is>
          <t>1天</t>
        </is>
      </c>
      <c r="L29" s="18" t="n"/>
      <c r="M29" s="18" t="n"/>
      <c r="N29" s="18" t="n"/>
      <c r="O29" s="18" t="n"/>
      <c r="P29" s="52" t="n">
        <v>54075</v>
      </c>
      <c r="Q29" s="18" t="inlineStr">
        <is>
          <t>MJ/d</t>
        </is>
      </c>
      <c r="R29" s="18" t="inlineStr">
        <is>
          <t>+</t>
        </is>
      </c>
      <c r="S29" s="18" t="inlineStr">
        <is>
          <t>否</t>
        </is>
      </c>
      <c r="T29" s="18" t="inlineStr">
        <is>
          <t>来源原始清单（未分配）</t>
        </is>
      </c>
      <c r="U29" s="18" t="inlineStr">
        <is>
          <t>SRC-RAW</t>
        </is>
      </c>
      <c r="V29" s="18" t="inlineStr">
        <is>
          <t>已审查</t>
        </is>
      </c>
      <c r="W29" s="18" t="inlineStr">
        <is>
          <t>是</t>
        </is>
      </c>
      <c r="X29" s="18" t="inlineStr">
        <is>
          <t>PR05 燃气热（生产） 54075</t>
        </is>
      </c>
      <c r="Y29" s="18" t="inlineStr">
        <is>
          <t>燃气锅炉</t>
        </is>
      </c>
      <c r="Z29" t="inlineStr">
        <is>
          <t>CT-GAST-05</t>
        </is>
      </c>
      <c r="AA29" t="inlineStr">
        <is>
          <t>直接报告</t>
        </is>
      </c>
      <c r="AB29" t="inlineStr">
        <is>
          <t>1天生产</t>
        </is>
      </c>
      <c r="AC29" t="inlineStr">
        <is>
          <t>1天生产</t>
        </is>
      </c>
    </row>
    <row r="30">
      <c r="A30" s="18" t="inlineStr">
        <is>
          <t>FL-TKM-10</t>
        </is>
      </c>
      <c r="B30" s="18" t="inlineStr">
        <is>
          <t>PR10</t>
        </is>
      </c>
      <c r="C30" s="18" t="inlineStr">
        <is>
          <t>运输（t·km）</t>
        </is>
      </c>
      <c r="D30" s="18" t="inlineStr">
        <is>
          <t>能源</t>
        </is>
      </c>
      <c r="E30" s="18" t="inlineStr">
        <is>
          <t>输入</t>
        </is>
      </c>
      <c r="F30" s="18" t="n"/>
      <c r="G30" s="18" t="inlineStr">
        <is>
          <t>PR10</t>
        </is>
      </c>
      <c r="H30" s="18" t="inlineStr">
        <is>
          <t>physical_energy</t>
        </is>
      </c>
      <c r="I30" s="51" t="n">
        <v>1370</v>
      </c>
      <c r="J30" s="18" t="inlineStr">
        <is>
          <t>t.km</t>
        </is>
      </c>
      <c r="K30" s="18" t="inlineStr">
        <is>
          <t>1天</t>
        </is>
      </c>
      <c r="L30" s="18" t="n"/>
      <c r="M30" s="18" t="n"/>
      <c r="N30" s="18" t="n"/>
      <c r="O30" s="18" t="n"/>
      <c r="P30" s="52" t="n">
        <v>1370</v>
      </c>
      <c r="Q30" s="18" t="inlineStr">
        <is>
          <t>t.km</t>
        </is>
      </c>
      <c r="R30" s="18" t="inlineStr">
        <is>
          <t>+</t>
        </is>
      </c>
      <c r="S30" s="18" t="inlineStr">
        <is>
          <t>否</t>
        </is>
      </c>
      <c r="T30" s="18" t="inlineStr">
        <is>
          <t>来源原始清单（未分配）</t>
        </is>
      </c>
      <c r="U30" s="18" t="inlineStr">
        <is>
          <t>SRC-RAW</t>
        </is>
      </c>
      <c r="V30" s="18" t="inlineStr">
        <is>
          <t>已审查</t>
        </is>
      </c>
      <c r="W30" s="18" t="inlineStr">
        <is>
          <t>是</t>
        </is>
      </c>
      <c r="X30" s="18" t="inlineStr">
        <is>
          <t>WPI冷藏运输 1370</t>
        </is>
      </c>
      <c r="Y30" s="18" t="inlineStr">
        <is>
          <t>insulated truck，4°C 100km（原文Mass·distance实测）</t>
        </is>
      </c>
      <c r="Z30" t="inlineStr">
        <is>
          <t>CT-TKM-10</t>
        </is>
      </c>
      <c r="AA30" t="inlineStr">
        <is>
          <t>直接报告</t>
        </is>
      </c>
      <c r="AB30" t="inlineStr">
        <is>
          <t>1天生产</t>
        </is>
      </c>
      <c r="AC30" t="inlineStr">
        <is>
          <t>1天生产</t>
        </is>
      </c>
    </row>
    <row r="31">
      <c r="A31" s="18" t="inlineStr">
        <is>
          <t>FL-SLURRY-20</t>
        </is>
      </c>
      <c r="B31" s="18" t="inlineStr">
        <is>
          <t>PR20</t>
        </is>
      </c>
      <c r="C31" s="18" t="inlineStr">
        <is>
          <t>运输（t·km）</t>
        </is>
      </c>
      <c r="D31" s="18" t="inlineStr">
        <is>
          <t>能源</t>
        </is>
      </c>
      <c r="E31" s="18" t="inlineStr">
        <is>
          <t>输入</t>
        </is>
      </c>
      <c r="F31" s="18" t="n"/>
      <c r="G31" s="18" t="inlineStr">
        <is>
          <t>PR20</t>
        </is>
      </c>
      <c r="H31" s="18" t="inlineStr">
        <is>
          <t>physical_energy</t>
        </is>
      </c>
      <c r="I31" s="51" t="n">
        <v>45.6</v>
      </c>
      <c r="J31" s="18" t="inlineStr">
        <is>
          <t>t.km</t>
        </is>
      </c>
      <c r="K31" s="18" t="inlineStr">
        <is>
          <t>1天</t>
        </is>
      </c>
      <c r="L31" s="18" t="n"/>
      <c r="M31" s="18" t="n"/>
      <c r="N31" s="18" t="n"/>
      <c r="O31" s="18" t="n"/>
      <c r="P31" s="52" t="n">
        <v>45.6</v>
      </c>
      <c r="Q31" s="18" t="inlineStr">
        <is>
          <t>t.km</t>
        </is>
      </c>
      <c r="R31" s="18" t="inlineStr">
        <is>
          <t>+</t>
        </is>
      </c>
      <c r="S31" s="18" t="inlineStr">
        <is>
          <t>否</t>
        </is>
      </c>
      <c r="T31" s="18" t="inlineStr">
        <is>
          <t>来源原始清单（未分配）</t>
        </is>
      </c>
      <c r="U31" s="18" t="inlineStr">
        <is>
          <t>SRC-RAW</t>
        </is>
      </c>
      <c r="V31" s="18" t="inlineStr">
        <is>
          <t>已审查</t>
        </is>
      </c>
      <c r="W31" s="18" t="inlineStr">
        <is>
          <t>是</t>
        </is>
      </c>
      <c r="X31" s="18" t="inlineStr">
        <is>
          <t>污泥运输 45.6</t>
        </is>
      </c>
      <c r="Y31" s="18" t="inlineStr">
        <is>
          <t>slurry spreading</t>
        </is>
      </c>
      <c r="Z31" t="inlineStr">
        <is>
          <t>CT-SLURRY-20</t>
        </is>
      </c>
      <c r="AA31" t="inlineStr">
        <is>
          <t>直接报告</t>
        </is>
      </c>
      <c r="AB31" t="inlineStr">
        <is>
          <t>1天生产</t>
        </is>
      </c>
      <c r="AC31" t="inlineStr">
        <is>
          <t>1天生产</t>
        </is>
      </c>
    </row>
    <row r="32">
      <c r="A32" s="18" t="inlineStr">
        <is>
          <t>FL-O-CREAM</t>
        </is>
      </c>
      <c r="B32" s="18" t="inlineStr">
        <is>
          <t>PR03</t>
        </is>
      </c>
      <c r="C32" s="18" t="inlineStr">
        <is>
          <t>奶油出厂（联产品）</t>
        </is>
      </c>
      <c r="D32" s="18" t="inlineStr">
        <is>
          <t>物理流</t>
        </is>
      </c>
      <c r="E32" s="18" t="inlineStr">
        <is>
          <t>输出</t>
        </is>
      </c>
      <c r="F32" s="18" t="inlineStr">
        <is>
          <t>PR03</t>
        </is>
      </c>
      <c r="G32" s="18" t="n"/>
      <c r="H32" s="18" t="inlineStr">
        <is>
          <t>physical_material</t>
        </is>
      </c>
      <c r="I32" s="51" t="n">
        <v>58</v>
      </c>
      <c r="J32" s="18" t="inlineStr">
        <is>
          <t>m3/d</t>
        </is>
      </c>
      <c r="K32" s="18" t="inlineStr">
        <is>
          <t>1天</t>
        </is>
      </c>
      <c r="L32" s="18" t="n"/>
      <c r="M32" s="18" t="n"/>
      <c r="N32" s="18" t="n"/>
      <c r="O32" s="18" t="n"/>
      <c r="P32" s="52" t="n">
        <v>58</v>
      </c>
      <c r="Q32" s="18" t="inlineStr">
        <is>
          <t>m3/d</t>
        </is>
      </c>
      <c r="R32" s="18" t="inlineStr">
        <is>
          <t>+</t>
        </is>
      </c>
      <c r="S32" s="18" t="inlineStr">
        <is>
          <t>否</t>
        </is>
      </c>
      <c r="T32" s="18" t="inlineStr">
        <is>
          <t>来源原始清单（未分配）</t>
        </is>
      </c>
      <c r="U32" s="18" t="inlineStr">
        <is>
          <t>SRC-RAW</t>
        </is>
      </c>
      <c r="V32" s="18" t="inlineStr">
        <is>
          <t>已审查</t>
        </is>
      </c>
      <c r="W32" s="18" t="inlineStr">
        <is>
          <t>是</t>
        </is>
      </c>
      <c r="X32" s="18" t="inlineStr">
        <is>
          <t>奶油出厂（联产品） 58</t>
        </is>
      </c>
      <c r="Y32" s="18" t="inlineStr">
        <is>
          <t>3_CS输出段Cream 58 m³/d（Losses are neglected）</t>
        </is>
      </c>
      <c r="Z32" t="inlineStr">
        <is>
          <t>CT-O-CREAM</t>
        </is>
      </c>
      <c r="AA32" t="inlineStr">
        <is>
          <t>直接报告</t>
        </is>
      </c>
      <c r="AB32" t="inlineStr">
        <is>
          <t>体积 m3/d（SRC-RAW）</t>
        </is>
      </c>
      <c r="AC32" t="inlineStr">
        <is>
          <t>1天生产</t>
        </is>
      </c>
    </row>
    <row r="33">
      <c r="A33" s="18" t="inlineStr">
        <is>
          <t>FL-O-CAS</t>
        </is>
      </c>
      <c r="B33" s="18" t="inlineStr">
        <is>
          <t>PR06</t>
        </is>
      </c>
      <c r="C33" s="18" t="inlineStr">
        <is>
          <t>胶束酪蛋白出厂（联产品）</t>
        </is>
      </c>
      <c r="D33" s="18" t="inlineStr">
        <is>
          <t>物理流</t>
        </is>
      </c>
      <c r="E33" s="18" t="inlineStr">
        <is>
          <t>输出</t>
        </is>
      </c>
      <c r="F33" s="18" t="inlineStr">
        <is>
          <t>PR06</t>
        </is>
      </c>
      <c r="G33" s="18" t="n"/>
      <c r="H33" s="18" t="inlineStr">
        <is>
          <t>physical_material</t>
        </is>
      </c>
      <c r="I33" s="51" t="n">
        <v>175</v>
      </c>
      <c r="J33" s="18" t="inlineStr">
        <is>
          <t>m3/d</t>
        </is>
      </c>
      <c r="K33" s="18" t="inlineStr">
        <is>
          <t>1天</t>
        </is>
      </c>
      <c r="L33" s="18" t="n"/>
      <c r="M33" s="18" t="n"/>
      <c r="N33" s="18" t="n"/>
      <c r="O33" s="18" t="n"/>
      <c r="P33" s="52" t="n">
        <v>175</v>
      </c>
      <c r="Q33" s="18" t="inlineStr">
        <is>
          <t>m3/d</t>
        </is>
      </c>
      <c r="R33" s="18" t="inlineStr">
        <is>
          <t>+</t>
        </is>
      </c>
      <c r="S33" s="18" t="inlineStr">
        <is>
          <t>否</t>
        </is>
      </c>
      <c r="T33" s="18" t="inlineStr">
        <is>
          <t>来源原始清单（未分配）</t>
        </is>
      </c>
      <c r="U33" s="18" t="inlineStr">
        <is>
          <t>SRC-RAW</t>
        </is>
      </c>
      <c r="V33" s="18" t="inlineStr">
        <is>
          <t>已审查</t>
        </is>
      </c>
      <c r="W33" s="18" t="inlineStr">
        <is>
          <t>是</t>
        </is>
      </c>
      <c r="X33" s="18" t="inlineStr">
        <is>
          <t>胶束酪蛋白出厂（联产品） 175</t>
        </is>
      </c>
      <c r="Y33" s="18" t="inlineStr">
        <is>
          <t>6_CS输出段Casein micelle retentate 175 m³/d（Losses are neglected）</t>
        </is>
      </c>
      <c r="Z33" t="inlineStr">
        <is>
          <t>CT-O-CAS</t>
        </is>
      </c>
      <c r="AA33" t="inlineStr">
        <is>
          <t>直接报告</t>
        </is>
      </c>
      <c r="AB33" t="inlineStr">
        <is>
          <t>体积 m3/d（SRC-RAW）</t>
        </is>
      </c>
      <c r="AC33" t="inlineStr">
        <is>
          <t>1天生产</t>
        </is>
      </c>
    </row>
    <row r="34">
      <c r="A34" s="18" t="inlineStr">
        <is>
          <t>FL-O-LAC</t>
        </is>
      </c>
      <c r="B34" s="18" t="inlineStr">
        <is>
          <t>PR12</t>
        </is>
      </c>
      <c r="C34" s="18" t="inlineStr">
        <is>
          <t>浓缩乳糖出厂（联产品）</t>
        </is>
      </c>
      <c r="D34" s="18" t="inlineStr">
        <is>
          <t>物理流</t>
        </is>
      </c>
      <c r="E34" s="18" t="inlineStr">
        <is>
          <t>输出</t>
        </is>
      </c>
      <c r="F34" s="18" t="inlineStr">
        <is>
          <t>PR12</t>
        </is>
      </c>
      <c r="G34" s="18" t="n"/>
      <c r="H34" s="18" t="inlineStr">
        <is>
          <t>physical_material</t>
        </is>
      </c>
      <c r="I34" s="51" t="n">
        <v>85.3</v>
      </c>
      <c r="J34" s="18" t="inlineStr">
        <is>
          <t>m3/d</t>
        </is>
      </c>
      <c r="K34" s="18" t="inlineStr">
        <is>
          <t>1天</t>
        </is>
      </c>
      <c r="L34" s="18" t="n"/>
      <c r="M34" s="18" t="n"/>
      <c r="N34" s="18" t="n"/>
      <c r="O34" s="18" t="n"/>
      <c r="P34" s="52" t="n">
        <v>85.3</v>
      </c>
      <c r="Q34" s="18" t="inlineStr">
        <is>
          <t>m3/d</t>
        </is>
      </c>
      <c r="R34" s="18" t="inlineStr">
        <is>
          <t>+</t>
        </is>
      </c>
      <c r="S34" s="18" t="inlineStr">
        <is>
          <t>否</t>
        </is>
      </c>
      <c r="T34" s="18" t="inlineStr">
        <is>
          <t>来源原始清单（未分配）</t>
        </is>
      </c>
      <c r="U34" s="18" t="inlineStr">
        <is>
          <t>SRC-RAW</t>
        </is>
      </c>
      <c r="V34" s="18" t="inlineStr">
        <is>
          <t>已审查</t>
        </is>
      </c>
      <c r="W34" s="18" t="inlineStr">
        <is>
          <t>是</t>
        </is>
      </c>
      <c r="X34" s="18" t="inlineStr">
        <is>
          <t>浓缩乳糖出厂（联产品） 85.3</t>
        </is>
      </c>
      <c r="Y34" s="18" t="inlineStr">
        <is>
          <t>12_CS输出段Cooled lactose concentrate 85.3 m³/d（Losses are neglected）</t>
        </is>
      </c>
      <c r="Z34" t="inlineStr">
        <is>
          <t>CT-O-LAC</t>
        </is>
      </c>
      <c r="AA34" t="inlineStr">
        <is>
          <t>直接报告</t>
        </is>
      </c>
      <c r="AB34" t="inlineStr">
        <is>
          <t>体积 m3/d（SRC-RAW）</t>
        </is>
      </c>
      <c r="AC34" t="inlineStr">
        <is>
          <t>1天生产</t>
        </is>
      </c>
    </row>
    <row r="35">
      <c r="A35" s="18" t="inlineStr">
        <is>
          <t>FL-O-WPI</t>
        </is>
      </c>
      <c r="B35" s="18" t="inlineStr">
        <is>
          <t>PR10</t>
        </is>
      </c>
      <c r="C35" s="18" t="inlineStr">
        <is>
          <t>WPI浓缩液出厂（主产品）</t>
        </is>
      </c>
      <c r="D35" s="18" t="inlineStr">
        <is>
          <t>物理流</t>
        </is>
      </c>
      <c r="E35" s="18" t="inlineStr">
        <is>
          <t>输出</t>
        </is>
      </c>
      <c r="F35" s="18" t="inlineStr">
        <is>
          <t>PR10</t>
        </is>
      </c>
      <c r="G35" s="18" t="n"/>
      <c r="H35" s="18" t="inlineStr">
        <is>
          <t>physical_material</t>
        </is>
      </c>
      <c r="I35" s="51" t="n">
        <v>11.7</v>
      </c>
      <c r="J35" s="18" t="inlineStr">
        <is>
          <t>m3/d</t>
        </is>
      </c>
      <c r="K35" s="18" t="inlineStr">
        <is>
          <t>1天</t>
        </is>
      </c>
      <c r="L35" s="18" t="n"/>
      <c r="M35" s="18" t="n"/>
      <c r="N35" s="18" t="n"/>
      <c r="O35" s="18" t="n"/>
      <c r="P35" s="52" t="n">
        <v>11.7</v>
      </c>
      <c r="Q35" s="18" t="inlineStr">
        <is>
          <t>m3/d</t>
        </is>
      </c>
      <c r="R35" s="18" t="inlineStr">
        <is>
          <t>+</t>
        </is>
      </c>
      <c r="S35" s="18" t="inlineStr">
        <is>
          <t>否</t>
        </is>
      </c>
      <c r="T35" s="18" t="inlineStr">
        <is>
          <t>来源原始清单（未分配）</t>
        </is>
      </c>
      <c r="U35" s="18" t="inlineStr">
        <is>
          <t>SRC-RAW</t>
        </is>
      </c>
      <c r="V35" s="18" t="inlineStr">
        <is>
          <t>已审查</t>
        </is>
      </c>
      <c r="W35" s="18" t="inlineStr">
        <is>
          <t>是</t>
        </is>
      </c>
      <c r="X35" s="18" t="inlineStr">
        <is>
          <t>WPI浓缩液出厂（主产品） 11.7</t>
        </is>
      </c>
      <c r="Y35" s="18" t="inlineStr">
        <is>
          <t>系统边界=WPI浓缩液出厂；11.7 m³/d 与 8_UF1→9_DI 主流 FL-WPI 一致（无损失报告）</t>
        </is>
      </c>
      <c r="Z35" t="inlineStr">
        <is>
          <t>CT-O-WPI</t>
        </is>
      </c>
      <c r="AA35" t="inlineStr">
        <is>
          <t>直接报告</t>
        </is>
      </c>
      <c r="AB35" t="inlineStr">
        <is>
          <t>体积 m3/d（SRC-RAW）</t>
        </is>
      </c>
      <c r="AC35" t="inlineStr">
        <is>
          <t>1天生产</t>
        </is>
      </c>
    </row>
    <row r="36">
      <c r="A36" s="18" t="inlineStr">
        <is>
          <t>FL-NH3-03</t>
        </is>
      </c>
      <c r="B36" s="18" t="inlineStr">
        <is>
          <t>PR03</t>
        </is>
      </c>
      <c r="C36" s="18" t="inlineStr">
        <is>
          <t>PR03 制冷剂NH3</t>
        </is>
      </c>
      <c r="D36" s="18" t="inlineStr">
        <is>
          <t>物理流</t>
        </is>
      </c>
      <c r="E36" s="18" t="inlineStr">
        <is>
          <t>输入</t>
        </is>
      </c>
      <c r="F36" s="18" t="n"/>
      <c r="G36" s="18" t="inlineStr">
        <is>
          <t>PR03</t>
        </is>
      </c>
      <c r="H36" s="18" t="inlineStr">
        <is>
          <t>physical_material</t>
        </is>
      </c>
      <c r="I36" s="51" t="n">
        <v>0.008399999999999999</v>
      </c>
      <c r="J36" s="18" t="inlineStr">
        <is>
          <t>m3/d</t>
        </is>
      </c>
      <c r="K36" s="18" t="inlineStr">
        <is>
          <t>1天</t>
        </is>
      </c>
      <c r="L36" s="18" t="n"/>
      <c r="M36" s="18" t="n"/>
      <c r="N36" s="18" t="n"/>
      <c r="O36" s="18" t="n"/>
      <c r="P36" s="52" t="n">
        <v>0.008399999999999999</v>
      </c>
      <c r="Q36" s="18" t="inlineStr">
        <is>
          <t>m3/d</t>
        </is>
      </c>
      <c r="R36" s="18" t="inlineStr">
        <is>
          <t>+</t>
        </is>
      </c>
      <c r="S36" s="18" t="inlineStr">
        <is>
          <t>否</t>
        </is>
      </c>
      <c r="T36" s="18" t="inlineStr">
        <is>
          <t>来源原始清单（未分配）</t>
        </is>
      </c>
      <c r="U36" s="18" t="inlineStr">
        <is>
          <t>SRC-RAW</t>
        </is>
      </c>
      <c r="V36" s="18" t="inlineStr">
        <is>
          <t>已审查</t>
        </is>
      </c>
      <c r="W36" s="18" t="inlineStr">
        <is>
          <t>否</t>
        </is>
      </c>
      <c r="X36" s="18" t="inlineStr">
        <is>
          <t>PR03 制冷剂NH3 0.0084</t>
        </is>
      </c>
      <c r="Y36" s="18" t="inlineStr">
        <is>
          <t>单位按原文；NH3 1_RCS为m3/d</t>
        </is>
      </c>
      <c r="Z36" t="inlineStr">
        <is>
          <t>CT-NH3-03</t>
        </is>
      </c>
      <c r="AA36" t="inlineStr">
        <is>
          <t>直接报告</t>
        </is>
      </c>
      <c r="AB36" t="inlineStr">
        <is>
          <t>1天生产</t>
        </is>
      </c>
      <c r="AC36" t="inlineStr">
        <is>
          <t>1天生产</t>
        </is>
      </c>
    </row>
    <row r="37">
      <c r="A37" s="18" t="inlineStr">
        <is>
          <t>FL-NH3-05</t>
        </is>
      </c>
      <c r="B37" s="18" t="inlineStr">
        <is>
          <t>PR05</t>
        </is>
      </c>
      <c r="C37" s="18" t="inlineStr">
        <is>
          <t>PR05 制冷剂NH3</t>
        </is>
      </c>
      <c r="D37" s="18" t="inlineStr">
        <is>
          <t>物理流</t>
        </is>
      </c>
      <c r="E37" s="18" t="inlineStr">
        <is>
          <t>输入</t>
        </is>
      </c>
      <c r="F37" s="18" t="n"/>
      <c r="G37" s="18" t="inlineStr">
        <is>
          <t>PR05</t>
        </is>
      </c>
      <c r="H37" s="18" t="inlineStr">
        <is>
          <t>physical_material</t>
        </is>
      </c>
      <c r="I37" s="51" t="n">
        <v>0.0127</v>
      </c>
      <c r="J37" s="18" t="inlineStr">
        <is>
          <t>kg/d</t>
        </is>
      </c>
      <c r="K37" s="18" t="inlineStr">
        <is>
          <t>1天</t>
        </is>
      </c>
      <c r="L37" s="18" t="n"/>
      <c r="M37" s="18" t="n"/>
      <c r="N37" s="18" t="n"/>
      <c r="O37" s="18" t="n"/>
      <c r="P37" s="52" t="n">
        <v>0.0127</v>
      </c>
      <c r="Q37" s="18" t="inlineStr">
        <is>
          <t>kg/d</t>
        </is>
      </c>
      <c r="R37" s="18" t="inlineStr">
        <is>
          <t>+</t>
        </is>
      </c>
      <c r="S37" s="18" t="inlineStr">
        <is>
          <t>否</t>
        </is>
      </c>
      <c r="T37" s="18" t="inlineStr">
        <is>
          <t>来源原始清单（未分配）</t>
        </is>
      </c>
      <c r="U37" s="18" t="inlineStr">
        <is>
          <t>SRC-RAW</t>
        </is>
      </c>
      <c r="V37" s="18" t="inlineStr">
        <is>
          <t>已审查</t>
        </is>
      </c>
      <c r="W37" s="18" t="inlineStr">
        <is>
          <t>否</t>
        </is>
      </c>
      <c r="X37" s="18" t="inlineStr">
        <is>
          <t>PR05 制冷剂NH3 0.0127</t>
        </is>
      </c>
      <c r="Y37" s="18" t="inlineStr">
        <is>
          <t>单位按原文；NH3 1_RCS为m3/d</t>
        </is>
      </c>
      <c r="Z37" t="inlineStr">
        <is>
          <t>CT-NH3-05</t>
        </is>
      </c>
      <c r="AA37" t="inlineStr">
        <is>
          <t>直接报告</t>
        </is>
      </c>
      <c r="AB37" t="inlineStr">
        <is>
          <t>1天生产</t>
        </is>
      </c>
      <c r="AC37" t="inlineStr">
        <is>
          <t>1天生产</t>
        </is>
      </c>
    </row>
    <row r="38">
      <c r="A38" s="18" t="inlineStr">
        <is>
          <t>FL-NH3-06</t>
        </is>
      </c>
      <c r="B38" s="18" t="inlineStr">
        <is>
          <t>PR06</t>
        </is>
      </c>
      <c r="C38" s="18" t="inlineStr">
        <is>
          <t>PR06 制冷剂NH3</t>
        </is>
      </c>
      <c r="D38" s="18" t="inlineStr">
        <is>
          <t>物理流</t>
        </is>
      </c>
      <c r="E38" s="18" t="inlineStr">
        <is>
          <t>输入</t>
        </is>
      </c>
      <c r="F38" s="18" t="n"/>
      <c r="G38" s="18" t="inlineStr">
        <is>
          <t>PR06</t>
        </is>
      </c>
      <c r="H38" s="18" t="inlineStr">
        <is>
          <t>physical_material</t>
        </is>
      </c>
      <c r="I38" s="51" t="n">
        <v>0.0257</v>
      </c>
      <c r="J38" s="18" t="inlineStr">
        <is>
          <t>kg/d</t>
        </is>
      </c>
      <c r="K38" s="18" t="inlineStr">
        <is>
          <t>1天</t>
        </is>
      </c>
      <c r="L38" s="18" t="n"/>
      <c r="M38" s="18" t="n"/>
      <c r="N38" s="18" t="n"/>
      <c r="O38" s="18" t="n"/>
      <c r="P38" s="52" t="n">
        <v>0.0257</v>
      </c>
      <c r="Q38" s="18" t="inlineStr">
        <is>
          <t>kg/d</t>
        </is>
      </c>
      <c r="R38" s="18" t="inlineStr">
        <is>
          <t>+</t>
        </is>
      </c>
      <c r="S38" s="18" t="inlineStr">
        <is>
          <t>否</t>
        </is>
      </c>
      <c r="T38" s="18" t="inlineStr">
        <is>
          <t>来源原始清单（未分配）</t>
        </is>
      </c>
      <c r="U38" s="18" t="inlineStr">
        <is>
          <t>SRC-RAW</t>
        </is>
      </c>
      <c r="V38" s="18" t="inlineStr">
        <is>
          <t>已审查</t>
        </is>
      </c>
      <c r="W38" s="18" t="inlineStr">
        <is>
          <t>否</t>
        </is>
      </c>
      <c r="X38" s="18" t="inlineStr">
        <is>
          <t>PR06 制冷剂NH3 0.0257</t>
        </is>
      </c>
      <c r="Y38" s="18" t="inlineStr">
        <is>
          <t>单位按原文；NH3 1_RCS为m3/d</t>
        </is>
      </c>
      <c r="Z38" t="inlineStr">
        <is>
          <t>CT-NH3-06</t>
        </is>
      </c>
      <c r="AA38" t="inlineStr">
        <is>
          <t>直接报告</t>
        </is>
      </c>
      <c r="AB38" t="inlineStr">
        <is>
          <t>1天生产</t>
        </is>
      </c>
      <c r="AC38" t="inlineStr">
        <is>
          <t>1天生产</t>
        </is>
      </c>
    </row>
    <row r="39">
      <c r="A39" s="18" t="inlineStr">
        <is>
          <t>FL-NH3-08</t>
        </is>
      </c>
      <c r="B39" s="18" t="inlineStr">
        <is>
          <t>PR08</t>
        </is>
      </c>
      <c r="C39" s="18" t="inlineStr">
        <is>
          <t>PR08 制冷剂NH3</t>
        </is>
      </c>
      <c r="D39" s="18" t="inlineStr">
        <is>
          <t>物理流</t>
        </is>
      </c>
      <c r="E39" s="18" t="inlineStr">
        <is>
          <t>输入</t>
        </is>
      </c>
      <c r="F39" s="18" t="n"/>
      <c r="G39" s="18" t="inlineStr">
        <is>
          <t>PR08</t>
        </is>
      </c>
      <c r="H39" s="18" t="inlineStr">
        <is>
          <t>physical_material</t>
        </is>
      </c>
      <c r="I39" s="51" t="n">
        <v>0.0001</v>
      </c>
      <c r="J39" s="18" t="inlineStr">
        <is>
          <t>m3/d</t>
        </is>
      </c>
      <c r="K39" s="18" t="inlineStr">
        <is>
          <t>1天</t>
        </is>
      </c>
      <c r="L39" s="18" t="n"/>
      <c r="M39" s="18" t="n"/>
      <c r="N39" s="18" t="n"/>
      <c r="O39" s="18" t="n"/>
      <c r="P39" s="52" t="n">
        <v>0.0001</v>
      </c>
      <c r="Q39" s="18" t="inlineStr">
        <is>
          <t>m3/d</t>
        </is>
      </c>
      <c r="R39" s="18" t="inlineStr">
        <is>
          <t>+</t>
        </is>
      </c>
      <c r="S39" s="18" t="inlineStr">
        <is>
          <t>否</t>
        </is>
      </c>
      <c r="T39" s="18" t="inlineStr">
        <is>
          <t>来源原始清单（未分配）</t>
        </is>
      </c>
      <c r="U39" s="18" t="inlineStr">
        <is>
          <t>SRC-RAW</t>
        </is>
      </c>
      <c r="V39" s="18" t="inlineStr">
        <is>
          <t>已审查</t>
        </is>
      </c>
      <c r="W39" s="18" t="inlineStr">
        <is>
          <t>否</t>
        </is>
      </c>
      <c r="X39" s="18" t="inlineStr">
        <is>
          <t>PR08 制冷剂NH3 0.0001</t>
        </is>
      </c>
      <c r="Y39" s="18" t="inlineStr">
        <is>
          <t>单位按原文；NH3 1_RCS为m3/d</t>
        </is>
      </c>
      <c r="Z39" t="inlineStr">
        <is>
          <t>CT-NH3-08</t>
        </is>
      </c>
      <c r="AA39" t="inlineStr">
        <is>
          <t>直接报告</t>
        </is>
      </c>
      <c r="AB39" t="inlineStr">
        <is>
          <t>1天生产</t>
        </is>
      </c>
      <c r="AC39" t="inlineStr">
        <is>
          <t>1天生产</t>
        </is>
      </c>
    </row>
    <row r="40">
      <c r="A40" s="18" t="inlineStr">
        <is>
          <t>FL-NH3-09</t>
        </is>
      </c>
      <c r="B40" s="18" t="inlineStr">
        <is>
          <t>PR09</t>
        </is>
      </c>
      <c r="C40" s="18" t="inlineStr">
        <is>
          <t>PR09 制冷剂NH3</t>
        </is>
      </c>
      <c r="D40" s="18" t="inlineStr">
        <is>
          <t>物理流</t>
        </is>
      </c>
      <c r="E40" s="18" t="inlineStr">
        <is>
          <t>输入</t>
        </is>
      </c>
      <c r="F40" s="18" t="n"/>
      <c r="G40" s="18" t="inlineStr">
        <is>
          <t>PR09</t>
        </is>
      </c>
      <c r="H40" s="18" t="inlineStr">
        <is>
          <t>physical_material</t>
        </is>
      </c>
      <c r="I40" s="51" t="n">
        <v>0.00116</v>
      </c>
      <c r="J40" s="18" t="inlineStr">
        <is>
          <t>m3/d</t>
        </is>
      </c>
      <c r="K40" s="18" t="inlineStr">
        <is>
          <t>1天</t>
        </is>
      </c>
      <c r="L40" s="18" t="n"/>
      <c r="M40" s="18" t="n"/>
      <c r="N40" s="18" t="n"/>
      <c r="O40" s="18" t="n"/>
      <c r="P40" s="52" t="n">
        <v>0.00116</v>
      </c>
      <c r="Q40" s="18" t="inlineStr">
        <is>
          <t>m3/d</t>
        </is>
      </c>
      <c r="R40" s="18" t="inlineStr">
        <is>
          <t>+</t>
        </is>
      </c>
      <c r="S40" s="18" t="inlineStr">
        <is>
          <t>否</t>
        </is>
      </c>
      <c r="T40" s="18" t="inlineStr">
        <is>
          <t>来源原始清单（未分配）</t>
        </is>
      </c>
      <c r="U40" s="18" t="inlineStr">
        <is>
          <t>SRC-RAW</t>
        </is>
      </c>
      <c r="V40" s="18" t="inlineStr">
        <is>
          <t>已审查</t>
        </is>
      </c>
      <c r="W40" s="18" t="inlineStr">
        <is>
          <t>否</t>
        </is>
      </c>
      <c r="X40" s="18" t="inlineStr">
        <is>
          <t>PR09 制冷剂NH3 0.00116</t>
        </is>
      </c>
      <c r="Y40" s="18" t="inlineStr">
        <is>
          <t>单位按原文；NH3 1_RCS为m3/d</t>
        </is>
      </c>
      <c r="Z40" t="inlineStr">
        <is>
          <t>CT-NH3-09</t>
        </is>
      </c>
      <c r="AA40" t="inlineStr">
        <is>
          <t>直接报告</t>
        </is>
      </c>
      <c r="AB40" t="inlineStr">
        <is>
          <t>1天生产</t>
        </is>
      </c>
      <c r="AC40" t="inlineStr">
        <is>
          <t>1天生产</t>
        </is>
      </c>
    </row>
    <row r="41">
      <c r="A41" s="18" t="inlineStr">
        <is>
          <t>FL-NH3-12</t>
        </is>
      </c>
      <c r="B41" s="18" t="inlineStr">
        <is>
          <t>PR12</t>
        </is>
      </c>
      <c r="C41" s="18" t="inlineStr">
        <is>
          <t>PR12 制冷剂NH3</t>
        </is>
      </c>
      <c r="D41" s="18" t="inlineStr">
        <is>
          <t>物理流</t>
        </is>
      </c>
      <c r="E41" s="18" t="inlineStr">
        <is>
          <t>输入</t>
        </is>
      </c>
      <c r="F41" s="18" t="n"/>
      <c r="G41" s="18" t="inlineStr">
        <is>
          <t>PR12</t>
        </is>
      </c>
      <c r="H41" s="18" t="inlineStr">
        <is>
          <t>physical_material</t>
        </is>
      </c>
      <c r="I41" s="51" t="n">
        <v>0.0032</v>
      </c>
      <c r="J41" s="18" t="inlineStr">
        <is>
          <t>m3/d</t>
        </is>
      </c>
      <c r="K41" s="18" t="inlineStr">
        <is>
          <t>1天</t>
        </is>
      </c>
      <c r="L41" s="18" t="n"/>
      <c r="M41" s="18" t="n"/>
      <c r="N41" s="18" t="n"/>
      <c r="O41" s="18" t="n"/>
      <c r="P41" s="52" t="n">
        <v>0.0032</v>
      </c>
      <c r="Q41" s="18" t="inlineStr">
        <is>
          <t>m3/d</t>
        </is>
      </c>
      <c r="R41" s="18" t="inlineStr">
        <is>
          <t>+</t>
        </is>
      </c>
      <c r="S41" s="18" t="inlineStr">
        <is>
          <t>否</t>
        </is>
      </c>
      <c r="T41" s="18" t="inlineStr">
        <is>
          <t>来源原始清单（未分配）</t>
        </is>
      </c>
      <c r="U41" s="18" t="inlineStr">
        <is>
          <t>SRC-RAW</t>
        </is>
      </c>
      <c r="V41" s="18" t="inlineStr">
        <is>
          <t>已审查</t>
        </is>
      </c>
      <c r="W41" s="18" t="inlineStr">
        <is>
          <t>否</t>
        </is>
      </c>
      <c r="X41" s="18" t="inlineStr">
        <is>
          <t>PR12 制冷剂NH3 0.0032</t>
        </is>
      </c>
      <c r="Y41" s="18" t="inlineStr">
        <is>
          <t>单位按原文；NH3 1_RCS为m3/d</t>
        </is>
      </c>
      <c r="Z41" t="inlineStr">
        <is>
          <t>CT-NH3-12</t>
        </is>
      </c>
      <c r="AA41" t="inlineStr">
        <is>
          <t>直接报告</t>
        </is>
      </c>
      <c r="AB41" t="inlineStr">
        <is>
          <t>1天生产</t>
        </is>
      </c>
      <c r="AC41" t="inlineStr">
        <is>
          <t>1天生产</t>
        </is>
      </c>
    </row>
    <row r="42">
      <c r="A42" s="18" t="inlineStr">
        <is>
          <t>FL-CW-02</t>
        </is>
      </c>
      <c r="B42" s="18" t="inlineStr">
        <is>
          <t>PR02</t>
        </is>
      </c>
      <c r="C42" s="18" t="inlineStr">
        <is>
          <t>PR02 泵冷却水</t>
        </is>
      </c>
      <c r="D42" s="18" t="inlineStr">
        <is>
          <t>物理流</t>
        </is>
      </c>
      <c r="E42" s="18" t="inlineStr">
        <is>
          <t>输入</t>
        </is>
      </c>
      <c r="F42" s="18" t="n"/>
      <c r="G42" s="18" t="inlineStr">
        <is>
          <t>PR02</t>
        </is>
      </c>
      <c r="H42" s="18" t="inlineStr">
        <is>
          <t>physical_material</t>
        </is>
      </c>
      <c r="I42" s="51" t="n">
        <v>4</v>
      </c>
      <c r="J42" s="18" t="inlineStr">
        <is>
          <t>m3/d</t>
        </is>
      </c>
      <c r="K42" s="18" t="inlineStr">
        <is>
          <t>1天</t>
        </is>
      </c>
      <c r="L42" s="18" t="n"/>
      <c r="M42" s="18" t="n"/>
      <c r="N42" s="18" t="n"/>
      <c r="O42" s="18" t="n"/>
      <c r="P42" s="52" t="n">
        <v>4</v>
      </c>
      <c r="Q42" s="18" t="inlineStr">
        <is>
          <t>m3/d</t>
        </is>
      </c>
      <c r="R42" s="18" t="inlineStr">
        <is>
          <t>+</t>
        </is>
      </c>
      <c r="S42" s="18" t="inlineStr">
        <is>
          <t>否</t>
        </is>
      </c>
      <c r="T42" s="18" t="inlineStr">
        <is>
          <t>来源原始清单（未分配）</t>
        </is>
      </c>
      <c r="U42" s="18" t="inlineStr">
        <is>
          <t>SRC-RAW</t>
        </is>
      </c>
      <c r="V42" s="18" t="inlineStr">
        <is>
          <t>已审查</t>
        </is>
      </c>
      <c r="W42" s="18" t="inlineStr">
        <is>
          <t>是</t>
        </is>
      </c>
      <c r="X42" s="18" t="inlineStr">
        <is>
          <t>PR02 泵冷却水 4.0</t>
        </is>
      </c>
      <c r="Y42" s="18" t="inlineStr"/>
      <c r="Z42" t="inlineStr">
        <is>
          <t>CT-CW-02</t>
        </is>
      </c>
      <c r="AA42" t="inlineStr">
        <is>
          <t>直接报告</t>
        </is>
      </c>
      <c r="AB42" t="inlineStr">
        <is>
          <t>1天生产</t>
        </is>
      </c>
      <c r="AC42" t="inlineStr">
        <is>
          <t>1天生产</t>
        </is>
      </c>
    </row>
    <row r="43">
      <c r="A43" s="18" t="inlineStr">
        <is>
          <t>FL-CW-03</t>
        </is>
      </c>
      <c r="B43" s="18" t="inlineStr">
        <is>
          <t>PR03</t>
        </is>
      </c>
      <c r="C43" s="18" t="inlineStr">
        <is>
          <t>PR03 泵冷却水</t>
        </is>
      </c>
      <c r="D43" s="18" t="inlineStr">
        <is>
          <t>物理流</t>
        </is>
      </c>
      <c r="E43" s="18" t="inlineStr">
        <is>
          <t>输入</t>
        </is>
      </c>
      <c r="F43" s="18" t="n"/>
      <c r="G43" s="18" t="inlineStr">
        <is>
          <t>PR03</t>
        </is>
      </c>
      <c r="H43" s="18" t="inlineStr">
        <is>
          <t>physical_material</t>
        </is>
      </c>
      <c r="I43" s="51" t="n">
        <v>2</v>
      </c>
      <c r="J43" s="18" t="inlineStr">
        <is>
          <t>m3/d</t>
        </is>
      </c>
      <c r="K43" s="18" t="inlineStr">
        <is>
          <t>1天</t>
        </is>
      </c>
      <c r="L43" s="18" t="n"/>
      <c r="M43" s="18" t="n"/>
      <c r="N43" s="18" t="n"/>
      <c r="O43" s="18" t="n"/>
      <c r="P43" s="52" t="n">
        <v>2</v>
      </c>
      <c r="Q43" s="18" t="inlineStr">
        <is>
          <t>m3/d</t>
        </is>
      </c>
      <c r="R43" s="18" t="inlineStr">
        <is>
          <t>+</t>
        </is>
      </c>
      <c r="S43" s="18" t="inlineStr">
        <is>
          <t>否</t>
        </is>
      </c>
      <c r="T43" s="18" t="inlineStr">
        <is>
          <t>来源原始清单（未分配）</t>
        </is>
      </c>
      <c r="U43" s="18" t="inlineStr">
        <is>
          <t>SRC-RAW</t>
        </is>
      </c>
      <c r="V43" s="18" t="inlineStr">
        <is>
          <t>已审查</t>
        </is>
      </c>
      <c r="W43" s="18" t="inlineStr">
        <is>
          <t>是</t>
        </is>
      </c>
      <c r="X43" s="18" t="inlineStr">
        <is>
          <t>PR03 泵冷却水 2.0</t>
        </is>
      </c>
      <c r="Y43" s="18" t="inlineStr"/>
      <c r="Z43" t="inlineStr">
        <is>
          <t>CT-CW-03</t>
        </is>
      </c>
      <c r="AA43" t="inlineStr">
        <is>
          <t>直接报告</t>
        </is>
      </c>
      <c r="AB43" t="inlineStr">
        <is>
          <t>1天生产</t>
        </is>
      </c>
      <c r="AC43" t="inlineStr">
        <is>
          <t>1天生产</t>
        </is>
      </c>
    </row>
    <row r="44">
      <c r="A44" s="18" t="inlineStr">
        <is>
          <t>FL-CW-05</t>
        </is>
      </c>
      <c r="B44" s="18" t="inlineStr">
        <is>
          <t>PR05</t>
        </is>
      </c>
      <c r="C44" s="18" t="inlineStr">
        <is>
          <t>PR05 泵冷却水</t>
        </is>
      </c>
      <c r="D44" s="18" t="inlineStr">
        <is>
          <t>物理流</t>
        </is>
      </c>
      <c r="E44" s="18" t="inlineStr">
        <is>
          <t>输入</t>
        </is>
      </c>
      <c r="F44" s="18" t="n"/>
      <c r="G44" s="18" t="inlineStr">
        <is>
          <t>PR05</t>
        </is>
      </c>
      <c r="H44" s="18" t="inlineStr">
        <is>
          <t>physical_material</t>
        </is>
      </c>
      <c r="I44" s="51" t="n">
        <v>7</v>
      </c>
      <c r="J44" s="18" t="inlineStr">
        <is>
          <t>m3/d</t>
        </is>
      </c>
      <c r="K44" s="18" t="inlineStr">
        <is>
          <t>1天</t>
        </is>
      </c>
      <c r="L44" s="18" t="n"/>
      <c r="M44" s="18" t="n"/>
      <c r="N44" s="18" t="n"/>
      <c r="O44" s="18" t="n"/>
      <c r="P44" s="52" t="n">
        <v>7</v>
      </c>
      <c r="Q44" s="18" t="inlineStr">
        <is>
          <t>m3/d</t>
        </is>
      </c>
      <c r="R44" s="18" t="inlineStr">
        <is>
          <t>+</t>
        </is>
      </c>
      <c r="S44" s="18" t="inlineStr">
        <is>
          <t>否</t>
        </is>
      </c>
      <c r="T44" s="18" t="inlineStr">
        <is>
          <t>来源原始清单（未分配）</t>
        </is>
      </c>
      <c r="U44" s="18" t="inlineStr">
        <is>
          <t>SRC-RAW</t>
        </is>
      </c>
      <c r="V44" s="18" t="inlineStr">
        <is>
          <t>已审查</t>
        </is>
      </c>
      <c r="W44" s="18" t="inlineStr">
        <is>
          <t>是</t>
        </is>
      </c>
      <c r="X44" s="18" t="inlineStr">
        <is>
          <t>PR05 泵冷却水 7.0</t>
        </is>
      </c>
      <c r="Y44" s="18" t="inlineStr"/>
      <c r="Z44" t="inlineStr">
        <is>
          <t>CT-CW-05</t>
        </is>
      </c>
      <c r="AA44" t="inlineStr">
        <is>
          <t>直接报告</t>
        </is>
      </c>
      <c r="AB44" t="inlineStr">
        <is>
          <t>1天生产</t>
        </is>
      </c>
      <c r="AC44" t="inlineStr">
        <is>
          <t>1天生产</t>
        </is>
      </c>
    </row>
    <row r="45">
      <c r="A45" s="18" t="inlineStr">
        <is>
          <t>FL-CW-06</t>
        </is>
      </c>
      <c r="B45" s="18" t="inlineStr">
        <is>
          <t>PR06</t>
        </is>
      </c>
      <c r="C45" s="18" t="inlineStr">
        <is>
          <t>PR06 泵冷却水</t>
        </is>
      </c>
      <c r="D45" s="18" t="inlineStr">
        <is>
          <t>物理流</t>
        </is>
      </c>
      <c r="E45" s="18" t="inlineStr">
        <is>
          <t>输入</t>
        </is>
      </c>
      <c r="F45" s="18" t="n"/>
      <c r="G45" s="18" t="inlineStr">
        <is>
          <t>PR06</t>
        </is>
      </c>
      <c r="H45" s="18" t="inlineStr">
        <is>
          <t>physical_material</t>
        </is>
      </c>
      <c r="I45" s="51" t="n">
        <v>1.8</v>
      </c>
      <c r="J45" s="18" t="inlineStr">
        <is>
          <t>m3/d</t>
        </is>
      </c>
      <c r="K45" s="18" t="inlineStr">
        <is>
          <t>1天</t>
        </is>
      </c>
      <c r="L45" s="18" t="n"/>
      <c r="M45" s="18" t="n"/>
      <c r="N45" s="18" t="n"/>
      <c r="O45" s="18" t="n"/>
      <c r="P45" s="52" t="n">
        <v>1.8</v>
      </c>
      <c r="Q45" s="18" t="inlineStr">
        <is>
          <t>m3/d</t>
        </is>
      </c>
      <c r="R45" s="18" t="inlineStr">
        <is>
          <t>+</t>
        </is>
      </c>
      <c r="S45" s="18" t="inlineStr">
        <is>
          <t>否</t>
        </is>
      </c>
      <c r="T45" s="18" t="inlineStr">
        <is>
          <t>来源原始清单（未分配）</t>
        </is>
      </c>
      <c r="U45" s="18" t="inlineStr">
        <is>
          <t>SRC-RAW</t>
        </is>
      </c>
      <c r="V45" s="18" t="inlineStr">
        <is>
          <t>已审查</t>
        </is>
      </c>
      <c r="W45" s="18" t="inlineStr">
        <is>
          <t>是</t>
        </is>
      </c>
      <c r="X45" s="18" t="inlineStr">
        <is>
          <t>PR06 泵冷却水 1.8</t>
        </is>
      </c>
      <c r="Y45" s="18" t="inlineStr"/>
      <c r="Z45" t="inlineStr">
        <is>
          <t>CT-CW-06</t>
        </is>
      </c>
      <c r="AA45" t="inlineStr">
        <is>
          <t>直接报告</t>
        </is>
      </c>
      <c r="AB45" t="inlineStr">
        <is>
          <t>1天生产</t>
        </is>
      </c>
      <c r="AC45" t="inlineStr">
        <is>
          <t>1天生产</t>
        </is>
      </c>
    </row>
    <row r="46">
      <c r="A46" s="18" t="inlineStr">
        <is>
          <t>FL-CW-08</t>
        </is>
      </c>
      <c r="B46" s="18" t="inlineStr">
        <is>
          <t>PR08</t>
        </is>
      </c>
      <c r="C46" s="18" t="inlineStr">
        <is>
          <t>PR08 泵冷却水</t>
        </is>
      </c>
      <c r="D46" s="18" t="inlineStr">
        <is>
          <t>物理流</t>
        </is>
      </c>
      <c r="E46" s="18" t="inlineStr">
        <is>
          <t>输入</t>
        </is>
      </c>
      <c r="F46" s="18" t="n"/>
      <c r="G46" s="18" t="inlineStr">
        <is>
          <t>PR08</t>
        </is>
      </c>
      <c r="H46" s="18" t="inlineStr">
        <is>
          <t>physical_material</t>
        </is>
      </c>
      <c r="I46" s="51" t="n">
        <v>12</v>
      </c>
      <c r="J46" s="18" t="inlineStr">
        <is>
          <t>m3/d</t>
        </is>
      </c>
      <c r="K46" s="18" t="inlineStr">
        <is>
          <t>1天</t>
        </is>
      </c>
      <c r="L46" s="18" t="n"/>
      <c r="M46" s="18" t="n"/>
      <c r="N46" s="18" t="n"/>
      <c r="O46" s="18" t="n"/>
      <c r="P46" s="52" t="n">
        <v>12</v>
      </c>
      <c r="Q46" s="18" t="inlineStr">
        <is>
          <t>m3/d</t>
        </is>
      </c>
      <c r="R46" s="18" t="inlineStr">
        <is>
          <t>+</t>
        </is>
      </c>
      <c r="S46" s="18" t="inlineStr">
        <is>
          <t>否</t>
        </is>
      </c>
      <c r="T46" s="18" t="inlineStr">
        <is>
          <t>来源原始清单（未分配）</t>
        </is>
      </c>
      <c r="U46" s="18" t="inlineStr">
        <is>
          <t>SRC-RAW</t>
        </is>
      </c>
      <c r="V46" s="18" t="inlineStr">
        <is>
          <t>已审查</t>
        </is>
      </c>
      <c r="W46" s="18" t="inlineStr">
        <is>
          <t>是</t>
        </is>
      </c>
      <c r="X46" s="18" t="inlineStr">
        <is>
          <t>PR08 泵冷却水 12.0</t>
        </is>
      </c>
      <c r="Y46" s="18" t="inlineStr"/>
      <c r="Z46" t="inlineStr">
        <is>
          <t>CT-CW-08</t>
        </is>
      </c>
      <c r="AA46" t="inlineStr">
        <is>
          <t>直接报告</t>
        </is>
      </c>
      <c r="AB46" t="inlineStr">
        <is>
          <t>1天生产</t>
        </is>
      </c>
      <c r="AC46" t="inlineStr">
        <is>
          <t>1天生产</t>
        </is>
      </c>
    </row>
    <row r="47">
      <c r="A47" s="18" t="inlineStr">
        <is>
          <t>FL-CLE-01</t>
        </is>
      </c>
      <c r="B47" s="18" t="inlineStr">
        <is>
          <t>PR01</t>
        </is>
      </c>
      <c r="C47" s="18" t="inlineStr">
        <is>
          <t>电力（清洗）</t>
        </is>
      </c>
      <c r="D47" s="18" t="inlineStr">
        <is>
          <t>能源</t>
        </is>
      </c>
      <c r="E47" s="18" t="inlineStr">
        <is>
          <t>输入</t>
        </is>
      </c>
      <c r="F47" s="18" t="n"/>
      <c r="G47" s="18" t="inlineStr">
        <is>
          <t>PR01</t>
        </is>
      </c>
      <c r="H47" s="18" t="inlineStr">
        <is>
          <t>physical_energy</t>
        </is>
      </c>
      <c r="I47" s="51" t="n">
        <v>39</v>
      </c>
      <c r="J47" s="18" t="inlineStr">
        <is>
          <t>kWh/d</t>
        </is>
      </c>
      <c r="K47" s="18" t="inlineStr">
        <is>
          <t>1天</t>
        </is>
      </c>
      <c r="L47" s="18" t="n"/>
      <c r="M47" s="18" t="n"/>
      <c r="N47" s="18" t="n"/>
      <c r="O47" s="18" t="n"/>
      <c r="P47" s="52" t="n">
        <v>39</v>
      </c>
      <c r="Q47" s="18" t="inlineStr">
        <is>
          <t>kWh/d</t>
        </is>
      </c>
      <c r="R47" s="18" t="inlineStr">
        <is>
          <t>+</t>
        </is>
      </c>
      <c r="S47" s="18" t="inlineStr">
        <is>
          <t>否</t>
        </is>
      </c>
      <c r="T47" s="18" t="inlineStr">
        <is>
          <t>来源原始清单（未分配）</t>
        </is>
      </c>
      <c r="U47" s="18" t="inlineStr">
        <is>
          <t>SRC-RAW</t>
        </is>
      </c>
      <c r="V47" s="18" t="inlineStr">
        <is>
          <t>已审查</t>
        </is>
      </c>
      <c r="W47" s="18" t="inlineStr">
        <is>
          <t>是</t>
        </is>
      </c>
      <c r="X47" s="18" t="inlineStr">
        <is>
          <t>PR01 清洗电耗 39.0</t>
        </is>
      </c>
      <c r="Y47" s="18" t="inlineStr">
        <is>
          <t>CIP</t>
        </is>
      </c>
      <c r="Z47" t="inlineStr">
        <is>
          <t>CT-CLE-01</t>
        </is>
      </c>
      <c r="AA47" t="inlineStr">
        <is>
          <t>直接报告</t>
        </is>
      </c>
      <c r="AB47" t="inlineStr">
        <is>
          <t>1天生产</t>
        </is>
      </c>
      <c r="AC47" t="inlineStr">
        <is>
          <t>1天生产</t>
        </is>
      </c>
    </row>
    <row r="48">
      <c r="A48" s="18" t="inlineStr">
        <is>
          <t>FL-CLH-01</t>
        </is>
      </c>
      <c r="B48" s="18" t="inlineStr">
        <is>
          <t>PR01</t>
        </is>
      </c>
      <c r="C48" s="18" t="inlineStr">
        <is>
          <t>热量（清洗）</t>
        </is>
      </c>
      <c r="D48" s="18" t="inlineStr">
        <is>
          <t>能源</t>
        </is>
      </c>
      <c r="E48" s="18" t="inlineStr">
        <is>
          <t>输入</t>
        </is>
      </c>
      <c r="F48" s="18" t="n"/>
      <c r="G48" s="18" t="inlineStr">
        <is>
          <t>PR01</t>
        </is>
      </c>
      <c r="H48" s="18" t="inlineStr">
        <is>
          <t>physical_energy</t>
        </is>
      </c>
      <c r="I48" s="51" t="n">
        <v>667.8</v>
      </c>
      <c r="J48" s="18" t="inlineStr">
        <is>
          <t>MJ/d</t>
        </is>
      </c>
      <c r="K48" s="18" t="inlineStr">
        <is>
          <t>1天</t>
        </is>
      </c>
      <c r="L48" s="18" t="n"/>
      <c r="M48" s="18" t="n"/>
      <c r="N48" s="18" t="n"/>
      <c r="O48" s="18" t="n"/>
      <c r="P48" s="52" t="n">
        <v>667.8</v>
      </c>
      <c r="Q48" s="18" t="inlineStr">
        <is>
          <t>MJ/d</t>
        </is>
      </c>
      <c r="R48" s="18" t="inlineStr">
        <is>
          <t>+</t>
        </is>
      </c>
      <c r="S48" s="18" t="inlineStr">
        <is>
          <t>否</t>
        </is>
      </c>
      <c r="T48" s="18" t="inlineStr">
        <is>
          <t>来源原始清单（未分配）</t>
        </is>
      </c>
      <c r="U48" s="18" t="inlineStr">
        <is>
          <t>SRC-RAW</t>
        </is>
      </c>
      <c r="V48" s="18" t="inlineStr">
        <is>
          <t>已审查</t>
        </is>
      </c>
      <c r="W48" s="18" t="inlineStr">
        <is>
          <t>是</t>
        </is>
      </c>
      <c r="X48" s="18" t="inlineStr">
        <is>
          <t>PR01 清洗热耗 667.8</t>
        </is>
      </c>
      <c r="Y48" s="18" t="inlineStr">
        <is>
          <t>CIP</t>
        </is>
      </c>
      <c r="Z48" t="inlineStr">
        <is>
          <t>CT-CLH-01</t>
        </is>
      </c>
      <c r="AA48" t="inlineStr">
        <is>
          <t>直接报告</t>
        </is>
      </c>
      <c r="AB48" t="inlineStr">
        <is>
          <t>1天生产</t>
        </is>
      </c>
      <c r="AC48" t="inlineStr">
        <is>
          <t>1天生产</t>
        </is>
      </c>
    </row>
    <row r="49">
      <c r="A49" s="18" t="inlineStr">
        <is>
          <t>FL-CLW-01</t>
        </is>
      </c>
      <c r="B49" s="18" t="inlineStr">
        <is>
          <t>PR01</t>
        </is>
      </c>
      <c r="C49" s="18" t="inlineStr">
        <is>
          <t>PR01 清洗水</t>
        </is>
      </c>
      <c r="D49" s="18" t="inlineStr">
        <is>
          <t>物理流</t>
        </is>
      </c>
      <c r="E49" s="18" t="inlineStr">
        <is>
          <t>输入</t>
        </is>
      </c>
      <c r="F49" s="18" t="n"/>
      <c r="G49" s="18" t="inlineStr">
        <is>
          <t>PR01</t>
        </is>
      </c>
      <c r="H49" s="18" t="inlineStr">
        <is>
          <t>physical_material</t>
        </is>
      </c>
      <c r="I49" s="51" t="n">
        <v>19.4</v>
      </c>
      <c r="J49" s="18" t="inlineStr">
        <is>
          <t>m3/d</t>
        </is>
      </c>
      <c r="K49" s="18" t="inlineStr">
        <is>
          <t>1天</t>
        </is>
      </c>
      <c r="L49" s="18" t="n"/>
      <c r="M49" s="18" t="n"/>
      <c r="N49" s="18" t="n"/>
      <c r="O49" s="18" t="n"/>
      <c r="P49" s="52" t="n">
        <v>19.4</v>
      </c>
      <c r="Q49" s="18" t="inlineStr">
        <is>
          <t>m3/d</t>
        </is>
      </c>
      <c r="R49" s="18" t="inlineStr">
        <is>
          <t>+</t>
        </is>
      </c>
      <c r="S49" s="18" t="inlineStr">
        <is>
          <t>否</t>
        </is>
      </c>
      <c r="T49" s="18" t="inlineStr">
        <is>
          <t>来源原始清单（未分配）</t>
        </is>
      </c>
      <c r="U49" s="18" t="inlineStr">
        <is>
          <t>SRC-RAW</t>
        </is>
      </c>
      <c r="V49" s="18" t="inlineStr">
        <is>
          <t>已审查</t>
        </is>
      </c>
      <c r="W49" s="18" t="inlineStr">
        <is>
          <t>否</t>
        </is>
      </c>
      <c r="X49" s="18" t="inlineStr">
        <is>
          <t>PR01 清洗水 19.4</t>
        </is>
      </c>
      <c r="Y49" s="18" t="inlineStr"/>
      <c r="Z49" t="inlineStr">
        <is>
          <t>CT-CLW-01</t>
        </is>
      </c>
      <c r="AA49" t="inlineStr">
        <is>
          <t>直接报告</t>
        </is>
      </c>
      <c r="AB49" t="inlineStr">
        <is>
          <t>1天生产</t>
        </is>
      </c>
      <c r="AC49" t="inlineStr">
        <is>
          <t>1天生产</t>
        </is>
      </c>
    </row>
    <row r="50">
      <c r="A50" s="18" t="inlineStr">
        <is>
          <t>FL-CLC-01A</t>
        </is>
      </c>
      <c r="B50" s="18" t="inlineStr">
        <is>
          <t>PR01</t>
        </is>
      </c>
      <c r="C50" s="18" t="inlineStr">
        <is>
          <t>PR01 清洗剂NaOH</t>
        </is>
      </c>
      <c r="D50" s="18" t="inlineStr">
        <is>
          <t>物理流</t>
        </is>
      </c>
      <c r="E50" s="18" t="inlineStr">
        <is>
          <t>输入</t>
        </is>
      </c>
      <c r="F50" s="18" t="n"/>
      <c r="G50" s="18" t="inlineStr">
        <is>
          <t>PR01</t>
        </is>
      </c>
      <c r="H50" s="18" t="inlineStr">
        <is>
          <t>physical_material</t>
        </is>
      </c>
      <c r="I50" s="51" t="n">
        <v>70.40000000000001</v>
      </c>
      <c r="J50" s="18" t="inlineStr">
        <is>
          <t>kg/d</t>
        </is>
      </c>
      <c r="K50" s="18" t="inlineStr">
        <is>
          <t>1天</t>
        </is>
      </c>
      <c r="L50" s="18" t="n"/>
      <c r="M50" s="18" t="n"/>
      <c r="N50" s="18" t="n"/>
      <c r="O50" s="18" t="n"/>
      <c r="P50" s="52" t="n">
        <v>70.40000000000001</v>
      </c>
      <c r="Q50" s="18" t="inlineStr">
        <is>
          <t>kg/d</t>
        </is>
      </c>
      <c r="R50" s="18" t="inlineStr">
        <is>
          <t>+</t>
        </is>
      </c>
      <c r="S50" s="18" t="inlineStr">
        <is>
          <t>否</t>
        </is>
      </c>
      <c r="T50" s="18" t="inlineStr">
        <is>
          <t>来源原始清单（未分配）</t>
        </is>
      </c>
      <c r="U50" s="18" t="inlineStr">
        <is>
          <t>SRC-RAW</t>
        </is>
      </c>
      <c r="V50" s="18" t="inlineStr">
        <is>
          <t>已审查</t>
        </is>
      </c>
      <c r="W50" s="18" t="inlineStr">
        <is>
          <t>否</t>
        </is>
      </c>
      <c r="X50" s="18" t="inlineStr">
        <is>
          <t>PR01 清洗剂NaOH 70.4</t>
        </is>
      </c>
      <c r="Y50" s="18" t="inlineStr">
        <is>
          <t>CIP清洗剂</t>
        </is>
      </c>
      <c r="Z50" t="inlineStr">
        <is>
          <t>CT-CLC-01A</t>
        </is>
      </c>
      <c r="AA50" t="inlineStr">
        <is>
          <t>直接报告</t>
        </is>
      </c>
      <c r="AB50" t="inlineStr">
        <is>
          <t>1天生产</t>
        </is>
      </c>
      <c r="AC50" t="inlineStr">
        <is>
          <t>1天生产</t>
        </is>
      </c>
    </row>
    <row r="51">
      <c r="A51" s="18" t="inlineStr">
        <is>
          <t>FL-CLC-01B</t>
        </is>
      </c>
      <c r="B51" s="18" t="inlineStr">
        <is>
          <t>PR01</t>
        </is>
      </c>
      <c r="C51" s="18" t="inlineStr">
        <is>
          <t>PR01 清洗剂HNO3</t>
        </is>
      </c>
      <c r="D51" s="18" t="inlineStr">
        <is>
          <t>物理流</t>
        </is>
      </c>
      <c r="E51" s="18" t="inlineStr">
        <is>
          <t>输入</t>
        </is>
      </c>
      <c r="F51" s="18" t="n"/>
      <c r="G51" s="18" t="inlineStr">
        <is>
          <t>PR01</t>
        </is>
      </c>
      <c r="H51" s="18" t="inlineStr">
        <is>
          <t>physical_material</t>
        </is>
      </c>
      <c r="I51" s="51" t="n">
        <v>28</v>
      </c>
      <c r="J51" s="18" t="inlineStr">
        <is>
          <t>kg/d</t>
        </is>
      </c>
      <c r="K51" s="18" t="inlineStr">
        <is>
          <t>1天</t>
        </is>
      </c>
      <c r="L51" s="18" t="n"/>
      <c r="M51" s="18" t="n"/>
      <c r="N51" s="18" t="n"/>
      <c r="O51" s="18" t="n"/>
      <c r="P51" s="52" t="n">
        <v>28</v>
      </c>
      <c r="Q51" s="18" t="inlineStr">
        <is>
          <t>kg/d</t>
        </is>
      </c>
      <c r="R51" s="18" t="inlineStr">
        <is>
          <t>+</t>
        </is>
      </c>
      <c r="S51" s="18" t="inlineStr">
        <is>
          <t>否</t>
        </is>
      </c>
      <c r="T51" s="18" t="inlineStr">
        <is>
          <t>来源原始清单（未分配）</t>
        </is>
      </c>
      <c r="U51" s="18" t="inlineStr">
        <is>
          <t>SRC-RAW</t>
        </is>
      </c>
      <c r="V51" s="18" t="inlineStr">
        <is>
          <t>已审查</t>
        </is>
      </c>
      <c r="W51" s="18" t="inlineStr">
        <is>
          <t>否</t>
        </is>
      </c>
      <c r="X51" s="18" t="inlineStr">
        <is>
          <t>PR01 清洗剂HNO3 28.0</t>
        </is>
      </c>
      <c r="Y51" s="18" t="inlineStr">
        <is>
          <t>CIP清洗剂</t>
        </is>
      </c>
      <c r="Z51" t="inlineStr">
        <is>
          <t>CT-CLC-01B</t>
        </is>
      </c>
      <c r="AA51" t="inlineStr">
        <is>
          <t>直接报告</t>
        </is>
      </c>
      <c r="AB51" t="inlineStr">
        <is>
          <t>1天生产</t>
        </is>
      </c>
      <c r="AC51" t="inlineStr">
        <is>
          <t>1天生产</t>
        </is>
      </c>
    </row>
    <row r="52">
      <c r="A52" s="18" t="inlineStr">
        <is>
          <t>FL-CLC-01C</t>
        </is>
      </c>
      <c r="B52" s="18" t="inlineStr">
        <is>
          <t>PR01</t>
        </is>
      </c>
      <c r="C52" s="18" t="inlineStr">
        <is>
          <t>PR01 清洗剂NaOCl</t>
        </is>
      </c>
      <c r="D52" s="18" t="inlineStr">
        <is>
          <t>物理流</t>
        </is>
      </c>
      <c r="E52" s="18" t="inlineStr">
        <is>
          <t>输入</t>
        </is>
      </c>
      <c r="F52" s="18" t="n"/>
      <c r="G52" s="18" t="inlineStr">
        <is>
          <t>PR01</t>
        </is>
      </c>
      <c r="H52" s="18" t="inlineStr">
        <is>
          <t>physical_material</t>
        </is>
      </c>
      <c r="I52" s="51" t="n">
        <v>0</v>
      </c>
      <c r="J52" s="18" t="inlineStr">
        <is>
          <t>kg/d</t>
        </is>
      </c>
      <c r="K52" s="18" t="inlineStr">
        <is>
          <t>1天</t>
        </is>
      </c>
      <c r="L52" s="18" t="n"/>
      <c r="M52" s="18" t="n"/>
      <c r="N52" s="18" t="n"/>
      <c r="O52" s="18" t="n"/>
      <c r="P52" s="52" t="n">
        <v>0</v>
      </c>
      <c r="Q52" s="18" t="inlineStr">
        <is>
          <t>kg/d</t>
        </is>
      </c>
      <c r="R52" s="18" t="inlineStr">
        <is>
          <t>+</t>
        </is>
      </c>
      <c r="S52" s="18" t="inlineStr">
        <is>
          <t>否</t>
        </is>
      </c>
      <c r="T52" s="18" t="inlineStr">
        <is>
          <t>来源原始清单（未分配）</t>
        </is>
      </c>
      <c r="U52" s="18" t="inlineStr">
        <is>
          <t>SRC-RAW</t>
        </is>
      </c>
      <c r="V52" s="18" t="inlineStr">
        <is>
          <t>已审查</t>
        </is>
      </c>
      <c r="W52" s="18" t="inlineStr">
        <is>
          <t>否</t>
        </is>
      </c>
      <c r="X52" s="18" t="inlineStr">
        <is>
          <t>PR01 清洗剂NaOCl 0.0</t>
        </is>
      </c>
      <c r="Y52" s="18" t="inlineStr">
        <is>
          <t>CIP清洗剂</t>
        </is>
      </c>
      <c r="Z52" t="inlineStr">
        <is>
          <t>CT-CLC-01C</t>
        </is>
      </c>
      <c r="AA52" t="inlineStr">
        <is>
          <t>直接报告</t>
        </is>
      </c>
      <c r="AB52" t="inlineStr">
        <is>
          <t>1天生产</t>
        </is>
      </c>
      <c r="AC52" t="inlineStr">
        <is>
          <t>1天生产</t>
        </is>
      </c>
    </row>
    <row r="53">
      <c r="A53" s="18" t="inlineStr">
        <is>
          <t>FL-CLC-01D</t>
        </is>
      </c>
      <c r="B53" s="18" t="inlineStr">
        <is>
          <t>PR01</t>
        </is>
      </c>
      <c r="C53" s="18" t="inlineStr">
        <is>
          <t>PR01 清洗剂Phosphoc acid</t>
        </is>
      </c>
      <c r="D53" s="18" t="inlineStr">
        <is>
          <t>物理流</t>
        </is>
      </c>
      <c r="E53" s="18" t="inlineStr">
        <is>
          <t>输入</t>
        </is>
      </c>
      <c r="F53" s="18" t="n"/>
      <c r="G53" s="18" t="inlineStr">
        <is>
          <t>PR01</t>
        </is>
      </c>
      <c r="H53" s="18" t="inlineStr">
        <is>
          <t>physical_material</t>
        </is>
      </c>
      <c r="I53" s="51" t="n">
        <v>0</v>
      </c>
      <c r="J53" s="18" t="inlineStr">
        <is>
          <t>kg/d</t>
        </is>
      </c>
      <c r="K53" s="18" t="inlineStr">
        <is>
          <t>1天</t>
        </is>
      </c>
      <c r="L53" s="18" t="n"/>
      <c r="M53" s="18" t="n"/>
      <c r="N53" s="18" t="n"/>
      <c r="O53" s="18" t="n"/>
      <c r="P53" s="52" t="n">
        <v>0</v>
      </c>
      <c r="Q53" s="18" t="inlineStr">
        <is>
          <t>kg/d</t>
        </is>
      </c>
      <c r="R53" s="18" t="inlineStr">
        <is>
          <t>+</t>
        </is>
      </c>
      <c r="S53" s="18" t="inlineStr">
        <is>
          <t>否</t>
        </is>
      </c>
      <c r="T53" s="18" t="inlineStr">
        <is>
          <t>来源原始清单（未分配）</t>
        </is>
      </c>
      <c r="U53" s="18" t="inlineStr">
        <is>
          <t>SRC-RAW</t>
        </is>
      </c>
      <c r="V53" s="18" t="inlineStr">
        <is>
          <t>已审查</t>
        </is>
      </c>
      <c r="W53" s="18" t="inlineStr">
        <is>
          <t>否</t>
        </is>
      </c>
      <c r="X53" s="18" t="inlineStr">
        <is>
          <t>PR01 清洗剂Phosphoc acid 0.0</t>
        </is>
      </c>
      <c r="Y53" s="18" t="inlineStr">
        <is>
          <t>CIP清洗剂</t>
        </is>
      </c>
      <c r="Z53" t="inlineStr">
        <is>
          <t>CT-CLC-01D</t>
        </is>
      </c>
      <c r="AA53" t="inlineStr">
        <is>
          <t>直接报告</t>
        </is>
      </c>
      <c r="AB53" t="inlineStr">
        <is>
          <t>1天生产</t>
        </is>
      </c>
      <c r="AC53" t="inlineStr">
        <is>
          <t>1天生产</t>
        </is>
      </c>
    </row>
    <row r="54">
      <c r="A54" s="18" t="inlineStr">
        <is>
          <t>FL-CLC-01E</t>
        </is>
      </c>
      <c r="B54" s="18" t="inlineStr">
        <is>
          <t>PR01</t>
        </is>
      </c>
      <c r="C54" s="18" t="inlineStr">
        <is>
          <t>PR01 清洗剂surfactant</t>
        </is>
      </c>
      <c r="D54" s="18" t="inlineStr">
        <is>
          <t>物理流</t>
        </is>
      </c>
      <c r="E54" s="18" t="inlineStr">
        <is>
          <t>输入</t>
        </is>
      </c>
      <c r="F54" s="18" t="n"/>
      <c r="G54" s="18" t="inlineStr">
        <is>
          <t>PR01</t>
        </is>
      </c>
      <c r="H54" s="18" t="inlineStr">
        <is>
          <t>physical_material</t>
        </is>
      </c>
      <c r="I54" s="51" t="n">
        <v>0</v>
      </c>
      <c r="J54" s="18" t="inlineStr">
        <is>
          <t>kg/d</t>
        </is>
      </c>
      <c r="K54" s="18" t="inlineStr">
        <is>
          <t>1天</t>
        </is>
      </c>
      <c r="L54" s="18" t="n"/>
      <c r="M54" s="18" t="n"/>
      <c r="N54" s="18" t="n"/>
      <c r="O54" s="18" t="n"/>
      <c r="P54" s="52" t="n">
        <v>0</v>
      </c>
      <c r="Q54" s="18" t="inlineStr">
        <is>
          <t>kg/d</t>
        </is>
      </c>
      <c r="R54" s="18" t="inlineStr">
        <is>
          <t>+</t>
        </is>
      </c>
      <c r="S54" s="18" t="inlineStr">
        <is>
          <t>否</t>
        </is>
      </c>
      <c r="T54" s="18" t="inlineStr">
        <is>
          <t>来源原始清单（未分配）</t>
        </is>
      </c>
      <c r="U54" s="18" t="inlineStr">
        <is>
          <t>SRC-RAW</t>
        </is>
      </c>
      <c r="V54" s="18" t="inlineStr">
        <is>
          <t>已审查</t>
        </is>
      </c>
      <c r="W54" s="18" t="inlineStr">
        <is>
          <t>否</t>
        </is>
      </c>
      <c r="X54" s="18" t="inlineStr">
        <is>
          <t>PR01 清洗剂surfactant 0.0</t>
        </is>
      </c>
      <c r="Y54" s="18" t="inlineStr">
        <is>
          <t>CIP清洗剂</t>
        </is>
      </c>
      <c r="Z54" t="inlineStr">
        <is>
          <t>CT-CLC-01E</t>
        </is>
      </c>
      <c r="AA54" t="inlineStr">
        <is>
          <t>直接报告</t>
        </is>
      </c>
      <c r="AB54" t="inlineStr">
        <is>
          <t>1天生产</t>
        </is>
      </c>
      <c r="AC54" t="inlineStr">
        <is>
          <t>1天生产</t>
        </is>
      </c>
    </row>
    <row r="55">
      <c r="A55" s="18" t="inlineStr">
        <is>
          <t>FL-CLC-01F</t>
        </is>
      </c>
      <c r="B55" s="18" t="inlineStr">
        <is>
          <t>PR01</t>
        </is>
      </c>
      <c r="C55" s="18" t="inlineStr">
        <is>
          <t>PR01 清洗剂Other acid</t>
        </is>
      </c>
      <c r="D55" s="18" t="inlineStr">
        <is>
          <t>物理流</t>
        </is>
      </c>
      <c r="E55" s="18" t="inlineStr">
        <is>
          <t>输入</t>
        </is>
      </c>
      <c r="F55" s="18" t="n"/>
      <c r="G55" s="18" t="inlineStr">
        <is>
          <t>PR01</t>
        </is>
      </c>
      <c r="H55" s="18" t="inlineStr">
        <is>
          <t>physical_material</t>
        </is>
      </c>
      <c r="I55" s="51" t="n">
        <v>0</v>
      </c>
      <c r="J55" s="18" t="inlineStr">
        <is>
          <t>kg/d</t>
        </is>
      </c>
      <c r="K55" s="18" t="inlineStr">
        <is>
          <t>1天</t>
        </is>
      </c>
      <c r="L55" s="18" t="n"/>
      <c r="M55" s="18" t="n"/>
      <c r="N55" s="18" t="n"/>
      <c r="O55" s="18" t="n"/>
      <c r="P55" s="52" t="n">
        <v>0</v>
      </c>
      <c r="Q55" s="18" t="inlineStr">
        <is>
          <t>kg/d</t>
        </is>
      </c>
      <c r="R55" s="18" t="inlineStr">
        <is>
          <t>+</t>
        </is>
      </c>
      <c r="S55" s="18" t="inlineStr">
        <is>
          <t>否</t>
        </is>
      </c>
      <c r="T55" s="18" t="inlineStr">
        <is>
          <t>来源原始清单（未分配）</t>
        </is>
      </c>
      <c r="U55" s="18" t="inlineStr">
        <is>
          <t>SRC-RAW</t>
        </is>
      </c>
      <c r="V55" s="18" t="inlineStr">
        <is>
          <t>已审查</t>
        </is>
      </c>
      <c r="W55" s="18" t="inlineStr">
        <is>
          <t>否</t>
        </is>
      </c>
      <c r="X55" s="18" t="inlineStr">
        <is>
          <t>PR01 清洗剂Other acid 0.0</t>
        </is>
      </c>
      <c r="Y55" s="18" t="inlineStr">
        <is>
          <t>CIP清洗剂</t>
        </is>
      </c>
      <c r="Z55" t="inlineStr">
        <is>
          <t>CT-CLC-01F</t>
        </is>
      </c>
      <c r="AA55" t="inlineStr">
        <is>
          <t>直接报告</t>
        </is>
      </c>
      <c r="AB55" t="inlineStr">
        <is>
          <t>1天生产</t>
        </is>
      </c>
      <c r="AC55" t="inlineStr">
        <is>
          <t>1天生产</t>
        </is>
      </c>
    </row>
    <row r="56">
      <c r="A56" s="18" t="inlineStr">
        <is>
          <t>FL-CLT-01</t>
        </is>
      </c>
      <c r="B56" s="18" t="inlineStr">
        <is>
          <t>PR01</t>
        </is>
      </c>
      <c r="C56" s="18" t="inlineStr">
        <is>
          <t>PR01 清洗回路设备材料</t>
        </is>
      </c>
      <c r="D56" s="18" t="inlineStr">
        <is>
          <t>物理流</t>
        </is>
      </c>
      <c r="E56" s="18" t="inlineStr">
        <is>
          <t>输入</t>
        </is>
      </c>
      <c r="F56" s="18" t="n"/>
      <c r="G56" s="18" t="inlineStr">
        <is>
          <t>PR01</t>
        </is>
      </c>
      <c r="H56" s="18" t="inlineStr">
        <is>
          <t>physical_material</t>
        </is>
      </c>
      <c r="I56" s="51" t="n">
        <v>1.73813861386139</v>
      </c>
      <c r="J56" s="18" t="inlineStr">
        <is>
          <t>kg/d</t>
        </is>
      </c>
      <c r="K56" s="18" t="inlineStr">
        <is>
          <t>1天</t>
        </is>
      </c>
      <c r="L56" s="18" t="n"/>
      <c r="M56" s="18" t="n"/>
      <c r="N56" s="18" t="n"/>
      <c r="O56" s="18" t="n"/>
      <c r="P56" s="52" t="n">
        <v>1.73813861386139</v>
      </c>
      <c r="Q56" s="18" t="inlineStr">
        <is>
          <t>kg/d</t>
        </is>
      </c>
      <c r="R56" s="18" t="inlineStr">
        <is>
          <t>+</t>
        </is>
      </c>
      <c r="S56" s="18" t="inlineStr">
        <is>
          <t>否</t>
        </is>
      </c>
      <c r="T56" s="18" t="inlineStr">
        <is>
          <t>来源原始清单（未分配）</t>
        </is>
      </c>
      <c r="U56" s="18" t="inlineStr">
        <is>
          <t>SRC-RAW</t>
        </is>
      </c>
      <c r="V56" s="18" t="inlineStr">
        <is>
          <t>已审查</t>
        </is>
      </c>
      <c r="W56" s="18" t="inlineStr">
        <is>
          <t>否</t>
        </is>
      </c>
      <c r="X56" s="18" t="inlineStr">
        <is>
          <t>PR01 清洗回路设备材料 1.73813861386139</t>
        </is>
      </c>
      <c r="Y56" s="18" t="inlineStr">
        <is>
          <t>Tanks and pipes 不锈钢（按天摊销）</t>
        </is>
      </c>
      <c r="Z56" t="inlineStr">
        <is>
          <t>CT-CLT-01</t>
        </is>
      </c>
      <c r="AA56" t="inlineStr">
        <is>
          <t>直接报告</t>
        </is>
      </c>
      <c r="AB56" t="inlineStr">
        <is>
          <t>1天生产</t>
        </is>
      </c>
      <c r="AC56" t="inlineStr">
        <is>
          <t>1天生产</t>
        </is>
      </c>
    </row>
    <row r="57">
      <c r="A57" s="18" t="inlineStr">
        <is>
          <t>FL-CLCOD-01</t>
        </is>
      </c>
      <c r="B57" s="18" t="inlineStr">
        <is>
          <t>PR01</t>
        </is>
      </c>
      <c r="C57" s="18" t="inlineStr">
        <is>
          <t>PR01 清洗废水COD</t>
        </is>
      </c>
      <c r="D57" s="18" t="inlineStr">
        <is>
          <t>环境交换</t>
        </is>
      </c>
      <c r="E57" s="18" t="inlineStr">
        <is>
          <t>输入</t>
        </is>
      </c>
      <c r="F57" s="18" t="n"/>
      <c r="G57" s="18" t="inlineStr">
        <is>
          <t>PR01</t>
        </is>
      </c>
      <c r="H57" s="18" t="inlineStr">
        <is>
          <t>environment_exchange</t>
        </is>
      </c>
      <c r="I57" s="51" t="n">
        <v>52.6</v>
      </c>
      <c r="J57" s="18" t="inlineStr">
        <is>
          <t>kg_COD/d</t>
        </is>
      </c>
      <c r="K57" s="18" t="inlineStr">
        <is>
          <t>1天</t>
        </is>
      </c>
      <c r="L57" s="18" t="n"/>
      <c r="M57" s="18" t="n"/>
      <c r="N57" s="18" t="n"/>
      <c r="O57" s="18" t="n"/>
      <c r="P57" s="52" t="n">
        <v>52.6</v>
      </c>
      <c r="Q57" s="18" t="inlineStr">
        <is>
          <t>kg_COD/d</t>
        </is>
      </c>
      <c r="R57" s="18" t="inlineStr">
        <is>
          <t>+</t>
        </is>
      </c>
      <c r="S57" s="18" t="inlineStr">
        <is>
          <t>否</t>
        </is>
      </c>
      <c r="T57" s="18" t="inlineStr">
        <is>
          <t>来源原始清单（未分配）</t>
        </is>
      </c>
      <c r="U57" s="18" t="inlineStr">
        <is>
          <t>SRC-RAW</t>
        </is>
      </c>
      <c r="V57" s="18" t="inlineStr">
        <is>
          <t>已审查</t>
        </is>
      </c>
      <c r="W57" s="18" t="inlineStr">
        <is>
          <t>否</t>
        </is>
      </c>
      <c r="X57" s="18" t="inlineStr">
        <is>
          <t>PR01 清洗废水COD 52.6</t>
        </is>
      </c>
      <c r="Y57" s="18" t="inlineStr"/>
      <c r="Z57" t="inlineStr">
        <is>
          <t>CT-CLCOD-01</t>
        </is>
      </c>
      <c r="AA57" t="inlineStr">
        <is>
          <t>直接报告</t>
        </is>
      </c>
      <c r="AB57" t="inlineStr">
        <is>
          <t>1天生产</t>
        </is>
      </c>
      <c r="AC57" t="inlineStr">
        <is>
          <t>1天生产</t>
        </is>
      </c>
    </row>
    <row r="58">
      <c r="A58" s="18" t="inlineStr">
        <is>
          <t>FL-CLDM-01</t>
        </is>
      </c>
      <c r="B58" s="18" t="inlineStr">
        <is>
          <t>PR01</t>
        </is>
      </c>
      <c r="C58" s="18" t="inlineStr">
        <is>
          <t>PR01 清洗废水干物质</t>
        </is>
      </c>
      <c r="D58" s="18" t="inlineStr">
        <is>
          <t>环境交换</t>
        </is>
      </c>
      <c r="E58" s="18" t="inlineStr">
        <is>
          <t>输入</t>
        </is>
      </c>
      <c r="F58" s="18" t="n"/>
      <c r="G58" s="18" t="inlineStr">
        <is>
          <t>PR01</t>
        </is>
      </c>
      <c r="H58" s="18" t="inlineStr">
        <is>
          <t>environment_exchange</t>
        </is>
      </c>
      <c r="I58" s="51" t="n">
        <v>37.872</v>
      </c>
      <c r="J58" s="18" t="inlineStr">
        <is>
          <t>kg/d</t>
        </is>
      </c>
      <c r="K58" s="18" t="inlineStr">
        <is>
          <t>1天</t>
        </is>
      </c>
      <c r="L58" s="18" t="n"/>
      <c r="M58" s="18" t="n"/>
      <c r="N58" s="18" t="n"/>
      <c r="O58" s="18" t="n"/>
      <c r="P58" s="52" t="n">
        <v>37.872</v>
      </c>
      <c r="Q58" s="18" t="inlineStr">
        <is>
          <t>kg/d</t>
        </is>
      </c>
      <c r="R58" s="18" t="inlineStr">
        <is>
          <t>+</t>
        </is>
      </c>
      <c r="S58" s="18" t="inlineStr">
        <is>
          <t>否</t>
        </is>
      </c>
      <c r="T58" s="18" t="inlineStr">
        <is>
          <t>来源原始清单（未分配）</t>
        </is>
      </c>
      <c r="U58" s="18" t="inlineStr">
        <is>
          <t>SRC-RAW</t>
        </is>
      </c>
      <c r="V58" s="18" t="inlineStr">
        <is>
          <t>已审查</t>
        </is>
      </c>
      <c r="W58" s="18" t="inlineStr">
        <is>
          <t>否</t>
        </is>
      </c>
      <c r="X58" s="18" t="inlineStr">
        <is>
          <t>PR01 清洗废水干物质 37.872</t>
        </is>
      </c>
      <c r="Y58" s="18" t="inlineStr"/>
      <c r="Z58" t="inlineStr">
        <is>
          <t>CT-CLDM-01</t>
        </is>
      </c>
      <c r="AA58" t="inlineStr">
        <is>
          <t>直接报告</t>
        </is>
      </c>
      <c r="AB58" t="inlineStr">
        <is>
          <t>1天生产</t>
        </is>
      </c>
      <c r="AC58" t="inlineStr">
        <is>
          <t>1天生产</t>
        </is>
      </c>
    </row>
    <row r="59">
      <c r="A59" s="18" t="inlineStr">
        <is>
          <t>FL-CLE-02</t>
        </is>
      </c>
      <c r="B59" s="18" t="inlineStr">
        <is>
          <t>PR02</t>
        </is>
      </c>
      <c r="C59" s="18" t="inlineStr">
        <is>
          <t>电力（清洗）</t>
        </is>
      </c>
      <c r="D59" s="18" t="inlineStr">
        <is>
          <t>能源</t>
        </is>
      </c>
      <c r="E59" s="18" t="inlineStr">
        <is>
          <t>输入</t>
        </is>
      </c>
      <c r="F59" s="18" t="n"/>
      <c r="G59" s="18" t="inlineStr">
        <is>
          <t>PR02</t>
        </is>
      </c>
      <c r="H59" s="18" t="inlineStr">
        <is>
          <t>physical_energy</t>
        </is>
      </c>
      <c r="I59" s="51" t="n">
        <v>29</v>
      </c>
      <c r="J59" s="18" t="inlineStr">
        <is>
          <t>kWh/d</t>
        </is>
      </c>
      <c r="K59" s="18" t="inlineStr">
        <is>
          <t>1天</t>
        </is>
      </c>
      <c r="L59" s="18" t="n"/>
      <c r="M59" s="18" t="n"/>
      <c r="N59" s="18" t="n"/>
      <c r="O59" s="18" t="n"/>
      <c r="P59" s="52" t="n">
        <v>29</v>
      </c>
      <c r="Q59" s="18" t="inlineStr">
        <is>
          <t>kWh/d</t>
        </is>
      </c>
      <c r="R59" s="18" t="inlineStr">
        <is>
          <t>+</t>
        </is>
      </c>
      <c r="S59" s="18" t="inlineStr">
        <is>
          <t>否</t>
        </is>
      </c>
      <c r="T59" s="18" t="inlineStr">
        <is>
          <t>来源原始清单（未分配）</t>
        </is>
      </c>
      <c r="U59" s="18" t="inlineStr">
        <is>
          <t>SRC-RAW</t>
        </is>
      </c>
      <c r="V59" s="18" t="inlineStr">
        <is>
          <t>已审查</t>
        </is>
      </c>
      <c r="W59" s="18" t="inlineStr">
        <is>
          <t>是</t>
        </is>
      </c>
      <c r="X59" s="18" t="inlineStr">
        <is>
          <t>PR02 清洗电耗 29.0</t>
        </is>
      </c>
      <c r="Y59" s="18" t="inlineStr">
        <is>
          <t>CIP</t>
        </is>
      </c>
      <c r="Z59" t="inlineStr">
        <is>
          <t>CT-CLE-02</t>
        </is>
      </c>
      <c r="AA59" t="inlineStr">
        <is>
          <t>直接报告</t>
        </is>
      </c>
      <c r="AB59" t="inlineStr">
        <is>
          <t>1天生产</t>
        </is>
      </c>
      <c r="AC59" t="inlineStr">
        <is>
          <t>1天生产</t>
        </is>
      </c>
    </row>
    <row r="60">
      <c r="A60" s="18" t="inlineStr">
        <is>
          <t>FL-CLH-02</t>
        </is>
      </c>
      <c r="B60" s="18" t="inlineStr">
        <is>
          <t>PR02</t>
        </is>
      </c>
      <c r="C60" s="18" t="inlineStr">
        <is>
          <t>热量（清洗）</t>
        </is>
      </c>
      <c r="D60" s="18" t="inlineStr">
        <is>
          <t>能源</t>
        </is>
      </c>
      <c r="E60" s="18" t="inlineStr">
        <is>
          <t>输入</t>
        </is>
      </c>
      <c r="F60" s="18" t="n"/>
      <c r="G60" s="18" t="inlineStr">
        <is>
          <t>PR02</t>
        </is>
      </c>
      <c r="H60" s="18" t="inlineStr">
        <is>
          <t>physical_energy</t>
        </is>
      </c>
      <c r="I60" s="51" t="n">
        <v>791.64</v>
      </c>
      <c r="J60" s="18" t="inlineStr">
        <is>
          <t>MJ/d</t>
        </is>
      </c>
      <c r="K60" s="18" t="inlineStr">
        <is>
          <t>1天</t>
        </is>
      </c>
      <c r="L60" s="18" t="n"/>
      <c r="M60" s="18" t="n"/>
      <c r="N60" s="18" t="n"/>
      <c r="O60" s="18" t="n"/>
      <c r="P60" s="52" t="n">
        <v>791.64</v>
      </c>
      <c r="Q60" s="18" t="inlineStr">
        <is>
          <t>MJ/d</t>
        </is>
      </c>
      <c r="R60" s="18" t="inlineStr">
        <is>
          <t>+</t>
        </is>
      </c>
      <c r="S60" s="18" t="inlineStr">
        <is>
          <t>否</t>
        </is>
      </c>
      <c r="T60" s="18" t="inlineStr">
        <is>
          <t>来源原始清单（未分配）</t>
        </is>
      </c>
      <c r="U60" s="18" t="inlineStr">
        <is>
          <t>SRC-RAW</t>
        </is>
      </c>
      <c r="V60" s="18" t="inlineStr">
        <is>
          <t>已审查</t>
        </is>
      </c>
      <c r="W60" s="18" t="inlineStr">
        <is>
          <t>是</t>
        </is>
      </c>
      <c r="X60" s="18" t="inlineStr">
        <is>
          <t>PR02 清洗热耗 791.64</t>
        </is>
      </c>
      <c r="Y60" s="18" t="inlineStr">
        <is>
          <t>CIP</t>
        </is>
      </c>
      <c r="Z60" t="inlineStr">
        <is>
          <t>CT-CLH-02</t>
        </is>
      </c>
      <c r="AA60" t="inlineStr">
        <is>
          <t>直接报告</t>
        </is>
      </c>
      <c r="AB60" t="inlineStr">
        <is>
          <t>1天生产</t>
        </is>
      </c>
      <c r="AC60" t="inlineStr">
        <is>
          <t>1天生产</t>
        </is>
      </c>
    </row>
    <row r="61">
      <c r="A61" s="18" t="inlineStr">
        <is>
          <t>FL-CLW-02</t>
        </is>
      </c>
      <c r="B61" s="18" t="inlineStr">
        <is>
          <t>PR02</t>
        </is>
      </c>
      <c r="C61" s="18" t="inlineStr">
        <is>
          <t>PR02 清洗水</t>
        </is>
      </c>
      <c r="D61" s="18" t="inlineStr">
        <is>
          <t>物理流</t>
        </is>
      </c>
      <c r="E61" s="18" t="inlineStr">
        <is>
          <t>输入</t>
        </is>
      </c>
      <c r="F61" s="18" t="n"/>
      <c r="G61" s="18" t="inlineStr">
        <is>
          <t>PR02</t>
        </is>
      </c>
      <c r="H61" s="18" t="inlineStr">
        <is>
          <t>physical_material</t>
        </is>
      </c>
      <c r="I61" s="51" t="n">
        <v>12.8</v>
      </c>
      <c r="J61" s="18" t="inlineStr">
        <is>
          <t>m3/d</t>
        </is>
      </c>
      <c r="K61" s="18" t="inlineStr">
        <is>
          <t>1天</t>
        </is>
      </c>
      <c r="L61" s="18" t="n"/>
      <c r="M61" s="18" t="n"/>
      <c r="N61" s="18" t="n"/>
      <c r="O61" s="18" t="n"/>
      <c r="P61" s="52" t="n">
        <v>12.8</v>
      </c>
      <c r="Q61" s="18" t="inlineStr">
        <is>
          <t>m3/d</t>
        </is>
      </c>
      <c r="R61" s="18" t="inlineStr">
        <is>
          <t>+</t>
        </is>
      </c>
      <c r="S61" s="18" t="inlineStr">
        <is>
          <t>否</t>
        </is>
      </c>
      <c r="T61" s="18" t="inlineStr">
        <is>
          <t>来源原始清单（未分配）</t>
        </is>
      </c>
      <c r="U61" s="18" t="inlineStr">
        <is>
          <t>SRC-RAW</t>
        </is>
      </c>
      <c r="V61" s="18" t="inlineStr">
        <is>
          <t>已审查</t>
        </is>
      </c>
      <c r="W61" s="18" t="inlineStr">
        <is>
          <t>否</t>
        </is>
      </c>
      <c r="X61" s="18" t="inlineStr">
        <is>
          <t>PR02 清洗水 12.8</t>
        </is>
      </c>
      <c r="Y61" s="18" t="inlineStr"/>
      <c r="Z61" t="inlineStr">
        <is>
          <t>CT-CLW-02</t>
        </is>
      </c>
      <c r="AA61" t="inlineStr">
        <is>
          <t>直接报告</t>
        </is>
      </c>
      <c r="AB61" t="inlineStr">
        <is>
          <t>1天生产</t>
        </is>
      </c>
      <c r="AC61" t="inlineStr">
        <is>
          <t>1天生产</t>
        </is>
      </c>
    </row>
    <row r="62">
      <c r="A62" s="18" t="inlineStr">
        <is>
          <t>FL-CLC-02A</t>
        </is>
      </c>
      <c r="B62" s="18" t="inlineStr">
        <is>
          <t>PR02</t>
        </is>
      </c>
      <c r="C62" s="18" t="inlineStr">
        <is>
          <t>PR02 清洗剂NaOH</t>
        </is>
      </c>
      <c r="D62" s="18" t="inlineStr">
        <is>
          <t>物理流</t>
        </is>
      </c>
      <c r="E62" s="18" t="inlineStr">
        <is>
          <t>输入</t>
        </is>
      </c>
      <c r="F62" s="18" t="n"/>
      <c r="G62" s="18" t="inlineStr">
        <is>
          <t>PR02</t>
        </is>
      </c>
      <c r="H62" s="18" t="inlineStr">
        <is>
          <t>physical_material</t>
        </is>
      </c>
      <c r="I62" s="51" t="n">
        <v>89.59999999999999</v>
      </c>
      <c r="J62" s="18" t="inlineStr">
        <is>
          <t>kg/d</t>
        </is>
      </c>
      <c r="K62" s="18" t="inlineStr">
        <is>
          <t>1天</t>
        </is>
      </c>
      <c r="L62" s="18" t="n"/>
      <c r="M62" s="18" t="n"/>
      <c r="N62" s="18" t="n"/>
      <c r="O62" s="18" t="n"/>
      <c r="P62" s="52" t="n">
        <v>89.59999999999999</v>
      </c>
      <c r="Q62" s="18" t="inlineStr">
        <is>
          <t>kg/d</t>
        </is>
      </c>
      <c r="R62" s="18" t="inlineStr">
        <is>
          <t>+</t>
        </is>
      </c>
      <c r="S62" s="18" t="inlineStr">
        <is>
          <t>否</t>
        </is>
      </c>
      <c r="T62" s="18" t="inlineStr">
        <is>
          <t>来源原始清单（未分配）</t>
        </is>
      </c>
      <c r="U62" s="18" t="inlineStr">
        <is>
          <t>SRC-RAW</t>
        </is>
      </c>
      <c r="V62" s="18" t="inlineStr">
        <is>
          <t>已审查</t>
        </is>
      </c>
      <c r="W62" s="18" t="inlineStr">
        <is>
          <t>否</t>
        </is>
      </c>
      <c r="X62" s="18" t="inlineStr">
        <is>
          <t>PR02 清洗剂NaOH 89.6</t>
        </is>
      </c>
      <c r="Y62" s="18" t="inlineStr">
        <is>
          <t>CIP清洗剂</t>
        </is>
      </c>
      <c r="Z62" t="inlineStr">
        <is>
          <t>CT-CLC-02A</t>
        </is>
      </c>
      <c r="AA62" t="inlineStr">
        <is>
          <t>直接报告</t>
        </is>
      </c>
      <c r="AB62" t="inlineStr">
        <is>
          <t>1天生产</t>
        </is>
      </c>
      <c r="AC62" t="inlineStr">
        <is>
          <t>1天生产</t>
        </is>
      </c>
    </row>
    <row r="63">
      <c r="A63" s="18" t="inlineStr">
        <is>
          <t>FL-CLC-02B</t>
        </is>
      </c>
      <c r="B63" s="18" t="inlineStr">
        <is>
          <t>PR02</t>
        </is>
      </c>
      <c r="C63" s="18" t="inlineStr">
        <is>
          <t>PR02 清洗剂HNO3</t>
        </is>
      </c>
      <c r="D63" s="18" t="inlineStr">
        <is>
          <t>物理流</t>
        </is>
      </c>
      <c r="E63" s="18" t="inlineStr">
        <is>
          <t>输入</t>
        </is>
      </c>
      <c r="F63" s="18" t="n"/>
      <c r="G63" s="18" t="inlineStr">
        <is>
          <t>PR02</t>
        </is>
      </c>
      <c r="H63" s="18" t="inlineStr">
        <is>
          <t>physical_material</t>
        </is>
      </c>
      <c r="I63" s="51" t="n">
        <v>8</v>
      </c>
      <c r="J63" s="18" t="inlineStr">
        <is>
          <t>kg/d</t>
        </is>
      </c>
      <c r="K63" s="18" t="inlineStr">
        <is>
          <t>1天</t>
        </is>
      </c>
      <c r="L63" s="18" t="n"/>
      <c r="M63" s="18" t="n"/>
      <c r="N63" s="18" t="n"/>
      <c r="O63" s="18" t="n"/>
      <c r="P63" s="52" t="n">
        <v>8</v>
      </c>
      <c r="Q63" s="18" t="inlineStr">
        <is>
          <t>kg/d</t>
        </is>
      </c>
      <c r="R63" s="18" t="inlineStr">
        <is>
          <t>+</t>
        </is>
      </c>
      <c r="S63" s="18" t="inlineStr">
        <is>
          <t>否</t>
        </is>
      </c>
      <c r="T63" s="18" t="inlineStr">
        <is>
          <t>来源原始清单（未分配）</t>
        </is>
      </c>
      <c r="U63" s="18" t="inlineStr">
        <is>
          <t>SRC-RAW</t>
        </is>
      </c>
      <c r="V63" s="18" t="inlineStr">
        <is>
          <t>已审查</t>
        </is>
      </c>
      <c r="W63" s="18" t="inlineStr">
        <is>
          <t>否</t>
        </is>
      </c>
      <c r="X63" s="18" t="inlineStr">
        <is>
          <t>PR02 清洗剂HNO3 8.0</t>
        </is>
      </c>
      <c r="Y63" s="18" t="inlineStr">
        <is>
          <t>CIP清洗剂</t>
        </is>
      </c>
      <c r="Z63" t="inlineStr">
        <is>
          <t>CT-CLC-02B</t>
        </is>
      </c>
      <c r="AA63" t="inlineStr">
        <is>
          <t>直接报告</t>
        </is>
      </c>
      <c r="AB63" t="inlineStr">
        <is>
          <t>1天生产</t>
        </is>
      </c>
      <c r="AC63" t="inlineStr">
        <is>
          <t>1天生产</t>
        </is>
      </c>
    </row>
    <row r="64">
      <c r="A64" s="18" t="inlineStr">
        <is>
          <t>FL-CLC-02C</t>
        </is>
      </c>
      <c r="B64" s="18" t="inlineStr">
        <is>
          <t>PR02</t>
        </is>
      </c>
      <c r="C64" s="18" t="inlineStr">
        <is>
          <t>PR02 清洗剂NaOCl</t>
        </is>
      </c>
      <c r="D64" s="18" t="inlineStr">
        <is>
          <t>物理流</t>
        </is>
      </c>
      <c r="E64" s="18" t="inlineStr">
        <is>
          <t>输入</t>
        </is>
      </c>
      <c r="F64" s="18" t="n"/>
      <c r="G64" s="18" t="inlineStr">
        <is>
          <t>PR02</t>
        </is>
      </c>
      <c r="H64" s="18" t="inlineStr">
        <is>
          <t>physical_material</t>
        </is>
      </c>
      <c r="I64" s="51" t="n">
        <v>0</v>
      </c>
      <c r="J64" s="18" t="inlineStr">
        <is>
          <t>kg/d</t>
        </is>
      </c>
      <c r="K64" s="18" t="inlineStr">
        <is>
          <t>1天</t>
        </is>
      </c>
      <c r="L64" s="18" t="n"/>
      <c r="M64" s="18" t="n"/>
      <c r="N64" s="18" t="n"/>
      <c r="O64" s="18" t="n"/>
      <c r="P64" s="52" t="n">
        <v>0</v>
      </c>
      <c r="Q64" s="18" t="inlineStr">
        <is>
          <t>kg/d</t>
        </is>
      </c>
      <c r="R64" s="18" t="inlineStr">
        <is>
          <t>+</t>
        </is>
      </c>
      <c r="S64" s="18" t="inlineStr">
        <is>
          <t>否</t>
        </is>
      </c>
      <c r="T64" s="18" t="inlineStr">
        <is>
          <t>来源原始清单（未分配）</t>
        </is>
      </c>
      <c r="U64" s="18" t="inlineStr">
        <is>
          <t>SRC-RAW</t>
        </is>
      </c>
      <c r="V64" s="18" t="inlineStr">
        <is>
          <t>已审查</t>
        </is>
      </c>
      <c r="W64" s="18" t="inlineStr">
        <is>
          <t>否</t>
        </is>
      </c>
      <c r="X64" s="18" t="inlineStr">
        <is>
          <t>PR02 清洗剂NaOCl 0.0</t>
        </is>
      </c>
      <c r="Y64" s="18" t="inlineStr">
        <is>
          <t>CIP清洗剂</t>
        </is>
      </c>
      <c r="Z64" t="inlineStr">
        <is>
          <t>CT-CLC-02C</t>
        </is>
      </c>
      <c r="AA64" t="inlineStr">
        <is>
          <t>直接报告</t>
        </is>
      </c>
      <c r="AB64" t="inlineStr">
        <is>
          <t>1天生产</t>
        </is>
      </c>
      <c r="AC64" t="inlineStr">
        <is>
          <t>1天生产</t>
        </is>
      </c>
    </row>
    <row r="65">
      <c r="A65" s="18" t="inlineStr">
        <is>
          <t>FL-CLC-02D</t>
        </is>
      </c>
      <c r="B65" s="18" t="inlineStr">
        <is>
          <t>PR02</t>
        </is>
      </c>
      <c r="C65" s="18" t="inlineStr">
        <is>
          <t>PR02 清洗剂Phosphoc acid</t>
        </is>
      </c>
      <c r="D65" s="18" t="inlineStr">
        <is>
          <t>物理流</t>
        </is>
      </c>
      <c r="E65" s="18" t="inlineStr">
        <is>
          <t>输入</t>
        </is>
      </c>
      <c r="F65" s="18" t="n"/>
      <c r="G65" s="18" t="inlineStr">
        <is>
          <t>PR02</t>
        </is>
      </c>
      <c r="H65" s="18" t="inlineStr">
        <is>
          <t>physical_material</t>
        </is>
      </c>
      <c r="I65" s="51" t="n">
        <v>0</v>
      </c>
      <c r="J65" s="18" t="inlineStr">
        <is>
          <t>kg/d</t>
        </is>
      </c>
      <c r="K65" s="18" t="inlineStr">
        <is>
          <t>1天</t>
        </is>
      </c>
      <c r="L65" s="18" t="n"/>
      <c r="M65" s="18" t="n"/>
      <c r="N65" s="18" t="n"/>
      <c r="O65" s="18" t="n"/>
      <c r="P65" s="52" t="n">
        <v>0</v>
      </c>
      <c r="Q65" s="18" t="inlineStr">
        <is>
          <t>kg/d</t>
        </is>
      </c>
      <c r="R65" s="18" t="inlineStr">
        <is>
          <t>+</t>
        </is>
      </c>
      <c r="S65" s="18" t="inlineStr">
        <is>
          <t>否</t>
        </is>
      </c>
      <c r="T65" s="18" t="inlineStr">
        <is>
          <t>来源原始清单（未分配）</t>
        </is>
      </c>
      <c r="U65" s="18" t="inlineStr">
        <is>
          <t>SRC-RAW</t>
        </is>
      </c>
      <c r="V65" s="18" t="inlineStr">
        <is>
          <t>已审查</t>
        </is>
      </c>
      <c r="W65" s="18" t="inlineStr">
        <is>
          <t>否</t>
        </is>
      </c>
      <c r="X65" s="18" t="inlineStr">
        <is>
          <t>PR02 清洗剂Phosphoc acid 0.0</t>
        </is>
      </c>
      <c r="Y65" s="18" t="inlineStr">
        <is>
          <t>CIP清洗剂</t>
        </is>
      </c>
      <c r="Z65" t="inlineStr">
        <is>
          <t>CT-CLC-02D</t>
        </is>
      </c>
      <c r="AA65" t="inlineStr">
        <is>
          <t>直接报告</t>
        </is>
      </c>
      <c r="AB65" t="inlineStr">
        <is>
          <t>1天生产</t>
        </is>
      </c>
      <c r="AC65" t="inlineStr">
        <is>
          <t>1天生产</t>
        </is>
      </c>
    </row>
    <row r="66">
      <c r="A66" s="18" t="inlineStr">
        <is>
          <t>FL-CLC-02E</t>
        </is>
      </c>
      <c r="B66" s="18" t="inlineStr">
        <is>
          <t>PR02</t>
        </is>
      </c>
      <c r="C66" s="18" t="inlineStr">
        <is>
          <t>PR02 清洗剂surfactant</t>
        </is>
      </c>
      <c r="D66" s="18" t="inlineStr">
        <is>
          <t>物理流</t>
        </is>
      </c>
      <c r="E66" s="18" t="inlineStr">
        <is>
          <t>输入</t>
        </is>
      </c>
      <c r="F66" s="18" t="n"/>
      <c r="G66" s="18" t="inlineStr">
        <is>
          <t>PR02</t>
        </is>
      </c>
      <c r="H66" s="18" t="inlineStr">
        <is>
          <t>physical_material</t>
        </is>
      </c>
      <c r="I66" s="51" t="n">
        <v>0</v>
      </c>
      <c r="J66" s="18" t="inlineStr">
        <is>
          <t>kg/d</t>
        </is>
      </c>
      <c r="K66" s="18" t="inlineStr">
        <is>
          <t>1天</t>
        </is>
      </c>
      <c r="L66" s="18" t="n"/>
      <c r="M66" s="18" t="n"/>
      <c r="N66" s="18" t="n"/>
      <c r="O66" s="18" t="n"/>
      <c r="P66" s="52" t="n">
        <v>0</v>
      </c>
      <c r="Q66" s="18" t="inlineStr">
        <is>
          <t>kg/d</t>
        </is>
      </c>
      <c r="R66" s="18" t="inlineStr">
        <is>
          <t>+</t>
        </is>
      </c>
      <c r="S66" s="18" t="inlineStr">
        <is>
          <t>否</t>
        </is>
      </c>
      <c r="T66" s="18" t="inlineStr">
        <is>
          <t>来源原始清单（未分配）</t>
        </is>
      </c>
      <c r="U66" s="18" t="inlineStr">
        <is>
          <t>SRC-RAW</t>
        </is>
      </c>
      <c r="V66" s="18" t="inlineStr">
        <is>
          <t>已审查</t>
        </is>
      </c>
      <c r="W66" s="18" t="inlineStr">
        <is>
          <t>否</t>
        </is>
      </c>
      <c r="X66" s="18" t="inlineStr">
        <is>
          <t>PR02 清洗剂surfactant 0.0</t>
        </is>
      </c>
      <c r="Y66" s="18" t="inlineStr">
        <is>
          <t>CIP清洗剂</t>
        </is>
      </c>
      <c r="Z66" t="inlineStr">
        <is>
          <t>CT-CLC-02E</t>
        </is>
      </c>
      <c r="AA66" t="inlineStr">
        <is>
          <t>直接报告</t>
        </is>
      </c>
      <c r="AB66" t="inlineStr">
        <is>
          <t>1天生产</t>
        </is>
      </c>
      <c r="AC66" t="inlineStr">
        <is>
          <t>1天生产</t>
        </is>
      </c>
    </row>
    <row r="67">
      <c r="A67" s="18" t="inlineStr">
        <is>
          <t>FL-CLC-02F</t>
        </is>
      </c>
      <c r="B67" s="18" t="inlineStr">
        <is>
          <t>PR02</t>
        </is>
      </c>
      <c r="C67" s="18" t="inlineStr">
        <is>
          <t>PR02 清洗剂Other acid</t>
        </is>
      </c>
      <c r="D67" s="18" t="inlineStr">
        <is>
          <t>物理流</t>
        </is>
      </c>
      <c r="E67" s="18" t="inlineStr">
        <is>
          <t>输入</t>
        </is>
      </c>
      <c r="F67" s="18" t="n"/>
      <c r="G67" s="18" t="inlineStr">
        <is>
          <t>PR02</t>
        </is>
      </c>
      <c r="H67" s="18" t="inlineStr">
        <is>
          <t>physical_material</t>
        </is>
      </c>
      <c r="I67" s="51" t="n">
        <v>0</v>
      </c>
      <c r="J67" s="18" t="inlineStr">
        <is>
          <t>kg/d</t>
        </is>
      </c>
      <c r="K67" s="18" t="inlineStr">
        <is>
          <t>1天</t>
        </is>
      </c>
      <c r="L67" s="18" t="n"/>
      <c r="M67" s="18" t="n"/>
      <c r="N67" s="18" t="n"/>
      <c r="O67" s="18" t="n"/>
      <c r="P67" s="52" t="n">
        <v>0</v>
      </c>
      <c r="Q67" s="18" t="inlineStr">
        <is>
          <t>kg/d</t>
        </is>
      </c>
      <c r="R67" s="18" t="inlineStr">
        <is>
          <t>+</t>
        </is>
      </c>
      <c r="S67" s="18" t="inlineStr">
        <is>
          <t>否</t>
        </is>
      </c>
      <c r="T67" s="18" t="inlineStr">
        <is>
          <t>来源原始清单（未分配）</t>
        </is>
      </c>
      <c r="U67" s="18" t="inlineStr">
        <is>
          <t>SRC-RAW</t>
        </is>
      </c>
      <c r="V67" s="18" t="inlineStr">
        <is>
          <t>已审查</t>
        </is>
      </c>
      <c r="W67" s="18" t="inlineStr">
        <is>
          <t>否</t>
        </is>
      </c>
      <c r="X67" s="18" t="inlineStr">
        <is>
          <t>PR02 清洗剂Other acid 0.0</t>
        </is>
      </c>
      <c r="Y67" s="18" t="inlineStr">
        <is>
          <t>CIP清洗剂</t>
        </is>
      </c>
      <c r="Z67" t="inlineStr">
        <is>
          <t>CT-CLC-02F</t>
        </is>
      </c>
      <c r="AA67" t="inlineStr">
        <is>
          <t>直接报告</t>
        </is>
      </c>
      <c r="AB67" t="inlineStr">
        <is>
          <t>1天生产</t>
        </is>
      </c>
      <c r="AC67" t="inlineStr">
        <is>
          <t>1天生产</t>
        </is>
      </c>
    </row>
    <row r="68">
      <c r="A68" s="18" t="inlineStr">
        <is>
          <t>FL-CLT-02</t>
        </is>
      </c>
      <c r="B68" s="18" t="inlineStr">
        <is>
          <t>PR02</t>
        </is>
      </c>
      <c r="C68" s="18" t="inlineStr">
        <is>
          <t>PR02 清洗回路设备材料</t>
        </is>
      </c>
      <c r="D68" s="18" t="inlineStr">
        <is>
          <t>物理流</t>
        </is>
      </c>
      <c r="E68" s="18" t="inlineStr">
        <is>
          <t>输入</t>
        </is>
      </c>
      <c r="F68" s="18" t="n"/>
      <c r="G68" s="18" t="inlineStr">
        <is>
          <t>PR02</t>
        </is>
      </c>
      <c r="H68" s="18" t="inlineStr">
        <is>
          <t>physical_material</t>
        </is>
      </c>
      <c r="I68" s="51" t="n">
        <v>0.844039603960396</v>
      </c>
      <c r="J68" s="18" t="inlineStr">
        <is>
          <t>kg/d</t>
        </is>
      </c>
      <c r="K68" s="18" t="inlineStr">
        <is>
          <t>1天</t>
        </is>
      </c>
      <c r="L68" s="18" t="n"/>
      <c r="M68" s="18" t="n"/>
      <c r="N68" s="18" t="n"/>
      <c r="O68" s="18" t="n"/>
      <c r="P68" s="52" t="n">
        <v>0.844039603960396</v>
      </c>
      <c r="Q68" s="18" t="inlineStr">
        <is>
          <t>kg/d</t>
        </is>
      </c>
      <c r="R68" s="18" t="inlineStr">
        <is>
          <t>+</t>
        </is>
      </c>
      <c r="S68" s="18" t="inlineStr">
        <is>
          <t>否</t>
        </is>
      </c>
      <c r="T68" s="18" t="inlineStr">
        <is>
          <t>来源原始清单（未分配）</t>
        </is>
      </c>
      <c r="U68" s="18" t="inlineStr">
        <is>
          <t>SRC-RAW</t>
        </is>
      </c>
      <c r="V68" s="18" t="inlineStr">
        <is>
          <t>已审查</t>
        </is>
      </c>
      <c r="W68" s="18" t="inlineStr">
        <is>
          <t>否</t>
        </is>
      </c>
      <c r="X68" s="18" t="inlineStr">
        <is>
          <t>PR02 清洗回路设备材料 0.844039603960396</t>
        </is>
      </c>
      <c r="Y68" s="18" t="inlineStr">
        <is>
          <t>Tanks and pipes 不锈钢（按天摊销）</t>
        </is>
      </c>
      <c r="Z68" t="inlineStr">
        <is>
          <t>CT-CLT-02</t>
        </is>
      </c>
      <c r="AA68" t="inlineStr">
        <is>
          <t>直接报告</t>
        </is>
      </c>
      <c r="AB68" t="inlineStr">
        <is>
          <t>1天生产</t>
        </is>
      </c>
      <c r="AC68" t="inlineStr">
        <is>
          <t>1天生产</t>
        </is>
      </c>
    </row>
    <row r="69">
      <c r="A69" s="18" t="inlineStr">
        <is>
          <t>FL-CLCOD-02</t>
        </is>
      </c>
      <c r="B69" s="18" t="inlineStr">
        <is>
          <t>PR02</t>
        </is>
      </c>
      <c r="C69" s="18" t="inlineStr">
        <is>
          <t>PR02 清洗废水COD</t>
        </is>
      </c>
      <c r="D69" s="18" t="inlineStr">
        <is>
          <t>环境交换</t>
        </is>
      </c>
      <c r="E69" s="18" t="inlineStr">
        <is>
          <t>输入</t>
        </is>
      </c>
      <c r="F69" s="18" t="n"/>
      <c r="G69" s="18" t="inlineStr">
        <is>
          <t>PR02</t>
        </is>
      </c>
      <c r="H69" s="18" t="inlineStr">
        <is>
          <t>environment_exchange</t>
        </is>
      </c>
      <c r="I69" s="51" t="n">
        <v>94.40000000000001</v>
      </c>
      <c r="J69" s="18" t="inlineStr">
        <is>
          <t>kg_COD/d</t>
        </is>
      </c>
      <c r="K69" s="18" t="inlineStr">
        <is>
          <t>1天</t>
        </is>
      </c>
      <c r="L69" s="18" t="n"/>
      <c r="M69" s="18" t="n"/>
      <c r="N69" s="18" t="n"/>
      <c r="O69" s="18" t="n"/>
      <c r="P69" s="52" t="n">
        <v>94.40000000000001</v>
      </c>
      <c r="Q69" s="18" t="inlineStr">
        <is>
          <t>kg_COD/d</t>
        </is>
      </c>
      <c r="R69" s="18" t="inlineStr">
        <is>
          <t>+</t>
        </is>
      </c>
      <c r="S69" s="18" t="inlineStr">
        <is>
          <t>否</t>
        </is>
      </c>
      <c r="T69" s="18" t="inlineStr">
        <is>
          <t>来源原始清单（未分配）</t>
        </is>
      </c>
      <c r="U69" s="18" t="inlineStr">
        <is>
          <t>SRC-RAW</t>
        </is>
      </c>
      <c r="V69" s="18" t="inlineStr">
        <is>
          <t>已审查</t>
        </is>
      </c>
      <c r="W69" s="18" t="inlineStr">
        <is>
          <t>否</t>
        </is>
      </c>
      <c r="X69" s="18" t="inlineStr">
        <is>
          <t>PR02 清洗废水COD 94.4</t>
        </is>
      </c>
      <c r="Y69" s="18" t="inlineStr"/>
      <c r="Z69" t="inlineStr">
        <is>
          <t>CT-CLCOD-02</t>
        </is>
      </c>
      <c r="AA69" t="inlineStr">
        <is>
          <t>直接报告</t>
        </is>
      </c>
      <c r="AB69" t="inlineStr">
        <is>
          <t>1天生产</t>
        </is>
      </c>
      <c r="AC69" t="inlineStr">
        <is>
          <t>1天生产</t>
        </is>
      </c>
    </row>
    <row r="70">
      <c r="A70" s="18" t="inlineStr">
        <is>
          <t>FL-CLDM-02</t>
        </is>
      </c>
      <c r="B70" s="18" t="inlineStr">
        <is>
          <t>PR02</t>
        </is>
      </c>
      <c r="C70" s="18" t="inlineStr">
        <is>
          <t>PR02 清洗废水干物质</t>
        </is>
      </c>
      <c r="D70" s="18" t="inlineStr">
        <is>
          <t>环境交换</t>
        </is>
      </c>
      <c r="E70" s="18" t="inlineStr">
        <is>
          <t>输入</t>
        </is>
      </c>
      <c r="F70" s="18" t="n"/>
      <c r="G70" s="18" t="inlineStr">
        <is>
          <t>PR02</t>
        </is>
      </c>
      <c r="H70" s="18" t="inlineStr">
        <is>
          <t>environment_exchange</t>
        </is>
      </c>
      <c r="I70" s="51" t="n">
        <v>67.968</v>
      </c>
      <c r="J70" s="18" t="inlineStr">
        <is>
          <t>kg/d</t>
        </is>
      </c>
      <c r="K70" s="18" t="inlineStr">
        <is>
          <t>1天</t>
        </is>
      </c>
      <c r="L70" s="18" t="n"/>
      <c r="M70" s="18" t="n"/>
      <c r="N70" s="18" t="n"/>
      <c r="O70" s="18" t="n"/>
      <c r="P70" s="52" t="n">
        <v>67.968</v>
      </c>
      <c r="Q70" s="18" t="inlineStr">
        <is>
          <t>kg/d</t>
        </is>
      </c>
      <c r="R70" s="18" t="inlineStr">
        <is>
          <t>+</t>
        </is>
      </c>
      <c r="S70" s="18" t="inlineStr">
        <is>
          <t>否</t>
        </is>
      </c>
      <c r="T70" s="18" t="inlineStr">
        <is>
          <t>来源原始清单（未分配）</t>
        </is>
      </c>
      <c r="U70" s="18" t="inlineStr">
        <is>
          <t>SRC-RAW</t>
        </is>
      </c>
      <c r="V70" s="18" t="inlineStr">
        <is>
          <t>已审查</t>
        </is>
      </c>
      <c r="W70" s="18" t="inlineStr">
        <is>
          <t>否</t>
        </is>
      </c>
      <c r="X70" s="18" t="inlineStr">
        <is>
          <t>PR02 清洗废水干物质 67.968</t>
        </is>
      </c>
      <c r="Y70" s="18" t="inlineStr"/>
      <c r="Z70" t="inlineStr">
        <is>
          <t>CT-CLDM-02</t>
        </is>
      </c>
      <c r="AA70" t="inlineStr">
        <is>
          <t>直接报告</t>
        </is>
      </c>
      <c r="AB70" t="inlineStr">
        <is>
          <t>1天生产</t>
        </is>
      </c>
      <c r="AC70" t="inlineStr">
        <is>
          <t>1天生产</t>
        </is>
      </c>
    </row>
    <row r="71">
      <c r="A71" s="18" t="inlineStr">
        <is>
          <t>FL-CLE-03</t>
        </is>
      </c>
      <c r="B71" s="18" t="inlineStr">
        <is>
          <t>PR03</t>
        </is>
      </c>
      <c r="C71" s="18" t="inlineStr">
        <is>
          <t>电力（清洗）</t>
        </is>
      </c>
      <c r="D71" s="18" t="inlineStr">
        <is>
          <t>能源</t>
        </is>
      </c>
      <c r="E71" s="18" t="inlineStr">
        <is>
          <t>输入</t>
        </is>
      </c>
      <c r="F71" s="18" t="n"/>
      <c r="G71" s="18" t="inlineStr">
        <is>
          <t>PR03</t>
        </is>
      </c>
      <c r="H71" s="18" t="inlineStr">
        <is>
          <t>physical_energy</t>
        </is>
      </c>
      <c r="I71" s="51" t="n">
        <v>39</v>
      </c>
      <c r="J71" s="18" t="inlineStr">
        <is>
          <t>kWh/d</t>
        </is>
      </c>
      <c r="K71" s="18" t="inlineStr">
        <is>
          <t>1天</t>
        </is>
      </c>
      <c r="L71" s="18" t="n"/>
      <c r="M71" s="18" t="n"/>
      <c r="N71" s="18" t="n"/>
      <c r="O71" s="18" t="n"/>
      <c r="P71" s="52" t="n">
        <v>39</v>
      </c>
      <c r="Q71" s="18" t="inlineStr">
        <is>
          <t>kWh/d</t>
        </is>
      </c>
      <c r="R71" s="18" t="inlineStr">
        <is>
          <t>+</t>
        </is>
      </c>
      <c r="S71" s="18" t="inlineStr">
        <is>
          <t>否</t>
        </is>
      </c>
      <c r="T71" s="18" t="inlineStr">
        <is>
          <t>来源原始清单（未分配）</t>
        </is>
      </c>
      <c r="U71" s="18" t="inlineStr">
        <is>
          <t>SRC-RAW</t>
        </is>
      </c>
      <c r="V71" s="18" t="inlineStr">
        <is>
          <t>已审查</t>
        </is>
      </c>
      <c r="W71" s="18" t="inlineStr">
        <is>
          <t>是</t>
        </is>
      </c>
      <c r="X71" s="18" t="inlineStr">
        <is>
          <t>PR03 清洗电耗 39.0</t>
        </is>
      </c>
      <c r="Y71" s="18" t="inlineStr">
        <is>
          <t>CIP</t>
        </is>
      </c>
      <c r="Z71" t="inlineStr">
        <is>
          <t>CT-CLE-03</t>
        </is>
      </c>
      <c r="AA71" t="inlineStr">
        <is>
          <t>直接报告</t>
        </is>
      </c>
      <c r="AB71" t="inlineStr">
        <is>
          <t>1天生产</t>
        </is>
      </c>
      <c r="AC71" t="inlineStr">
        <is>
          <t>1天生产</t>
        </is>
      </c>
    </row>
    <row r="72">
      <c r="A72" s="18" t="inlineStr">
        <is>
          <t>FL-CLH-03</t>
        </is>
      </c>
      <c r="B72" s="18" t="inlineStr">
        <is>
          <t>PR03</t>
        </is>
      </c>
      <c r="C72" s="18" t="inlineStr">
        <is>
          <t>热量（清洗）</t>
        </is>
      </c>
      <c r="D72" s="18" t="inlineStr">
        <is>
          <t>能源</t>
        </is>
      </c>
      <c r="E72" s="18" t="inlineStr">
        <is>
          <t>输入</t>
        </is>
      </c>
      <c r="F72" s="18" t="n"/>
      <c r="G72" s="18" t="inlineStr">
        <is>
          <t>PR03</t>
        </is>
      </c>
      <c r="H72" s="18" t="inlineStr">
        <is>
          <t>physical_energy</t>
        </is>
      </c>
      <c r="I72" s="51" t="n">
        <v>707.4</v>
      </c>
      <c r="J72" s="18" t="inlineStr">
        <is>
          <t>MJ/d</t>
        </is>
      </c>
      <c r="K72" s="18" t="inlineStr">
        <is>
          <t>1天</t>
        </is>
      </c>
      <c r="L72" s="18" t="n"/>
      <c r="M72" s="18" t="n"/>
      <c r="N72" s="18" t="n"/>
      <c r="O72" s="18" t="n"/>
      <c r="P72" s="52" t="n">
        <v>707.4</v>
      </c>
      <c r="Q72" s="18" t="inlineStr">
        <is>
          <t>MJ/d</t>
        </is>
      </c>
      <c r="R72" s="18" t="inlineStr">
        <is>
          <t>+</t>
        </is>
      </c>
      <c r="S72" s="18" t="inlineStr">
        <is>
          <t>否</t>
        </is>
      </c>
      <c r="T72" s="18" t="inlineStr">
        <is>
          <t>来源原始清单（未分配）</t>
        </is>
      </c>
      <c r="U72" s="18" t="inlineStr">
        <is>
          <t>SRC-RAW</t>
        </is>
      </c>
      <c r="V72" s="18" t="inlineStr">
        <is>
          <t>已审查</t>
        </is>
      </c>
      <c r="W72" s="18" t="inlineStr">
        <is>
          <t>是</t>
        </is>
      </c>
      <c r="X72" s="18" t="inlineStr">
        <is>
          <t>PR03 清洗热耗 707.4</t>
        </is>
      </c>
      <c r="Y72" s="18" t="inlineStr">
        <is>
          <t>CIP</t>
        </is>
      </c>
      <c r="Z72" t="inlineStr">
        <is>
          <t>CT-CLH-03</t>
        </is>
      </c>
      <c r="AA72" t="inlineStr">
        <is>
          <t>直接报告</t>
        </is>
      </c>
      <c r="AB72" t="inlineStr">
        <is>
          <t>1天生产</t>
        </is>
      </c>
      <c r="AC72" t="inlineStr">
        <is>
          <t>1天生产</t>
        </is>
      </c>
    </row>
    <row r="73">
      <c r="A73" s="18" t="inlineStr">
        <is>
          <t>FL-CLW-03</t>
        </is>
      </c>
      <c r="B73" s="18" t="inlineStr">
        <is>
          <t>PR03</t>
        </is>
      </c>
      <c r="C73" s="18" t="inlineStr">
        <is>
          <t>PR03 清洗水</t>
        </is>
      </c>
      <c r="D73" s="18" t="inlineStr">
        <is>
          <t>物理流</t>
        </is>
      </c>
      <c r="E73" s="18" t="inlineStr">
        <is>
          <t>输入</t>
        </is>
      </c>
      <c r="F73" s="18" t="n"/>
      <c r="G73" s="18" t="inlineStr">
        <is>
          <t>PR03</t>
        </is>
      </c>
      <c r="H73" s="18" t="inlineStr">
        <is>
          <t>physical_material</t>
        </is>
      </c>
      <c r="I73" s="51" t="n">
        <v>2.55</v>
      </c>
      <c r="J73" s="18" t="inlineStr">
        <is>
          <t>m3/d</t>
        </is>
      </c>
      <c r="K73" s="18" t="inlineStr">
        <is>
          <t>1天</t>
        </is>
      </c>
      <c r="L73" s="18" t="n"/>
      <c r="M73" s="18" t="n"/>
      <c r="N73" s="18" t="n"/>
      <c r="O73" s="18" t="n"/>
      <c r="P73" s="52" t="n">
        <v>2.55</v>
      </c>
      <c r="Q73" s="18" t="inlineStr">
        <is>
          <t>m3/d</t>
        </is>
      </c>
      <c r="R73" s="18" t="inlineStr">
        <is>
          <t>+</t>
        </is>
      </c>
      <c r="S73" s="18" t="inlineStr">
        <is>
          <t>否</t>
        </is>
      </c>
      <c r="T73" s="18" t="inlineStr">
        <is>
          <t>来源原始清单（未分配）</t>
        </is>
      </c>
      <c r="U73" s="18" t="inlineStr">
        <is>
          <t>SRC-RAW</t>
        </is>
      </c>
      <c r="V73" s="18" t="inlineStr">
        <is>
          <t>已审查</t>
        </is>
      </c>
      <c r="W73" s="18" t="inlineStr">
        <is>
          <t>否</t>
        </is>
      </c>
      <c r="X73" s="18" t="inlineStr">
        <is>
          <t>PR03 清洗水 2.55</t>
        </is>
      </c>
      <c r="Y73" s="18" t="inlineStr"/>
      <c r="Z73" t="inlineStr">
        <is>
          <t>CT-CLW-03</t>
        </is>
      </c>
      <c r="AA73" t="inlineStr">
        <is>
          <t>直接报告</t>
        </is>
      </c>
      <c r="AB73" t="inlineStr">
        <is>
          <t>1天生产</t>
        </is>
      </c>
      <c r="AC73" t="inlineStr">
        <is>
          <t>1天生产</t>
        </is>
      </c>
    </row>
    <row r="74">
      <c r="A74" s="18" t="inlineStr">
        <is>
          <t>FL-CLC-03A</t>
        </is>
      </c>
      <c r="B74" s="18" t="inlineStr">
        <is>
          <t>PR03</t>
        </is>
      </c>
      <c r="C74" s="18" t="inlineStr">
        <is>
          <t>PR03 清洗剂NaOH</t>
        </is>
      </c>
      <c r="D74" s="18" t="inlineStr">
        <is>
          <t>物理流</t>
        </is>
      </c>
      <c r="E74" s="18" t="inlineStr">
        <is>
          <t>输入</t>
        </is>
      </c>
      <c r="F74" s="18" t="n"/>
      <c r="G74" s="18" t="inlineStr">
        <is>
          <t>PR03</t>
        </is>
      </c>
      <c r="H74" s="18" t="inlineStr">
        <is>
          <t>physical_material</t>
        </is>
      </c>
      <c r="I74" s="51" t="n">
        <v>70.40000000000001</v>
      </c>
      <c r="J74" s="18" t="inlineStr">
        <is>
          <t>kg/d</t>
        </is>
      </c>
      <c r="K74" s="18" t="inlineStr">
        <is>
          <t>1天</t>
        </is>
      </c>
      <c r="L74" s="18" t="n"/>
      <c r="M74" s="18" t="n"/>
      <c r="N74" s="18" t="n"/>
      <c r="O74" s="18" t="n"/>
      <c r="P74" s="52" t="n">
        <v>70.40000000000001</v>
      </c>
      <c r="Q74" s="18" t="inlineStr">
        <is>
          <t>kg/d</t>
        </is>
      </c>
      <c r="R74" s="18" t="inlineStr">
        <is>
          <t>+</t>
        </is>
      </c>
      <c r="S74" s="18" t="inlineStr">
        <is>
          <t>否</t>
        </is>
      </c>
      <c r="T74" s="18" t="inlineStr">
        <is>
          <t>来源原始清单（未分配）</t>
        </is>
      </c>
      <c r="U74" s="18" t="inlineStr">
        <is>
          <t>SRC-RAW</t>
        </is>
      </c>
      <c r="V74" s="18" t="inlineStr">
        <is>
          <t>已审查</t>
        </is>
      </c>
      <c r="W74" s="18" t="inlineStr">
        <is>
          <t>否</t>
        </is>
      </c>
      <c r="X74" s="18" t="inlineStr">
        <is>
          <t>PR03 清洗剂NaOH 70.4</t>
        </is>
      </c>
      <c r="Y74" s="18" t="inlineStr">
        <is>
          <t>CIP清洗剂</t>
        </is>
      </c>
      <c r="Z74" t="inlineStr">
        <is>
          <t>CT-CLC-03A</t>
        </is>
      </c>
      <c r="AA74" t="inlineStr">
        <is>
          <t>直接报告</t>
        </is>
      </c>
      <c r="AB74" t="inlineStr">
        <is>
          <t>1天生产</t>
        </is>
      </c>
      <c r="AC74" t="inlineStr">
        <is>
          <t>1天生产</t>
        </is>
      </c>
    </row>
    <row r="75">
      <c r="A75" s="18" t="inlineStr">
        <is>
          <t>FL-CLC-03B</t>
        </is>
      </c>
      <c r="B75" s="18" t="inlineStr">
        <is>
          <t>PR03</t>
        </is>
      </c>
      <c r="C75" s="18" t="inlineStr">
        <is>
          <t>PR03 清洗剂HNO3</t>
        </is>
      </c>
      <c r="D75" s="18" t="inlineStr">
        <is>
          <t>物理流</t>
        </is>
      </c>
      <c r="E75" s="18" t="inlineStr">
        <is>
          <t>输入</t>
        </is>
      </c>
      <c r="F75" s="18" t="n"/>
      <c r="G75" s="18" t="inlineStr">
        <is>
          <t>PR03</t>
        </is>
      </c>
      <c r="H75" s="18" t="inlineStr">
        <is>
          <t>physical_material</t>
        </is>
      </c>
      <c r="I75" s="51" t="n">
        <v>28</v>
      </c>
      <c r="J75" s="18" t="inlineStr">
        <is>
          <t>kg/d</t>
        </is>
      </c>
      <c r="K75" s="18" t="inlineStr">
        <is>
          <t>1天</t>
        </is>
      </c>
      <c r="L75" s="18" t="n"/>
      <c r="M75" s="18" t="n"/>
      <c r="N75" s="18" t="n"/>
      <c r="O75" s="18" t="n"/>
      <c r="P75" s="52" t="n">
        <v>28</v>
      </c>
      <c r="Q75" s="18" t="inlineStr">
        <is>
          <t>kg/d</t>
        </is>
      </c>
      <c r="R75" s="18" t="inlineStr">
        <is>
          <t>+</t>
        </is>
      </c>
      <c r="S75" s="18" t="inlineStr">
        <is>
          <t>否</t>
        </is>
      </c>
      <c r="T75" s="18" t="inlineStr">
        <is>
          <t>来源原始清单（未分配）</t>
        </is>
      </c>
      <c r="U75" s="18" t="inlineStr">
        <is>
          <t>SRC-RAW</t>
        </is>
      </c>
      <c r="V75" s="18" t="inlineStr">
        <is>
          <t>已审查</t>
        </is>
      </c>
      <c r="W75" s="18" t="inlineStr">
        <is>
          <t>否</t>
        </is>
      </c>
      <c r="X75" s="18" t="inlineStr">
        <is>
          <t>PR03 清洗剂HNO3 28.0</t>
        </is>
      </c>
      <c r="Y75" s="18" t="inlineStr">
        <is>
          <t>CIP清洗剂</t>
        </is>
      </c>
      <c r="Z75" t="inlineStr">
        <is>
          <t>CT-CLC-03B</t>
        </is>
      </c>
      <c r="AA75" t="inlineStr">
        <is>
          <t>直接报告</t>
        </is>
      </c>
      <c r="AB75" t="inlineStr">
        <is>
          <t>1天生产</t>
        </is>
      </c>
      <c r="AC75" t="inlineStr">
        <is>
          <t>1天生产</t>
        </is>
      </c>
    </row>
    <row r="76">
      <c r="A76" s="18" t="inlineStr">
        <is>
          <t>FL-CLC-03C</t>
        </is>
      </c>
      <c r="B76" s="18" t="inlineStr">
        <is>
          <t>PR03</t>
        </is>
      </c>
      <c r="C76" s="18" t="inlineStr">
        <is>
          <t>PR03 清洗剂NaOCl</t>
        </is>
      </c>
      <c r="D76" s="18" t="inlineStr">
        <is>
          <t>物理流</t>
        </is>
      </c>
      <c r="E76" s="18" t="inlineStr">
        <is>
          <t>输入</t>
        </is>
      </c>
      <c r="F76" s="18" t="n"/>
      <c r="G76" s="18" t="inlineStr">
        <is>
          <t>PR03</t>
        </is>
      </c>
      <c r="H76" s="18" t="inlineStr">
        <is>
          <t>physical_material</t>
        </is>
      </c>
      <c r="I76" s="51" t="n">
        <v>0</v>
      </c>
      <c r="J76" s="18" t="inlineStr">
        <is>
          <t>kg/d</t>
        </is>
      </c>
      <c r="K76" s="18" t="inlineStr">
        <is>
          <t>1天</t>
        </is>
      </c>
      <c r="L76" s="18" t="n"/>
      <c r="M76" s="18" t="n"/>
      <c r="N76" s="18" t="n"/>
      <c r="O76" s="18" t="n"/>
      <c r="P76" s="52" t="n">
        <v>0</v>
      </c>
      <c r="Q76" s="18" t="inlineStr">
        <is>
          <t>kg/d</t>
        </is>
      </c>
      <c r="R76" s="18" t="inlineStr">
        <is>
          <t>+</t>
        </is>
      </c>
      <c r="S76" s="18" t="inlineStr">
        <is>
          <t>否</t>
        </is>
      </c>
      <c r="T76" s="18" t="inlineStr">
        <is>
          <t>来源原始清单（未分配）</t>
        </is>
      </c>
      <c r="U76" s="18" t="inlineStr">
        <is>
          <t>SRC-RAW</t>
        </is>
      </c>
      <c r="V76" s="18" t="inlineStr">
        <is>
          <t>已审查</t>
        </is>
      </c>
      <c r="W76" s="18" t="inlineStr">
        <is>
          <t>否</t>
        </is>
      </c>
      <c r="X76" s="18" t="inlineStr">
        <is>
          <t>PR03 清洗剂NaOCl 0.0</t>
        </is>
      </c>
      <c r="Y76" s="18" t="inlineStr">
        <is>
          <t>CIP清洗剂</t>
        </is>
      </c>
      <c r="Z76" t="inlineStr">
        <is>
          <t>CT-CLC-03C</t>
        </is>
      </c>
      <c r="AA76" t="inlineStr">
        <is>
          <t>直接报告</t>
        </is>
      </c>
      <c r="AB76" t="inlineStr">
        <is>
          <t>1天生产</t>
        </is>
      </c>
      <c r="AC76" t="inlineStr">
        <is>
          <t>1天生产</t>
        </is>
      </c>
    </row>
    <row r="77">
      <c r="A77" s="18" t="inlineStr">
        <is>
          <t>FL-CLC-03D</t>
        </is>
      </c>
      <c r="B77" s="18" t="inlineStr">
        <is>
          <t>PR03</t>
        </is>
      </c>
      <c r="C77" s="18" t="inlineStr">
        <is>
          <t>PR03 清洗剂Phosphoc acid</t>
        </is>
      </c>
      <c r="D77" s="18" t="inlineStr">
        <is>
          <t>物理流</t>
        </is>
      </c>
      <c r="E77" s="18" t="inlineStr">
        <is>
          <t>输入</t>
        </is>
      </c>
      <c r="F77" s="18" t="n"/>
      <c r="G77" s="18" t="inlineStr">
        <is>
          <t>PR03</t>
        </is>
      </c>
      <c r="H77" s="18" t="inlineStr">
        <is>
          <t>physical_material</t>
        </is>
      </c>
      <c r="I77" s="51" t="n">
        <v>0</v>
      </c>
      <c r="J77" s="18" t="inlineStr">
        <is>
          <t>kg/d</t>
        </is>
      </c>
      <c r="K77" s="18" t="inlineStr">
        <is>
          <t>1天</t>
        </is>
      </c>
      <c r="L77" s="18" t="n"/>
      <c r="M77" s="18" t="n"/>
      <c r="N77" s="18" t="n"/>
      <c r="O77" s="18" t="n"/>
      <c r="P77" s="52" t="n">
        <v>0</v>
      </c>
      <c r="Q77" s="18" t="inlineStr">
        <is>
          <t>kg/d</t>
        </is>
      </c>
      <c r="R77" s="18" t="inlineStr">
        <is>
          <t>+</t>
        </is>
      </c>
      <c r="S77" s="18" t="inlineStr">
        <is>
          <t>否</t>
        </is>
      </c>
      <c r="T77" s="18" t="inlineStr">
        <is>
          <t>来源原始清单（未分配）</t>
        </is>
      </c>
      <c r="U77" s="18" t="inlineStr">
        <is>
          <t>SRC-RAW</t>
        </is>
      </c>
      <c r="V77" s="18" t="inlineStr">
        <is>
          <t>已审查</t>
        </is>
      </c>
      <c r="W77" s="18" t="inlineStr">
        <is>
          <t>否</t>
        </is>
      </c>
      <c r="X77" s="18" t="inlineStr">
        <is>
          <t>PR03 清洗剂Phosphoc acid 0.0</t>
        </is>
      </c>
      <c r="Y77" s="18" t="inlineStr">
        <is>
          <t>CIP清洗剂</t>
        </is>
      </c>
      <c r="Z77" t="inlineStr">
        <is>
          <t>CT-CLC-03D</t>
        </is>
      </c>
      <c r="AA77" t="inlineStr">
        <is>
          <t>直接报告</t>
        </is>
      </c>
      <c r="AB77" t="inlineStr">
        <is>
          <t>1天生产</t>
        </is>
      </c>
      <c r="AC77" t="inlineStr">
        <is>
          <t>1天生产</t>
        </is>
      </c>
    </row>
    <row r="78">
      <c r="A78" s="18" t="inlineStr">
        <is>
          <t>FL-CLC-03E</t>
        </is>
      </c>
      <c r="B78" s="18" t="inlineStr">
        <is>
          <t>PR03</t>
        </is>
      </c>
      <c r="C78" s="18" t="inlineStr">
        <is>
          <t>PR03 清洗剂surfactant</t>
        </is>
      </c>
      <c r="D78" s="18" t="inlineStr">
        <is>
          <t>物理流</t>
        </is>
      </c>
      <c r="E78" s="18" t="inlineStr">
        <is>
          <t>输入</t>
        </is>
      </c>
      <c r="F78" s="18" t="n"/>
      <c r="G78" s="18" t="inlineStr">
        <is>
          <t>PR03</t>
        </is>
      </c>
      <c r="H78" s="18" t="inlineStr">
        <is>
          <t>physical_material</t>
        </is>
      </c>
      <c r="I78" s="51" t="n">
        <v>0</v>
      </c>
      <c r="J78" s="18" t="inlineStr">
        <is>
          <t>kg/d</t>
        </is>
      </c>
      <c r="K78" s="18" t="inlineStr">
        <is>
          <t>1天</t>
        </is>
      </c>
      <c r="L78" s="18" t="n"/>
      <c r="M78" s="18" t="n"/>
      <c r="N78" s="18" t="n"/>
      <c r="O78" s="18" t="n"/>
      <c r="P78" s="52" t="n">
        <v>0</v>
      </c>
      <c r="Q78" s="18" t="inlineStr">
        <is>
          <t>kg/d</t>
        </is>
      </c>
      <c r="R78" s="18" t="inlineStr">
        <is>
          <t>+</t>
        </is>
      </c>
      <c r="S78" s="18" t="inlineStr">
        <is>
          <t>否</t>
        </is>
      </c>
      <c r="T78" s="18" t="inlineStr">
        <is>
          <t>来源原始清单（未分配）</t>
        </is>
      </c>
      <c r="U78" s="18" t="inlineStr">
        <is>
          <t>SRC-RAW</t>
        </is>
      </c>
      <c r="V78" s="18" t="inlineStr">
        <is>
          <t>已审查</t>
        </is>
      </c>
      <c r="W78" s="18" t="inlineStr">
        <is>
          <t>否</t>
        </is>
      </c>
      <c r="X78" s="18" t="inlineStr">
        <is>
          <t>PR03 清洗剂surfactant 0.0</t>
        </is>
      </c>
      <c r="Y78" s="18" t="inlineStr">
        <is>
          <t>CIP清洗剂</t>
        </is>
      </c>
      <c r="Z78" t="inlineStr">
        <is>
          <t>CT-CLC-03E</t>
        </is>
      </c>
      <c r="AA78" t="inlineStr">
        <is>
          <t>直接报告</t>
        </is>
      </c>
      <c r="AB78" t="inlineStr">
        <is>
          <t>1天生产</t>
        </is>
      </c>
      <c r="AC78" t="inlineStr">
        <is>
          <t>1天生产</t>
        </is>
      </c>
    </row>
    <row r="79">
      <c r="A79" s="18" t="inlineStr">
        <is>
          <t>FL-CLC-03F</t>
        </is>
      </c>
      <c r="B79" s="18" t="inlineStr">
        <is>
          <t>PR03</t>
        </is>
      </c>
      <c r="C79" s="18" t="inlineStr">
        <is>
          <t>PR03 清洗剂Other acid</t>
        </is>
      </c>
      <c r="D79" s="18" t="inlineStr">
        <is>
          <t>物理流</t>
        </is>
      </c>
      <c r="E79" s="18" t="inlineStr">
        <is>
          <t>输入</t>
        </is>
      </c>
      <c r="F79" s="18" t="n"/>
      <c r="G79" s="18" t="inlineStr">
        <is>
          <t>PR03</t>
        </is>
      </c>
      <c r="H79" s="18" t="inlineStr">
        <is>
          <t>physical_material</t>
        </is>
      </c>
      <c r="I79" s="51" t="n">
        <v>0</v>
      </c>
      <c r="J79" s="18" t="inlineStr">
        <is>
          <t>kg/d</t>
        </is>
      </c>
      <c r="K79" s="18" t="inlineStr">
        <is>
          <t>1天</t>
        </is>
      </c>
      <c r="L79" s="18" t="n"/>
      <c r="M79" s="18" t="n"/>
      <c r="N79" s="18" t="n"/>
      <c r="O79" s="18" t="n"/>
      <c r="P79" s="52" t="n">
        <v>0</v>
      </c>
      <c r="Q79" s="18" t="inlineStr">
        <is>
          <t>kg/d</t>
        </is>
      </c>
      <c r="R79" s="18" t="inlineStr">
        <is>
          <t>+</t>
        </is>
      </c>
      <c r="S79" s="18" t="inlineStr">
        <is>
          <t>否</t>
        </is>
      </c>
      <c r="T79" s="18" t="inlineStr">
        <is>
          <t>来源原始清单（未分配）</t>
        </is>
      </c>
      <c r="U79" s="18" t="inlineStr">
        <is>
          <t>SRC-RAW</t>
        </is>
      </c>
      <c r="V79" s="18" t="inlineStr">
        <is>
          <t>已审查</t>
        </is>
      </c>
      <c r="W79" s="18" t="inlineStr">
        <is>
          <t>否</t>
        </is>
      </c>
      <c r="X79" s="18" t="inlineStr">
        <is>
          <t>PR03 清洗剂Other acid 0.0</t>
        </is>
      </c>
      <c r="Y79" s="18" t="inlineStr">
        <is>
          <t>CIP清洗剂</t>
        </is>
      </c>
      <c r="Z79" t="inlineStr">
        <is>
          <t>CT-CLC-03F</t>
        </is>
      </c>
      <c r="AA79" t="inlineStr">
        <is>
          <t>直接报告</t>
        </is>
      </c>
      <c r="AB79" t="inlineStr">
        <is>
          <t>1天生产</t>
        </is>
      </c>
      <c r="AC79" t="inlineStr">
        <is>
          <t>1天生产</t>
        </is>
      </c>
    </row>
    <row r="80">
      <c r="A80" s="18" t="inlineStr">
        <is>
          <t>FL-CLT-03</t>
        </is>
      </c>
      <c r="B80" s="18" t="inlineStr">
        <is>
          <t>PR03</t>
        </is>
      </c>
      <c r="C80" s="18" t="inlineStr">
        <is>
          <t>PR03 清洗回路设备材料</t>
        </is>
      </c>
      <c r="D80" s="18" t="inlineStr">
        <is>
          <t>物理流</t>
        </is>
      </c>
      <c r="E80" s="18" t="inlineStr">
        <is>
          <t>输入</t>
        </is>
      </c>
      <c r="F80" s="18" t="n"/>
      <c r="G80" s="18" t="inlineStr">
        <is>
          <t>PR03</t>
        </is>
      </c>
      <c r="H80" s="18" t="inlineStr">
        <is>
          <t>physical_material</t>
        </is>
      </c>
      <c r="I80" s="51" t="n">
        <v>1.73813861386139</v>
      </c>
      <c r="J80" s="18" t="inlineStr">
        <is>
          <t>kg/d</t>
        </is>
      </c>
      <c r="K80" s="18" t="inlineStr">
        <is>
          <t>1天</t>
        </is>
      </c>
      <c r="L80" s="18" t="n"/>
      <c r="M80" s="18" t="n"/>
      <c r="N80" s="18" t="n"/>
      <c r="O80" s="18" t="n"/>
      <c r="P80" s="52" t="n">
        <v>1.73813861386139</v>
      </c>
      <c r="Q80" s="18" t="inlineStr">
        <is>
          <t>kg/d</t>
        </is>
      </c>
      <c r="R80" s="18" t="inlineStr">
        <is>
          <t>+</t>
        </is>
      </c>
      <c r="S80" s="18" t="inlineStr">
        <is>
          <t>否</t>
        </is>
      </c>
      <c r="T80" s="18" t="inlineStr">
        <is>
          <t>来源原始清单（未分配）</t>
        </is>
      </c>
      <c r="U80" s="18" t="inlineStr">
        <is>
          <t>SRC-RAW</t>
        </is>
      </c>
      <c r="V80" s="18" t="inlineStr">
        <is>
          <t>已审查</t>
        </is>
      </c>
      <c r="W80" s="18" t="inlineStr">
        <is>
          <t>否</t>
        </is>
      </c>
      <c r="X80" s="18" t="inlineStr">
        <is>
          <t>PR03 清洗回路设备材料 1.73813861386139</t>
        </is>
      </c>
      <c r="Y80" s="18" t="inlineStr">
        <is>
          <t>Tanks and pipes 不锈钢（按天摊销）</t>
        </is>
      </c>
      <c r="Z80" t="inlineStr">
        <is>
          <t>CT-CLT-03</t>
        </is>
      </c>
      <c r="AA80" t="inlineStr">
        <is>
          <t>直接报告</t>
        </is>
      </c>
      <c r="AB80" t="inlineStr">
        <is>
          <t>1天生产</t>
        </is>
      </c>
      <c r="AC80" t="inlineStr">
        <is>
          <t>1天生产</t>
        </is>
      </c>
    </row>
    <row r="81">
      <c r="A81" s="18" t="inlineStr">
        <is>
          <t>FL-CLCOD-03</t>
        </is>
      </c>
      <c r="B81" s="18" t="inlineStr">
        <is>
          <t>PR03</t>
        </is>
      </c>
      <c r="C81" s="18" t="inlineStr">
        <is>
          <t>PR03 清洗废水COD</t>
        </is>
      </c>
      <c r="D81" s="18" t="inlineStr">
        <is>
          <t>环境交换</t>
        </is>
      </c>
      <c r="E81" s="18" t="inlineStr">
        <is>
          <t>输入</t>
        </is>
      </c>
      <c r="F81" s="18" t="n"/>
      <c r="G81" s="18" t="inlineStr">
        <is>
          <t>PR03</t>
        </is>
      </c>
      <c r="H81" s="18" t="inlineStr">
        <is>
          <t>environment_exchange</t>
        </is>
      </c>
      <c r="I81" s="51" t="n">
        <v>1.58</v>
      </c>
      <c r="J81" s="18" t="inlineStr">
        <is>
          <t>kg_COD/d</t>
        </is>
      </c>
      <c r="K81" s="18" t="inlineStr">
        <is>
          <t>1天</t>
        </is>
      </c>
      <c r="L81" s="18" t="n"/>
      <c r="M81" s="18" t="n"/>
      <c r="N81" s="18" t="n"/>
      <c r="O81" s="18" t="n"/>
      <c r="P81" s="52" t="n">
        <v>1.58</v>
      </c>
      <c r="Q81" s="18" t="inlineStr">
        <is>
          <t>kg_COD/d</t>
        </is>
      </c>
      <c r="R81" s="18" t="inlineStr">
        <is>
          <t>+</t>
        </is>
      </c>
      <c r="S81" s="18" t="inlineStr">
        <is>
          <t>否</t>
        </is>
      </c>
      <c r="T81" s="18" t="inlineStr">
        <is>
          <t>来源原始清单（未分配）</t>
        </is>
      </c>
      <c r="U81" s="18" t="inlineStr">
        <is>
          <t>SRC-RAW</t>
        </is>
      </c>
      <c r="V81" s="18" t="inlineStr">
        <is>
          <t>已审查</t>
        </is>
      </c>
      <c r="W81" s="18" t="inlineStr">
        <is>
          <t>否</t>
        </is>
      </c>
      <c r="X81" s="18" t="inlineStr">
        <is>
          <t>PR03 清洗废水COD 1.58</t>
        </is>
      </c>
      <c r="Y81" s="18" t="inlineStr"/>
      <c r="Z81" t="inlineStr">
        <is>
          <t>CT-CLCOD-03</t>
        </is>
      </c>
      <c r="AA81" t="inlineStr">
        <is>
          <t>直接报告</t>
        </is>
      </c>
      <c r="AB81" t="inlineStr">
        <is>
          <t>1天生产</t>
        </is>
      </c>
      <c r="AC81" t="inlineStr">
        <is>
          <t>1天生产</t>
        </is>
      </c>
    </row>
    <row r="82">
      <c r="A82" s="18" t="inlineStr">
        <is>
          <t>FL-CLDM-03</t>
        </is>
      </c>
      <c r="B82" s="18" t="inlineStr">
        <is>
          <t>PR03</t>
        </is>
      </c>
      <c r="C82" s="18" t="inlineStr">
        <is>
          <t>PR03 清洗废水干物质</t>
        </is>
      </c>
      <c r="D82" s="18" t="inlineStr">
        <is>
          <t>环境交换</t>
        </is>
      </c>
      <c r="E82" s="18" t="inlineStr">
        <is>
          <t>输入</t>
        </is>
      </c>
      <c r="F82" s="18" t="n"/>
      <c r="G82" s="18" t="inlineStr">
        <is>
          <t>PR03</t>
        </is>
      </c>
      <c r="H82" s="18" t="inlineStr">
        <is>
          <t>environment_exchange</t>
        </is>
      </c>
      <c r="I82" s="51" t="n">
        <v>1.817</v>
      </c>
      <c r="J82" s="18" t="inlineStr">
        <is>
          <t>kg/d</t>
        </is>
      </c>
      <c r="K82" s="18" t="inlineStr">
        <is>
          <t>1天</t>
        </is>
      </c>
      <c r="L82" s="18" t="n"/>
      <c r="M82" s="18" t="n"/>
      <c r="N82" s="18" t="n"/>
      <c r="O82" s="18" t="n"/>
      <c r="P82" s="52" t="n">
        <v>1.817</v>
      </c>
      <c r="Q82" s="18" t="inlineStr">
        <is>
          <t>kg/d</t>
        </is>
      </c>
      <c r="R82" s="18" t="inlineStr">
        <is>
          <t>+</t>
        </is>
      </c>
      <c r="S82" s="18" t="inlineStr">
        <is>
          <t>否</t>
        </is>
      </c>
      <c r="T82" s="18" t="inlineStr">
        <is>
          <t>来源原始清单（未分配）</t>
        </is>
      </c>
      <c r="U82" s="18" t="inlineStr">
        <is>
          <t>SRC-RAW</t>
        </is>
      </c>
      <c r="V82" s="18" t="inlineStr">
        <is>
          <t>已审查</t>
        </is>
      </c>
      <c r="W82" s="18" t="inlineStr">
        <is>
          <t>否</t>
        </is>
      </c>
      <c r="X82" s="18" t="inlineStr">
        <is>
          <t>PR03 清洗废水干物质 1.817</t>
        </is>
      </c>
      <c r="Y82" s="18" t="inlineStr"/>
      <c r="Z82" t="inlineStr">
        <is>
          <t>CT-CLDM-03</t>
        </is>
      </c>
      <c r="AA82" t="inlineStr">
        <is>
          <t>直接报告</t>
        </is>
      </c>
      <c r="AB82" t="inlineStr">
        <is>
          <t>1天生产</t>
        </is>
      </c>
      <c r="AC82" t="inlineStr">
        <is>
          <t>1天生产</t>
        </is>
      </c>
    </row>
    <row r="83">
      <c r="A83" s="18" t="inlineStr">
        <is>
          <t>FL-CLE-04</t>
        </is>
      </c>
      <c r="B83" s="18" t="inlineStr">
        <is>
          <t>PR04</t>
        </is>
      </c>
      <c r="C83" s="18" t="inlineStr">
        <is>
          <t>电力（清洗）</t>
        </is>
      </c>
      <c r="D83" s="18" t="inlineStr">
        <is>
          <t>能源</t>
        </is>
      </c>
      <c r="E83" s="18" t="inlineStr">
        <is>
          <t>输入</t>
        </is>
      </c>
      <c r="F83" s="18" t="n"/>
      <c r="G83" s="18" t="inlineStr">
        <is>
          <t>PR04</t>
        </is>
      </c>
      <c r="H83" s="18" t="inlineStr">
        <is>
          <t>physical_energy</t>
        </is>
      </c>
      <c r="I83" s="51" t="n">
        <v>29</v>
      </c>
      <c r="J83" s="18" t="inlineStr">
        <is>
          <t>kWh/d</t>
        </is>
      </c>
      <c r="K83" s="18" t="inlineStr">
        <is>
          <t>1天</t>
        </is>
      </c>
      <c r="L83" s="18" t="n"/>
      <c r="M83" s="18" t="n"/>
      <c r="N83" s="18" t="n"/>
      <c r="O83" s="18" t="n"/>
      <c r="P83" s="52" t="n">
        <v>29</v>
      </c>
      <c r="Q83" s="18" t="inlineStr">
        <is>
          <t>kWh/d</t>
        </is>
      </c>
      <c r="R83" s="18" t="inlineStr">
        <is>
          <t>+</t>
        </is>
      </c>
      <c r="S83" s="18" t="inlineStr">
        <is>
          <t>否</t>
        </is>
      </c>
      <c r="T83" s="18" t="inlineStr">
        <is>
          <t>来源原始清单（未分配）</t>
        </is>
      </c>
      <c r="U83" s="18" t="inlineStr">
        <is>
          <t>SRC-RAW</t>
        </is>
      </c>
      <c r="V83" s="18" t="inlineStr">
        <is>
          <t>已审查</t>
        </is>
      </c>
      <c r="W83" s="18" t="inlineStr">
        <is>
          <t>是</t>
        </is>
      </c>
      <c r="X83" s="18" t="inlineStr">
        <is>
          <t>PR04 清洗电耗 29.0</t>
        </is>
      </c>
      <c r="Y83" s="18" t="inlineStr">
        <is>
          <t>CIP</t>
        </is>
      </c>
      <c r="Z83" t="inlineStr">
        <is>
          <t>CT-CLE-04</t>
        </is>
      </c>
      <c r="AA83" t="inlineStr">
        <is>
          <t>直接报告</t>
        </is>
      </c>
      <c r="AB83" t="inlineStr">
        <is>
          <t>1天生产</t>
        </is>
      </c>
      <c r="AC83" t="inlineStr">
        <is>
          <t>1天生产</t>
        </is>
      </c>
    </row>
    <row r="84">
      <c r="A84" s="18" t="inlineStr">
        <is>
          <t>FL-CLH-04</t>
        </is>
      </c>
      <c r="B84" s="18" t="inlineStr">
        <is>
          <t>PR04</t>
        </is>
      </c>
      <c r="C84" s="18" t="inlineStr">
        <is>
          <t>热量（清洗）</t>
        </is>
      </c>
      <c r="D84" s="18" t="inlineStr">
        <is>
          <t>能源</t>
        </is>
      </c>
      <c r="E84" s="18" t="inlineStr">
        <is>
          <t>输入</t>
        </is>
      </c>
      <c r="F84" s="18" t="n"/>
      <c r="G84" s="18" t="inlineStr">
        <is>
          <t>PR04</t>
        </is>
      </c>
      <c r="H84" s="18" t="inlineStr">
        <is>
          <t>physical_energy</t>
        </is>
      </c>
      <c r="I84" s="51" t="n">
        <v>791.64</v>
      </c>
      <c r="J84" s="18" t="inlineStr">
        <is>
          <t>MJ/d</t>
        </is>
      </c>
      <c r="K84" s="18" t="inlineStr">
        <is>
          <t>1天</t>
        </is>
      </c>
      <c r="L84" s="18" t="n"/>
      <c r="M84" s="18" t="n"/>
      <c r="N84" s="18" t="n"/>
      <c r="O84" s="18" t="n"/>
      <c r="P84" s="52" t="n">
        <v>791.64</v>
      </c>
      <c r="Q84" s="18" t="inlineStr">
        <is>
          <t>MJ/d</t>
        </is>
      </c>
      <c r="R84" s="18" t="inlineStr">
        <is>
          <t>+</t>
        </is>
      </c>
      <c r="S84" s="18" t="inlineStr">
        <is>
          <t>否</t>
        </is>
      </c>
      <c r="T84" s="18" t="inlineStr">
        <is>
          <t>来源原始清单（未分配）</t>
        </is>
      </c>
      <c r="U84" s="18" t="inlineStr">
        <is>
          <t>SRC-RAW</t>
        </is>
      </c>
      <c r="V84" s="18" t="inlineStr">
        <is>
          <t>已审查</t>
        </is>
      </c>
      <c r="W84" s="18" t="inlineStr">
        <is>
          <t>是</t>
        </is>
      </c>
      <c r="X84" s="18" t="inlineStr">
        <is>
          <t>PR04 清洗热耗 791.64</t>
        </is>
      </c>
      <c r="Y84" s="18" t="inlineStr">
        <is>
          <t>CIP</t>
        </is>
      </c>
      <c r="Z84" t="inlineStr">
        <is>
          <t>CT-CLH-04</t>
        </is>
      </c>
      <c r="AA84" t="inlineStr">
        <is>
          <t>直接报告</t>
        </is>
      </c>
      <c r="AB84" t="inlineStr">
        <is>
          <t>1天生产</t>
        </is>
      </c>
      <c r="AC84" t="inlineStr">
        <is>
          <t>1天生产</t>
        </is>
      </c>
    </row>
    <row r="85">
      <c r="A85" s="18" t="inlineStr">
        <is>
          <t>FL-CLW-04</t>
        </is>
      </c>
      <c r="B85" s="18" t="inlineStr">
        <is>
          <t>PR04</t>
        </is>
      </c>
      <c r="C85" s="18" t="inlineStr">
        <is>
          <t>PR04 清洗水</t>
        </is>
      </c>
      <c r="D85" s="18" t="inlineStr">
        <is>
          <t>物理流</t>
        </is>
      </c>
      <c r="E85" s="18" t="inlineStr">
        <is>
          <t>输入</t>
        </is>
      </c>
      <c r="F85" s="18" t="n"/>
      <c r="G85" s="18" t="inlineStr">
        <is>
          <t>PR04</t>
        </is>
      </c>
      <c r="H85" s="18" t="inlineStr">
        <is>
          <t>physical_material</t>
        </is>
      </c>
      <c r="I85" s="51" t="n">
        <v>12.8</v>
      </c>
      <c r="J85" s="18" t="inlineStr">
        <is>
          <t>m3/d</t>
        </is>
      </c>
      <c r="K85" s="18" t="inlineStr">
        <is>
          <t>1天</t>
        </is>
      </c>
      <c r="L85" s="18" t="n"/>
      <c r="M85" s="18" t="n"/>
      <c r="N85" s="18" t="n"/>
      <c r="O85" s="18" t="n"/>
      <c r="P85" s="52" t="n">
        <v>12.8</v>
      </c>
      <c r="Q85" s="18" t="inlineStr">
        <is>
          <t>m3/d</t>
        </is>
      </c>
      <c r="R85" s="18" t="inlineStr">
        <is>
          <t>+</t>
        </is>
      </c>
      <c r="S85" s="18" t="inlineStr">
        <is>
          <t>否</t>
        </is>
      </c>
      <c r="T85" s="18" t="inlineStr">
        <is>
          <t>来源原始清单（未分配）</t>
        </is>
      </c>
      <c r="U85" s="18" t="inlineStr">
        <is>
          <t>SRC-RAW</t>
        </is>
      </c>
      <c r="V85" s="18" t="inlineStr">
        <is>
          <t>已审查</t>
        </is>
      </c>
      <c r="W85" s="18" t="inlineStr">
        <is>
          <t>否</t>
        </is>
      </c>
      <c r="X85" s="18" t="inlineStr">
        <is>
          <t>PR04 清洗水 12.8</t>
        </is>
      </c>
      <c r="Y85" s="18" t="inlineStr"/>
      <c r="Z85" t="inlineStr">
        <is>
          <t>CT-CLW-04</t>
        </is>
      </c>
      <c r="AA85" t="inlineStr">
        <is>
          <t>直接报告</t>
        </is>
      </c>
      <c r="AB85" t="inlineStr">
        <is>
          <t>1天生产</t>
        </is>
      </c>
      <c r="AC85" t="inlineStr">
        <is>
          <t>1天生产</t>
        </is>
      </c>
    </row>
    <row r="86">
      <c r="A86" s="18" t="inlineStr">
        <is>
          <t>FL-CLC-04A</t>
        </is>
      </c>
      <c r="B86" s="18" t="inlineStr">
        <is>
          <t>PR04</t>
        </is>
      </c>
      <c r="C86" s="18" t="inlineStr">
        <is>
          <t>PR04 清洗剂NaOH</t>
        </is>
      </c>
      <c r="D86" s="18" t="inlineStr">
        <is>
          <t>物理流</t>
        </is>
      </c>
      <c r="E86" s="18" t="inlineStr">
        <is>
          <t>输入</t>
        </is>
      </c>
      <c r="F86" s="18" t="n"/>
      <c r="G86" s="18" t="inlineStr">
        <is>
          <t>PR04</t>
        </is>
      </c>
      <c r="H86" s="18" t="inlineStr">
        <is>
          <t>physical_material</t>
        </is>
      </c>
      <c r="I86" s="51" t="n">
        <v>89.59999999999999</v>
      </c>
      <c r="J86" s="18" t="inlineStr">
        <is>
          <t>kg/d</t>
        </is>
      </c>
      <c r="K86" s="18" t="inlineStr">
        <is>
          <t>1天</t>
        </is>
      </c>
      <c r="L86" s="18" t="n"/>
      <c r="M86" s="18" t="n"/>
      <c r="N86" s="18" t="n"/>
      <c r="O86" s="18" t="n"/>
      <c r="P86" s="52" t="n">
        <v>89.59999999999999</v>
      </c>
      <c r="Q86" s="18" t="inlineStr">
        <is>
          <t>kg/d</t>
        </is>
      </c>
      <c r="R86" s="18" t="inlineStr">
        <is>
          <t>+</t>
        </is>
      </c>
      <c r="S86" s="18" t="inlineStr">
        <is>
          <t>否</t>
        </is>
      </c>
      <c r="T86" s="18" t="inlineStr">
        <is>
          <t>来源原始清单（未分配）</t>
        </is>
      </c>
      <c r="U86" s="18" t="inlineStr">
        <is>
          <t>SRC-RAW</t>
        </is>
      </c>
      <c r="V86" s="18" t="inlineStr">
        <is>
          <t>已审查</t>
        </is>
      </c>
      <c r="W86" s="18" t="inlineStr">
        <is>
          <t>否</t>
        </is>
      </c>
      <c r="X86" s="18" t="inlineStr">
        <is>
          <t>PR04 清洗剂NaOH 89.6</t>
        </is>
      </c>
      <c r="Y86" s="18" t="inlineStr">
        <is>
          <t>CIP清洗剂</t>
        </is>
      </c>
      <c r="Z86" t="inlineStr">
        <is>
          <t>CT-CLC-04A</t>
        </is>
      </c>
      <c r="AA86" t="inlineStr">
        <is>
          <t>直接报告</t>
        </is>
      </c>
      <c r="AB86" t="inlineStr">
        <is>
          <t>1天生产</t>
        </is>
      </c>
      <c r="AC86" t="inlineStr">
        <is>
          <t>1天生产</t>
        </is>
      </c>
    </row>
    <row r="87">
      <c r="A87" s="18" t="inlineStr">
        <is>
          <t>FL-CLC-04B</t>
        </is>
      </c>
      <c r="B87" s="18" t="inlineStr">
        <is>
          <t>PR04</t>
        </is>
      </c>
      <c r="C87" s="18" t="inlineStr">
        <is>
          <t>PR04 清洗剂HNO3</t>
        </is>
      </c>
      <c r="D87" s="18" t="inlineStr">
        <is>
          <t>物理流</t>
        </is>
      </c>
      <c r="E87" s="18" t="inlineStr">
        <is>
          <t>输入</t>
        </is>
      </c>
      <c r="F87" s="18" t="n"/>
      <c r="G87" s="18" t="inlineStr">
        <is>
          <t>PR04</t>
        </is>
      </c>
      <c r="H87" s="18" t="inlineStr">
        <is>
          <t>physical_material</t>
        </is>
      </c>
      <c r="I87" s="51" t="n">
        <v>8</v>
      </c>
      <c r="J87" s="18" t="inlineStr">
        <is>
          <t>kg/d</t>
        </is>
      </c>
      <c r="K87" s="18" t="inlineStr">
        <is>
          <t>1天</t>
        </is>
      </c>
      <c r="L87" s="18" t="n"/>
      <c r="M87" s="18" t="n"/>
      <c r="N87" s="18" t="n"/>
      <c r="O87" s="18" t="n"/>
      <c r="P87" s="52" t="n">
        <v>8</v>
      </c>
      <c r="Q87" s="18" t="inlineStr">
        <is>
          <t>kg/d</t>
        </is>
      </c>
      <c r="R87" s="18" t="inlineStr">
        <is>
          <t>+</t>
        </is>
      </c>
      <c r="S87" s="18" t="inlineStr">
        <is>
          <t>否</t>
        </is>
      </c>
      <c r="T87" s="18" t="inlineStr">
        <is>
          <t>来源原始清单（未分配）</t>
        </is>
      </c>
      <c r="U87" s="18" t="inlineStr">
        <is>
          <t>SRC-RAW</t>
        </is>
      </c>
      <c r="V87" s="18" t="inlineStr">
        <is>
          <t>已审查</t>
        </is>
      </c>
      <c r="W87" s="18" t="inlineStr">
        <is>
          <t>否</t>
        </is>
      </c>
      <c r="X87" s="18" t="inlineStr">
        <is>
          <t>PR04 清洗剂HNO3 8.0</t>
        </is>
      </c>
      <c r="Y87" s="18" t="inlineStr">
        <is>
          <t>CIP清洗剂</t>
        </is>
      </c>
      <c r="Z87" t="inlineStr">
        <is>
          <t>CT-CLC-04B</t>
        </is>
      </c>
      <c r="AA87" t="inlineStr">
        <is>
          <t>直接报告</t>
        </is>
      </c>
      <c r="AB87" t="inlineStr">
        <is>
          <t>1天生产</t>
        </is>
      </c>
      <c r="AC87" t="inlineStr">
        <is>
          <t>1天生产</t>
        </is>
      </c>
    </row>
    <row r="88">
      <c r="A88" s="18" t="inlineStr">
        <is>
          <t>FL-CLC-04C</t>
        </is>
      </c>
      <c r="B88" s="18" t="inlineStr">
        <is>
          <t>PR04</t>
        </is>
      </c>
      <c r="C88" s="18" t="inlineStr">
        <is>
          <t>PR04 清洗剂NaOCl</t>
        </is>
      </c>
      <c r="D88" s="18" t="inlineStr">
        <is>
          <t>物理流</t>
        </is>
      </c>
      <c r="E88" s="18" t="inlineStr">
        <is>
          <t>输入</t>
        </is>
      </c>
      <c r="F88" s="18" t="n"/>
      <c r="G88" s="18" t="inlineStr">
        <is>
          <t>PR04</t>
        </is>
      </c>
      <c r="H88" s="18" t="inlineStr">
        <is>
          <t>physical_material</t>
        </is>
      </c>
      <c r="I88" s="51" t="n">
        <v>0</v>
      </c>
      <c r="J88" s="18" t="inlineStr">
        <is>
          <t>kg/d</t>
        </is>
      </c>
      <c r="K88" s="18" t="inlineStr">
        <is>
          <t>1天</t>
        </is>
      </c>
      <c r="L88" s="18" t="n"/>
      <c r="M88" s="18" t="n"/>
      <c r="N88" s="18" t="n"/>
      <c r="O88" s="18" t="n"/>
      <c r="P88" s="52" t="n">
        <v>0</v>
      </c>
      <c r="Q88" s="18" t="inlineStr">
        <is>
          <t>kg/d</t>
        </is>
      </c>
      <c r="R88" s="18" t="inlineStr">
        <is>
          <t>+</t>
        </is>
      </c>
      <c r="S88" s="18" t="inlineStr">
        <is>
          <t>否</t>
        </is>
      </c>
      <c r="T88" s="18" t="inlineStr">
        <is>
          <t>来源原始清单（未分配）</t>
        </is>
      </c>
      <c r="U88" s="18" t="inlineStr">
        <is>
          <t>SRC-RAW</t>
        </is>
      </c>
      <c r="V88" s="18" t="inlineStr">
        <is>
          <t>已审查</t>
        </is>
      </c>
      <c r="W88" s="18" t="inlineStr">
        <is>
          <t>否</t>
        </is>
      </c>
      <c r="X88" s="18" t="inlineStr">
        <is>
          <t>PR04 清洗剂NaOCl 0.0</t>
        </is>
      </c>
      <c r="Y88" s="18" t="inlineStr">
        <is>
          <t>CIP清洗剂</t>
        </is>
      </c>
      <c r="Z88" t="inlineStr">
        <is>
          <t>CT-CLC-04C</t>
        </is>
      </c>
      <c r="AA88" t="inlineStr">
        <is>
          <t>直接报告</t>
        </is>
      </c>
      <c r="AB88" t="inlineStr">
        <is>
          <t>1天生产</t>
        </is>
      </c>
      <c r="AC88" t="inlineStr">
        <is>
          <t>1天生产</t>
        </is>
      </c>
    </row>
    <row r="89">
      <c r="A89" s="18" t="inlineStr">
        <is>
          <t>FL-CLC-04D</t>
        </is>
      </c>
      <c r="B89" s="18" t="inlineStr">
        <is>
          <t>PR04</t>
        </is>
      </c>
      <c r="C89" s="18" t="inlineStr">
        <is>
          <t>PR04 清洗剂Phosphoc acid</t>
        </is>
      </c>
      <c r="D89" s="18" t="inlineStr">
        <is>
          <t>物理流</t>
        </is>
      </c>
      <c r="E89" s="18" t="inlineStr">
        <is>
          <t>输入</t>
        </is>
      </c>
      <c r="F89" s="18" t="n"/>
      <c r="G89" s="18" t="inlineStr">
        <is>
          <t>PR04</t>
        </is>
      </c>
      <c r="H89" s="18" t="inlineStr">
        <is>
          <t>physical_material</t>
        </is>
      </c>
      <c r="I89" s="51" t="n">
        <v>0</v>
      </c>
      <c r="J89" s="18" t="inlineStr">
        <is>
          <t>kg/d</t>
        </is>
      </c>
      <c r="K89" s="18" t="inlineStr">
        <is>
          <t>1天</t>
        </is>
      </c>
      <c r="L89" s="18" t="n"/>
      <c r="M89" s="18" t="n"/>
      <c r="N89" s="18" t="n"/>
      <c r="O89" s="18" t="n"/>
      <c r="P89" s="52" t="n">
        <v>0</v>
      </c>
      <c r="Q89" s="18" t="inlineStr">
        <is>
          <t>kg/d</t>
        </is>
      </c>
      <c r="R89" s="18" t="inlineStr">
        <is>
          <t>+</t>
        </is>
      </c>
      <c r="S89" s="18" t="inlineStr">
        <is>
          <t>否</t>
        </is>
      </c>
      <c r="T89" s="18" t="inlineStr">
        <is>
          <t>来源原始清单（未分配）</t>
        </is>
      </c>
      <c r="U89" s="18" t="inlineStr">
        <is>
          <t>SRC-RAW</t>
        </is>
      </c>
      <c r="V89" s="18" t="inlineStr">
        <is>
          <t>已审查</t>
        </is>
      </c>
      <c r="W89" s="18" t="inlineStr">
        <is>
          <t>否</t>
        </is>
      </c>
      <c r="X89" s="18" t="inlineStr">
        <is>
          <t>PR04 清洗剂Phosphoc acid 0.0</t>
        </is>
      </c>
      <c r="Y89" s="18" t="inlineStr">
        <is>
          <t>CIP清洗剂</t>
        </is>
      </c>
      <c r="Z89" t="inlineStr">
        <is>
          <t>CT-CLC-04D</t>
        </is>
      </c>
      <c r="AA89" t="inlineStr">
        <is>
          <t>直接报告</t>
        </is>
      </c>
      <c r="AB89" t="inlineStr">
        <is>
          <t>1天生产</t>
        </is>
      </c>
      <c r="AC89" t="inlineStr">
        <is>
          <t>1天生产</t>
        </is>
      </c>
    </row>
    <row r="90">
      <c r="A90" s="18" t="inlineStr">
        <is>
          <t>FL-CLC-04E</t>
        </is>
      </c>
      <c r="B90" s="18" t="inlineStr">
        <is>
          <t>PR04</t>
        </is>
      </c>
      <c r="C90" s="18" t="inlineStr">
        <is>
          <t>PR04 清洗剂surfactant</t>
        </is>
      </c>
      <c r="D90" s="18" t="inlineStr">
        <is>
          <t>物理流</t>
        </is>
      </c>
      <c r="E90" s="18" t="inlineStr">
        <is>
          <t>输入</t>
        </is>
      </c>
      <c r="F90" s="18" t="n"/>
      <c r="G90" s="18" t="inlineStr">
        <is>
          <t>PR04</t>
        </is>
      </c>
      <c r="H90" s="18" t="inlineStr">
        <is>
          <t>physical_material</t>
        </is>
      </c>
      <c r="I90" s="51" t="n">
        <v>0</v>
      </c>
      <c r="J90" s="18" t="inlineStr">
        <is>
          <t>kg/d</t>
        </is>
      </c>
      <c r="K90" s="18" t="inlineStr">
        <is>
          <t>1天</t>
        </is>
      </c>
      <c r="L90" s="18" t="n"/>
      <c r="M90" s="18" t="n"/>
      <c r="N90" s="18" t="n"/>
      <c r="O90" s="18" t="n"/>
      <c r="P90" s="52" t="n">
        <v>0</v>
      </c>
      <c r="Q90" s="18" t="inlineStr">
        <is>
          <t>kg/d</t>
        </is>
      </c>
      <c r="R90" s="18" t="inlineStr">
        <is>
          <t>+</t>
        </is>
      </c>
      <c r="S90" s="18" t="inlineStr">
        <is>
          <t>否</t>
        </is>
      </c>
      <c r="T90" s="18" t="inlineStr">
        <is>
          <t>来源原始清单（未分配）</t>
        </is>
      </c>
      <c r="U90" s="18" t="inlineStr">
        <is>
          <t>SRC-RAW</t>
        </is>
      </c>
      <c r="V90" s="18" t="inlineStr">
        <is>
          <t>已审查</t>
        </is>
      </c>
      <c r="W90" s="18" t="inlineStr">
        <is>
          <t>否</t>
        </is>
      </c>
      <c r="X90" s="18" t="inlineStr">
        <is>
          <t>PR04 清洗剂surfactant 0.0</t>
        </is>
      </c>
      <c r="Y90" s="18" t="inlineStr">
        <is>
          <t>CIP清洗剂</t>
        </is>
      </c>
      <c r="Z90" t="inlineStr">
        <is>
          <t>CT-CLC-04E</t>
        </is>
      </c>
      <c r="AA90" t="inlineStr">
        <is>
          <t>直接报告</t>
        </is>
      </c>
      <c r="AB90" t="inlineStr">
        <is>
          <t>1天生产</t>
        </is>
      </c>
      <c r="AC90" t="inlineStr">
        <is>
          <t>1天生产</t>
        </is>
      </c>
    </row>
    <row r="91">
      <c r="A91" s="18" t="inlineStr">
        <is>
          <t>FL-CLC-04F</t>
        </is>
      </c>
      <c r="B91" s="18" t="inlineStr">
        <is>
          <t>PR04</t>
        </is>
      </c>
      <c r="C91" s="18" t="inlineStr">
        <is>
          <t>PR04 清洗剂Other acid</t>
        </is>
      </c>
      <c r="D91" s="18" t="inlineStr">
        <is>
          <t>物理流</t>
        </is>
      </c>
      <c r="E91" s="18" t="inlineStr">
        <is>
          <t>输入</t>
        </is>
      </c>
      <c r="F91" s="18" t="n"/>
      <c r="G91" s="18" t="inlineStr">
        <is>
          <t>PR04</t>
        </is>
      </c>
      <c r="H91" s="18" t="inlineStr">
        <is>
          <t>physical_material</t>
        </is>
      </c>
      <c r="I91" s="51" t="n">
        <v>0</v>
      </c>
      <c r="J91" s="18" t="inlineStr">
        <is>
          <t>kg/d</t>
        </is>
      </c>
      <c r="K91" s="18" t="inlineStr">
        <is>
          <t>1天</t>
        </is>
      </c>
      <c r="L91" s="18" t="n"/>
      <c r="M91" s="18" t="n"/>
      <c r="N91" s="18" t="n"/>
      <c r="O91" s="18" t="n"/>
      <c r="P91" s="52" t="n">
        <v>0</v>
      </c>
      <c r="Q91" s="18" t="inlineStr">
        <is>
          <t>kg/d</t>
        </is>
      </c>
      <c r="R91" s="18" t="inlineStr">
        <is>
          <t>+</t>
        </is>
      </c>
      <c r="S91" s="18" t="inlineStr">
        <is>
          <t>否</t>
        </is>
      </c>
      <c r="T91" s="18" t="inlineStr">
        <is>
          <t>来源原始清单（未分配）</t>
        </is>
      </c>
      <c r="U91" s="18" t="inlineStr">
        <is>
          <t>SRC-RAW</t>
        </is>
      </c>
      <c r="V91" s="18" t="inlineStr">
        <is>
          <t>已审查</t>
        </is>
      </c>
      <c r="W91" s="18" t="inlineStr">
        <is>
          <t>否</t>
        </is>
      </c>
      <c r="X91" s="18" t="inlineStr">
        <is>
          <t>PR04 清洗剂Other acid 0.0</t>
        </is>
      </c>
      <c r="Y91" s="18" t="inlineStr">
        <is>
          <t>CIP清洗剂</t>
        </is>
      </c>
      <c r="Z91" t="inlineStr">
        <is>
          <t>CT-CLC-04F</t>
        </is>
      </c>
      <c r="AA91" t="inlineStr">
        <is>
          <t>直接报告</t>
        </is>
      </c>
      <c r="AB91" t="inlineStr">
        <is>
          <t>1天生产</t>
        </is>
      </c>
      <c r="AC91" t="inlineStr">
        <is>
          <t>1天生产</t>
        </is>
      </c>
    </row>
    <row r="92">
      <c r="A92" s="18" t="inlineStr">
        <is>
          <t>FL-CLT-04</t>
        </is>
      </c>
      <c r="B92" s="18" t="inlineStr">
        <is>
          <t>PR04</t>
        </is>
      </c>
      <c r="C92" s="18" t="inlineStr">
        <is>
          <t>PR04 清洗回路设备材料</t>
        </is>
      </c>
      <c r="D92" s="18" t="inlineStr">
        <is>
          <t>物理流</t>
        </is>
      </c>
      <c r="E92" s="18" t="inlineStr">
        <is>
          <t>输入</t>
        </is>
      </c>
      <c r="F92" s="18" t="n"/>
      <c r="G92" s="18" t="inlineStr">
        <is>
          <t>PR04</t>
        </is>
      </c>
      <c r="H92" s="18" t="inlineStr">
        <is>
          <t>physical_material</t>
        </is>
      </c>
      <c r="I92" s="51" t="n">
        <v>0.844039603960396</v>
      </c>
      <c r="J92" s="18" t="inlineStr">
        <is>
          <t>kg/d</t>
        </is>
      </c>
      <c r="K92" s="18" t="inlineStr">
        <is>
          <t>1天</t>
        </is>
      </c>
      <c r="L92" s="18" t="n"/>
      <c r="M92" s="18" t="n"/>
      <c r="N92" s="18" t="n"/>
      <c r="O92" s="18" t="n"/>
      <c r="P92" s="52" t="n">
        <v>0.844039603960396</v>
      </c>
      <c r="Q92" s="18" t="inlineStr">
        <is>
          <t>kg/d</t>
        </is>
      </c>
      <c r="R92" s="18" t="inlineStr">
        <is>
          <t>+</t>
        </is>
      </c>
      <c r="S92" s="18" t="inlineStr">
        <is>
          <t>否</t>
        </is>
      </c>
      <c r="T92" s="18" t="inlineStr">
        <is>
          <t>来源原始清单（未分配）</t>
        </is>
      </c>
      <c r="U92" s="18" t="inlineStr">
        <is>
          <t>SRC-RAW</t>
        </is>
      </c>
      <c r="V92" s="18" t="inlineStr">
        <is>
          <t>已审查</t>
        </is>
      </c>
      <c r="W92" s="18" t="inlineStr">
        <is>
          <t>否</t>
        </is>
      </c>
      <c r="X92" s="18" t="inlineStr">
        <is>
          <t>PR04 清洗回路设备材料 0.844039603960396</t>
        </is>
      </c>
      <c r="Y92" s="18" t="inlineStr">
        <is>
          <t>Tanks and pipes 不锈钢（按天摊销）</t>
        </is>
      </c>
      <c r="Z92" t="inlineStr">
        <is>
          <t>CT-CLT-04</t>
        </is>
      </c>
      <c r="AA92" t="inlineStr">
        <is>
          <t>直接报告</t>
        </is>
      </c>
      <c r="AB92" t="inlineStr">
        <is>
          <t>1天生产</t>
        </is>
      </c>
      <c r="AC92" t="inlineStr">
        <is>
          <t>1天生产</t>
        </is>
      </c>
    </row>
    <row r="93">
      <c r="A93" s="18" t="inlineStr">
        <is>
          <t>FL-CLCOD-04</t>
        </is>
      </c>
      <c r="B93" s="18" t="inlineStr">
        <is>
          <t>PR04</t>
        </is>
      </c>
      <c r="C93" s="18" t="inlineStr">
        <is>
          <t>PR04 清洗废水COD</t>
        </is>
      </c>
      <c r="D93" s="18" t="inlineStr">
        <is>
          <t>环境交换</t>
        </is>
      </c>
      <c r="E93" s="18" t="inlineStr">
        <is>
          <t>输入</t>
        </is>
      </c>
      <c r="F93" s="18" t="n"/>
      <c r="G93" s="18" t="inlineStr">
        <is>
          <t>PR04</t>
        </is>
      </c>
      <c r="H93" s="18" t="inlineStr">
        <is>
          <t>environment_exchange</t>
        </is>
      </c>
      <c r="I93" s="51" t="n">
        <v>59.4</v>
      </c>
      <c r="J93" s="18" t="inlineStr">
        <is>
          <t>kg_COD/d</t>
        </is>
      </c>
      <c r="K93" s="18" t="inlineStr">
        <is>
          <t>1天</t>
        </is>
      </c>
      <c r="L93" s="18" t="n"/>
      <c r="M93" s="18" t="n"/>
      <c r="N93" s="18" t="n"/>
      <c r="O93" s="18" t="n"/>
      <c r="P93" s="52" t="n">
        <v>59.4</v>
      </c>
      <c r="Q93" s="18" t="inlineStr">
        <is>
          <t>kg_COD/d</t>
        </is>
      </c>
      <c r="R93" s="18" t="inlineStr">
        <is>
          <t>+</t>
        </is>
      </c>
      <c r="S93" s="18" t="inlineStr">
        <is>
          <t>否</t>
        </is>
      </c>
      <c r="T93" s="18" t="inlineStr">
        <is>
          <t>来源原始清单（未分配）</t>
        </is>
      </c>
      <c r="U93" s="18" t="inlineStr">
        <is>
          <t>SRC-RAW</t>
        </is>
      </c>
      <c r="V93" s="18" t="inlineStr">
        <is>
          <t>已审查</t>
        </is>
      </c>
      <c r="W93" s="18" t="inlineStr">
        <is>
          <t>否</t>
        </is>
      </c>
      <c r="X93" s="18" t="inlineStr">
        <is>
          <t>PR04 清洗废水COD 59.4</t>
        </is>
      </c>
      <c r="Y93" s="18" t="inlineStr"/>
      <c r="Z93" t="inlineStr">
        <is>
          <t>CT-CLCOD-04</t>
        </is>
      </c>
      <c r="AA93" t="inlineStr">
        <is>
          <t>直接报告</t>
        </is>
      </c>
      <c r="AB93" t="inlineStr">
        <is>
          <t>1天生产</t>
        </is>
      </c>
      <c r="AC93" t="inlineStr">
        <is>
          <t>1天生产</t>
        </is>
      </c>
    </row>
    <row r="94">
      <c r="A94" s="18" t="inlineStr">
        <is>
          <t>FL-CLDM-04</t>
        </is>
      </c>
      <c r="B94" s="18" t="inlineStr">
        <is>
          <t>PR04</t>
        </is>
      </c>
      <c r="C94" s="18" t="inlineStr">
        <is>
          <t>PR04 清洗废水干物质</t>
        </is>
      </c>
      <c r="D94" s="18" t="inlineStr">
        <is>
          <t>环境交换</t>
        </is>
      </c>
      <c r="E94" s="18" t="inlineStr">
        <is>
          <t>输入</t>
        </is>
      </c>
      <c r="F94" s="18" t="n"/>
      <c r="G94" s="18" t="inlineStr">
        <is>
          <t>PR04</t>
        </is>
      </c>
      <c r="H94" s="18" t="inlineStr">
        <is>
          <t>environment_exchange</t>
        </is>
      </c>
      <c r="I94" s="51" t="n">
        <v>69.498</v>
      </c>
      <c r="J94" s="18" t="inlineStr">
        <is>
          <t>kg/d</t>
        </is>
      </c>
      <c r="K94" s="18" t="inlineStr">
        <is>
          <t>1天</t>
        </is>
      </c>
      <c r="L94" s="18" t="n"/>
      <c r="M94" s="18" t="n"/>
      <c r="N94" s="18" t="n"/>
      <c r="O94" s="18" t="n"/>
      <c r="P94" s="52" t="n">
        <v>69.498</v>
      </c>
      <c r="Q94" s="18" t="inlineStr">
        <is>
          <t>kg/d</t>
        </is>
      </c>
      <c r="R94" s="18" t="inlineStr">
        <is>
          <t>+</t>
        </is>
      </c>
      <c r="S94" s="18" t="inlineStr">
        <is>
          <t>否</t>
        </is>
      </c>
      <c r="T94" s="18" t="inlineStr">
        <is>
          <t>来源原始清单（未分配）</t>
        </is>
      </c>
      <c r="U94" s="18" t="inlineStr">
        <is>
          <t>SRC-RAW</t>
        </is>
      </c>
      <c r="V94" s="18" t="inlineStr">
        <is>
          <t>已审查</t>
        </is>
      </c>
      <c r="W94" s="18" t="inlineStr">
        <is>
          <t>否</t>
        </is>
      </c>
      <c r="X94" s="18" t="inlineStr">
        <is>
          <t>PR04 清洗废水干物质 69.498</t>
        </is>
      </c>
      <c r="Y94" s="18" t="inlineStr"/>
      <c r="Z94" t="inlineStr">
        <is>
          <t>CT-CLDM-04</t>
        </is>
      </c>
      <c r="AA94" t="inlineStr">
        <is>
          <t>直接报告</t>
        </is>
      </c>
      <c r="AB94" t="inlineStr">
        <is>
          <t>1天生产</t>
        </is>
      </c>
      <c r="AC94" t="inlineStr">
        <is>
          <t>1天生产</t>
        </is>
      </c>
    </row>
    <row r="95">
      <c r="A95" s="18" t="inlineStr">
        <is>
          <t>FL-CLE-05</t>
        </is>
      </c>
      <c r="B95" s="18" t="inlineStr">
        <is>
          <t>PR05</t>
        </is>
      </c>
      <c r="C95" s="18" t="inlineStr">
        <is>
          <t>电力（清洗）</t>
        </is>
      </c>
      <c r="D95" s="18" t="inlineStr">
        <is>
          <t>能源</t>
        </is>
      </c>
      <c r="E95" s="18" t="inlineStr">
        <is>
          <t>输入</t>
        </is>
      </c>
      <c r="F95" s="18" t="n"/>
      <c r="G95" s="18" t="inlineStr">
        <is>
          <t>PR05</t>
        </is>
      </c>
      <c r="H95" s="18" t="inlineStr">
        <is>
          <t>physical_energy</t>
        </is>
      </c>
      <c r="I95" s="51" t="n">
        <v>1364</v>
      </c>
      <c r="J95" s="18" t="inlineStr">
        <is>
          <t>kWh/d</t>
        </is>
      </c>
      <c r="K95" s="18" t="inlineStr">
        <is>
          <t>1天</t>
        </is>
      </c>
      <c r="L95" s="18" t="n"/>
      <c r="M95" s="18" t="n"/>
      <c r="N95" s="18" t="n"/>
      <c r="O95" s="18" t="n"/>
      <c r="P95" s="52" t="n">
        <v>1364</v>
      </c>
      <c r="Q95" s="18" t="inlineStr">
        <is>
          <t>kWh/d</t>
        </is>
      </c>
      <c r="R95" s="18" t="inlineStr">
        <is>
          <t>+</t>
        </is>
      </c>
      <c r="S95" s="18" t="inlineStr">
        <is>
          <t>否</t>
        </is>
      </c>
      <c r="T95" s="18" t="inlineStr">
        <is>
          <t>来源原始清单（未分配）</t>
        </is>
      </c>
      <c r="U95" s="18" t="inlineStr">
        <is>
          <t>SRC-RAW</t>
        </is>
      </c>
      <c r="V95" s="18" t="inlineStr">
        <is>
          <t>已审查</t>
        </is>
      </c>
      <c r="W95" s="18" t="inlineStr">
        <is>
          <t>是</t>
        </is>
      </c>
      <c r="X95" s="18" t="inlineStr">
        <is>
          <t>PR05 清洗电耗 1364.0</t>
        </is>
      </c>
      <c r="Y95" s="18" t="inlineStr">
        <is>
          <t>CIP</t>
        </is>
      </c>
      <c r="Z95" t="inlineStr">
        <is>
          <t>CT-CLE-05</t>
        </is>
      </c>
      <c r="AA95" t="inlineStr">
        <is>
          <t>直接报告</t>
        </is>
      </c>
      <c r="AB95" t="inlineStr">
        <is>
          <t>1天生产</t>
        </is>
      </c>
      <c r="AC95" t="inlineStr">
        <is>
          <t>1天生产</t>
        </is>
      </c>
    </row>
    <row r="96">
      <c r="A96" s="18" t="inlineStr">
        <is>
          <t>FL-CLH-05</t>
        </is>
      </c>
      <c r="B96" s="18" t="inlineStr">
        <is>
          <t>PR05</t>
        </is>
      </c>
      <c r="C96" s="18" t="inlineStr">
        <is>
          <t>热量（清洗）</t>
        </is>
      </c>
      <c r="D96" s="18" t="inlineStr">
        <is>
          <t>能源</t>
        </is>
      </c>
      <c r="E96" s="18" t="inlineStr">
        <is>
          <t>输入</t>
        </is>
      </c>
      <c r="F96" s="18" t="n"/>
      <c r="G96" s="18" t="inlineStr">
        <is>
          <t>PR05</t>
        </is>
      </c>
      <c r="H96" s="18" t="inlineStr">
        <is>
          <t>physical_energy</t>
        </is>
      </c>
      <c r="I96" s="51" t="n">
        <v>9532.799999999999</v>
      </c>
      <c r="J96" s="18" t="inlineStr">
        <is>
          <t>MJ/d</t>
        </is>
      </c>
      <c r="K96" s="18" t="inlineStr">
        <is>
          <t>1天</t>
        </is>
      </c>
      <c r="L96" s="18" t="n"/>
      <c r="M96" s="18" t="n"/>
      <c r="N96" s="18" t="n"/>
      <c r="O96" s="18" t="n"/>
      <c r="P96" s="52" t="n">
        <v>9532.799999999999</v>
      </c>
      <c r="Q96" s="18" t="inlineStr">
        <is>
          <t>MJ/d</t>
        </is>
      </c>
      <c r="R96" s="18" t="inlineStr">
        <is>
          <t>+</t>
        </is>
      </c>
      <c r="S96" s="18" t="inlineStr">
        <is>
          <t>否</t>
        </is>
      </c>
      <c r="T96" s="18" t="inlineStr">
        <is>
          <t>来源原始清单（未分配）</t>
        </is>
      </c>
      <c r="U96" s="18" t="inlineStr">
        <is>
          <t>SRC-RAW</t>
        </is>
      </c>
      <c r="V96" s="18" t="inlineStr">
        <is>
          <t>已审查</t>
        </is>
      </c>
      <c r="W96" s="18" t="inlineStr">
        <is>
          <t>是</t>
        </is>
      </c>
      <c r="X96" s="18" t="inlineStr">
        <is>
          <t>PR05 清洗热耗 9532.8</t>
        </is>
      </c>
      <c r="Y96" s="18" t="inlineStr">
        <is>
          <t>CIP</t>
        </is>
      </c>
      <c r="Z96" t="inlineStr">
        <is>
          <t>CT-CLH-05</t>
        </is>
      </c>
      <c r="AA96" t="inlineStr">
        <is>
          <t>直接报告</t>
        </is>
      </c>
      <c r="AB96" t="inlineStr">
        <is>
          <t>1天生产</t>
        </is>
      </c>
      <c r="AC96" t="inlineStr">
        <is>
          <t>1天生产</t>
        </is>
      </c>
    </row>
    <row r="97">
      <c r="A97" s="18" t="inlineStr">
        <is>
          <t>FL-CLW-05</t>
        </is>
      </c>
      <c r="B97" s="18" t="inlineStr">
        <is>
          <t>PR05</t>
        </is>
      </c>
      <c r="C97" s="18" t="inlineStr">
        <is>
          <t>PR05 清洗水</t>
        </is>
      </c>
      <c r="D97" s="18" t="inlineStr">
        <is>
          <t>物理流</t>
        </is>
      </c>
      <c r="E97" s="18" t="inlineStr">
        <is>
          <t>输入</t>
        </is>
      </c>
      <c r="F97" s="18" t="n"/>
      <c r="G97" s="18" t="inlineStr">
        <is>
          <t>PR05</t>
        </is>
      </c>
      <c r="H97" s="18" t="inlineStr">
        <is>
          <t>physical_material</t>
        </is>
      </c>
      <c r="I97" s="51" t="n">
        <v>51.25</v>
      </c>
      <c r="J97" s="18" t="inlineStr">
        <is>
          <t>m3/d</t>
        </is>
      </c>
      <c r="K97" s="18" t="inlineStr">
        <is>
          <t>1天</t>
        </is>
      </c>
      <c r="L97" s="18" t="n"/>
      <c r="M97" s="18" t="n"/>
      <c r="N97" s="18" t="n"/>
      <c r="O97" s="18" t="n"/>
      <c r="P97" s="52" t="n">
        <v>51.25</v>
      </c>
      <c r="Q97" s="18" t="inlineStr">
        <is>
          <t>m3/d</t>
        </is>
      </c>
      <c r="R97" s="18" t="inlineStr">
        <is>
          <t>+</t>
        </is>
      </c>
      <c r="S97" s="18" t="inlineStr">
        <is>
          <t>否</t>
        </is>
      </c>
      <c r="T97" s="18" t="inlineStr">
        <is>
          <t>来源原始清单（未分配）</t>
        </is>
      </c>
      <c r="U97" s="18" t="inlineStr">
        <is>
          <t>SRC-RAW</t>
        </is>
      </c>
      <c r="V97" s="18" t="inlineStr">
        <is>
          <t>已审查</t>
        </is>
      </c>
      <c r="W97" s="18" t="inlineStr">
        <is>
          <t>否</t>
        </is>
      </c>
      <c r="X97" s="18" t="inlineStr">
        <is>
          <t>PR05 清洗水 51.25</t>
        </is>
      </c>
      <c r="Y97" s="18" t="inlineStr"/>
      <c r="Z97" t="inlineStr">
        <is>
          <t>CT-CLW-05</t>
        </is>
      </c>
      <c r="AA97" t="inlineStr">
        <is>
          <t>直接报告</t>
        </is>
      </c>
      <c r="AB97" t="inlineStr">
        <is>
          <t>1天生产</t>
        </is>
      </c>
      <c r="AC97" t="inlineStr">
        <is>
          <t>1天生产</t>
        </is>
      </c>
    </row>
    <row r="98">
      <c r="A98" s="18" t="inlineStr">
        <is>
          <t>FL-CLC-05A</t>
        </is>
      </c>
      <c r="B98" s="18" t="inlineStr">
        <is>
          <t>PR05</t>
        </is>
      </c>
      <c r="C98" s="18" t="inlineStr">
        <is>
          <t>PR05 清洗剂NaOH 50%</t>
        </is>
      </c>
      <c r="D98" s="18" t="inlineStr">
        <is>
          <t>物理流</t>
        </is>
      </c>
      <c r="E98" s="18" t="inlineStr">
        <is>
          <t>输入</t>
        </is>
      </c>
      <c r="F98" s="18" t="n"/>
      <c r="G98" s="18" t="inlineStr">
        <is>
          <t>PR05</t>
        </is>
      </c>
      <c r="H98" s="18" t="inlineStr">
        <is>
          <t>physical_material</t>
        </is>
      </c>
      <c r="I98" s="51" t="n">
        <v>941</v>
      </c>
      <c r="J98" s="18" t="inlineStr">
        <is>
          <t>kg/d</t>
        </is>
      </c>
      <c r="K98" s="18" t="inlineStr">
        <is>
          <t>1天</t>
        </is>
      </c>
      <c r="L98" s="18" t="n"/>
      <c r="M98" s="18" t="n"/>
      <c r="N98" s="18" t="n"/>
      <c r="O98" s="18" t="n"/>
      <c r="P98" s="52" t="n">
        <v>941</v>
      </c>
      <c r="Q98" s="18" t="inlineStr">
        <is>
          <t>kg/d</t>
        </is>
      </c>
      <c r="R98" s="18" t="inlineStr">
        <is>
          <t>+</t>
        </is>
      </c>
      <c r="S98" s="18" t="inlineStr">
        <is>
          <t>否</t>
        </is>
      </c>
      <c r="T98" s="18" t="inlineStr">
        <is>
          <t>来源原始清单（未分配）</t>
        </is>
      </c>
      <c r="U98" s="18" t="inlineStr">
        <is>
          <t>SRC-RAW</t>
        </is>
      </c>
      <c r="V98" s="18" t="inlineStr">
        <is>
          <t>已审查</t>
        </is>
      </c>
      <c r="W98" s="18" t="inlineStr">
        <is>
          <t>否</t>
        </is>
      </c>
      <c r="X98" s="18" t="inlineStr">
        <is>
          <t>PR05 清洗剂NaOH 50% 941.0</t>
        </is>
      </c>
      <c r="Y98" s="18" t="inlineStr">
        <is>
          <t>CIP清洗剂</t>
        </is>
      </c>
      <c r="Z98" t="inlineStr">
        <is>
          <t>CT-CLC-05A</t>
        </is>
      </c>
      <c r="AA98" t="inlineStr">
        <is>
          <t>直接报告</t>
        </is>
      </c>
      <c r="AB98" t="inlineStr">
        <is>
          <t>1天生产</t>
        </is>
      </c>
      <c r="AC98" t="inlineStr">
        <is>
          <t>1天生产</t>
        </is>
      </c>
    </row>
    <row r="99">
      <c r="A99" s="18" t="inlineStr">
        <is>
          <t>FL-CLC-05B</t>
        </is>
      </c>
      <c r="B99" s="18" t="inlineStr">
        <is>
          <t>PR05</t>
        </is>
      </c>
      <c r="C99" s="18" t="inlineStr">
        <is>
          <t>PR05 清洗剂HNO3 50%</t>
        </is>
      </c>
      <c r="D99" s="18" t="inlineStr">
        <is>
          <t>物理流</t>
        </is>
      </c>
      <c r="E99" s="18" t="inlineStr">
        <is>
          <t>输入</t>
        </is>
      </c>
      <c r="F99" s="18" t="n"/>
      <c r="G99" s="18" t="inlineStr">
        <is>
          <t>PR05</t>
        </is>
      </c>
      <c r="H99" s="18" t="inlineStr">
        <is>
          <t>physical_material</t>
        </is>
      </c>
      <c r="I99" s="51" t="n">
        <v>138</v>
      </c>
      <c r="J99" s="18" t="inlineStr">
        <is>
          <t>kg/d</t>
        </is>
      </c>
      <c r="K99" s="18" t="inlineStr">
        <is>
          <t>1天</t>
        </is>
      </c>
      <c r="L99" s="18" t="n"/>
      <c r="M99" s="18" t="n"/>
      <c r="N99" s="18" t="n"/>
      <c r="O99" s="18" t="n"/>
      <c r="P99" s="52" t="n">
        <v>138</v>
      </c>
      <c r="Q99" s="18" t="inlineStr">
        <is>
          <t>kg/d</t>
        </is>
      </c>
      <c r="R99" s="18" t="inlineStr">
        <is>
          <t>+</t>
        </is>
      </c>
      <c r="S99" s="18" t="inlineStr">
        <is>
          <t>否</t>
        </is>
      </c>
      <c r="T99" s="18" t="inlineStr">
        <is>
          <t>来源原始清单（未分配）</t>
        </is>
      </c>
      <c r="U99" s="18" t="inlineStr">
        <is>
          <t>SRC-RAW</t>
        </is>
      </c>
      <c r="V99" s="18" t="inlineStr">
        <is>
          <t>已审查</t>
        </is>
      </c>
      <c r="W99" s="18" t="inlineStr">
        <is>
          <t>否</t>
        </is>
      </c>
      <c r="X99" s="18" t="inlineStr">
        <is>
          <t>PR05 清洗剂HNO3 50% 138.0</t>
        </is>
      </c>
      <c r="Y99" s="18" t="inlineStr">
        <is>
          <t>CIP清洗剂</t>
        </is>
      </c>
      <c r="Z99" t="inlineStr">
        <is>
          <t>CT-CLC-05B</t>
        </is>
      </c>
      <c r="AA99" t="inlineStr">
        <is>
          <t>直接报告</t>
        </is>
      </c>
      <c r="AB99" t="inlineStr">
        <is>
          <t>1天生产</t>
        </is>
      </c>
      <c r="AC99" t="inlineStr">
        <is>
          <t>1天生产</t>
        </is>
      </c>
    </row>
    <row r="100">
      <c r="A100" s="18" t="inlineStr">
        <is>
          <t>FL-CLC-05C</t>
        </is>
      </c>
      <c r="B100" s="18" t="inlineStr">
        <is>
          <t>PR05</t>
        </is>
      </c>
      <c r="C100" s="18" t="inlineStr">
        <is>
          <t>PR05 清洗剂NaOCl 15%</t>
        </is>
      </c>
      <c r="D100" s="18" t="inlineStr">
        <is>
          <t>物理流</t>
        </is>
      </c>
      <c r="E100" s="18" t="inlineStr">
        <is>
          <t>输入</t>
        </is>
      </c>
      <c r="F100" s="18" t="n"/>
      <c r="G100" s="18" t="inlineStr">
        <is>
          <t>PR05</t>
        </is>
      </c>
      <c r="H100" s="18" t="inlineStr">
        <is>
          <t>physical_material</t>
        </is>
      </c>
      <c r="I100" s="51" t="n">
        <v>37</v>
      </c>
      <c r="J100" s="18" t="inlineStr">
        <is>
          <t>kg/d</t>
        </is>
      </c>
      <c r="K100" s="18" t="inlineStr">
        <is>
          <t>1天</t>
        </is>
      </c>
      <c r="L100" s="18" t="n"/>
      <c r="M100" s="18" t="n"/>
      <c r="N100" s="18" t="n"/>
      <c r="O100" s="18" t="n"/>
      <c r="P100" s="52" t="n">
        <v>37</v>
      </c>
      <c r="Q100" s="18" t="inlineStr">
        <is>
          <t>kg/d</t>
        </is>
      </c>
      <c r="R100" s="18" t="inlineStr">
        <is>
          <t>+</t>
        </is>
      </c>
      <c r="S100" s="18" t="inlineStr">
        <is>
          <t>否</t>
        </is>
      </c>
      <c r="T100" s="18" t="inlineStr">
        <is>
          <t>来源原始清单（未分配）</t>
        </is>
      </c>
      <c r="U100" s="18" t="inlineStr">
        <is>
          <t>SRC-RAW</t>
        </is>
      </c>
      <c r="V100" s="18" t="inlineStr">
        <is>
          <t>已审查</t>
        </is>
      </c>
      <c r="W100" s="18" t="inlineStr">
        <is>
          <t>否</t>
        </is>
      </c>
      <c r="X100" s="18" t="inlineStr">
        <is>
          <t>PR05 清洗剂NaOCl 15% 37.0</t>
        </is>
      </c>
      <c r="Y100" s="18" t="inlineStr">
        <is>
          <t>CIP清洗剂</t>
        </is>
      </c>
      <c r="Z100" t="inlineStr">
        <is>
          <t>CT-CLC-05C</t>
        </is>
      </c>
      <c r="AA100" t="inlineStr">
        <is>
          <t>直接报告</t>
        </is>
      </c>
      <c r="AB100" t="inlineStr">
        <is>
          <t>1天生产</t>
        </is>
      </c>
      <c r="AC100" t="inlineStr">
        <is>
          <t>1天生产</t>
        </is>
      </c>
    </row>
    <row r="101">
      <c r="A101" s="18" t="inlineStr">
        <is>
          <t>FL-CLCOD-05</t>
        </is>
      </c>
      <c r="B101" s="18" t="inlineStr">
        <is>
          <t>PR05</t>
        </is>
      </c>
      <c r="C101" s="18" t="inlineStr">
        <is>
          <t>PR05 清洗废水COD</t>
        </is>
      </c>
      <c r="D101" s="18" t="inlineStr">
        <is>
          <t>环境交换</t>
        </is>
      </c>
      <c r="E101" s="18" t="inlineStr">
        <is>
          <t>输入</t>
        </is>
      </c>
      <c r="F101" s="18" t="n"/>
      <c r="G101" s="18" t="inlineStr">
        <is>
          <t>PR05</t>
        </is>
      </c>
      <c r="H101" s="18" t="inlineStr">
        <is>
          <t>environment_exchange</t>
        </is>
      </c>
      <c r="I101" s="51" t="n">
        <v>48</v>
      </c>
      <c r="J101" s="18" t="inlineStr">
        <is>
          <t>kg_COD/d</t>
        </is>
      </c>
      <c r="K101" s="18" t="inlineStr">
        <is>
          <t>1天</t>
        </is>
      </c>
      <c r="L101" s="18" t="n"/>
      <c r="M101" s="18" t="n"/>
      <c r="N101" s="18" t="n"/>
      <c r="O101" s="18" t="n"/>
      <c r="P101" s="52" t="n">
        <v>48</v>
      </c>
      <c r="Q101" s="18" t="inlineStr">
        <is>
          <t>kg_COD/d</t>
        </is>
      </c>
      <c r="R101" s="18" t="inlineStr">
        <is>
          <t>+</t>
        </is>
      </c>
      <c r="S101" s="18" t="inlineStr">
        <is>
          <t>否</t>
        </is>
      </c>
      <c r="T101" s="18" t="inlineStr">
        <is>
          <t>来源原始清单（未分配）</t>
        </is>
      </c>
      <c r="U101" s="18" t="inlineStr">
        <is>
          <t>SRC-RAW</t>
        </is>
      </c>
      <c r="V101" s="18" t="inlineStr">
        <is>
          <t>已审查</t>
        </is>
      </c>
      <c r="W101" s="18" t="inlineStr">
        <is>
          <t>否</t>
        </is>
      </c>
      <c r="X101" s="18" t="inlineStr">
        <is>
          <t>PR05 清洗废水COD 48.0</t>
        </is>
      </c>
      <c r="Y101" s="18" t="inlineStr"/>
      <c r="Z101" t="inlineStr">
        <is>
          <t>CT-CLCOD-05</t>
        </is>
      </c>
      <c r="AA101" t="inlineStr">
        <is>
          <t>直接报告</t>
        </is>
      </c>
      <c r="AB101" t="inlineStr">
        <is>
          <t>1天生产</t>
        </is>
      </c>
      <c r="AC101" t="inlineStr">
        <is>
          <t>1天生产</t>
        </is>
      </c>
    </row>
    <row r="102">
      <c r="A102" s="18" t="inlineStr">
        <is>
          <t>FL-CLDM-05</t>
        </is>
      </c>
      <c r="B102" s="18" t="inlineStr">
        <is>
          <t>PR05</t>
        </is>
      </c>
      <c r="C102" s="18" t="inlineStr">
        <is>
          <t>PR05 清洗废水干物质</t>
        </is>
      </c>
      <c r="D102" s="18" t="inlineStr">
        <is>
          <t>环境交换</t>
        </is>
      </c>
      <c r="E102" s="18" t="inlineStr">
        <is>
          <t>输入</t>
        </is>
      </c>
      <c r="F102" s="18" t="n"/>
      <c r="G102" s="18" t="inlineStr">
        <is>
          <t>PR05</t>
        </is>
      </c>
      <c r="H102" s="18" t="inlineStr">
        <is>
          <t>environment_exchange</t>
        </is>
      </c>
      <c r="I102" s="51" t="n">
        <v>56.16</v>
      </c>
      <c r="J102" s="18" t="inlineStr">
        <is>
          <t>kg/d</t>
        </is>
      </c>
      <c r="K102" s="18" t="inlineStr">
        <is>
          <t>1天</t>
        </is>
      </c>
      <c r="L102" s="18" t="n"/>
      <c r="M102" s="18" t="n"/>
      <c r="N102" s="18" t="n"/>
      <c r="O102" s="18" t="n"/>
      <c r="P102" s="52" t="n">
        <v>56.16</v>
      </c>
      <c r="Q102" s="18" t="inlineStr">
        <is>
          <t>kg/d</t>
        </is>
      </c>
      <c r="R102" s="18" t="inlineStr">
        <is>
          <t>+</t>
        </is>
      </c>
      <c r="S102" s="18" t="inlineStr">
        <is>
          <t>否</t>
        </is>
      </c>
      <c r="T102" s="18" t="inlineStr">
        <is>
          <t>来源原始清单（未分配）</t>
        </is>
      </c>
      <c r="U102" s="18" t="inlineStr">
        <is>
          <t>SRC-RAW</t>
        </is>
      </c>
      <c r="V102" s="18" t="inlineStr">
        <is>
          <t>已审查</t>
        </is>
      </c>
      <c r="W102" s="18" t="inlineStr">
        <is>
          <t>否</t>
        </is>
      </c>
      <c r="X102" s="18" t="inlineStr">
        <is>
          <t>PR05 清洗废水干物质 56.16</t>
        </is>
      </c>
      <c r="Y102" s="18" t="inlineStr"/>
      <c r="Z102" t="inlineStr">
        <is>
          <t>CT-CLDM-05</t>
        </is>
      </c>
      <c r="AA102" t="inlineStr">
        <is>
          <t>直接报告</t>
        </is>
      </c>
      <c r="AB102" t="inlineStr">
        <is>
          <t>1天生产</t>
        </is>
      </c>
      <c r="AC102" t="inlineStr">
        <is>
          <t>1天生产</t>
        </is>
      </c>
    </row>
    <row r="103">
      <c r="A103" s="18" t="inlineStr">
        <is>
          <t>FL-CLE-06</t>
        </is>
      </c>
      <c r="B103" s="18" t="inlineStr">
        <is>
          <t>PR06</t>
        </is>
      </c>
      <c r="C103" s="18" t="inlineStr">
        <is>
          <t>电力（清洗）</t>
        </is>
      </c>
      <c r="D103" s="18" t="inlineStr">
        <is>
          <t>能源</t>
        </is>
      </c>
      <c r="E103" s="18" t="inlineStr">
        <is>
          <t>输入</t>
        </is>
      </c>
      <c r="F103" s="18" t="n"/>
      <c r="G103" s="18" t="inlineStr">
        <is>
          <t>PR06</t>
        </is>
      </c>
      <c r="H103" s="18" t="inlineStr">
        <is>
          <t>physical_energy</t>
        </is>
      </c>
      <c r="I103" s="51" t="n">
        <v>58</v>
      </c>
      <c r="J103" s="18" t="inlineStr">
        <is>
          <t>kWh/d</t>
        </is>
      </c>
      <c r="K103" s="18" t="inlineStr">
        <is>
          <t>1天</t>
        </is>
      </c>
      <c r="L103" s="18" t="n"/>
      <c r="M103" s="18" t="n"/>
      <c r="N103" s="18" t="n"/>
      <c r="O103" s="18" t="n"/>
      <c r="P103" s="52" t="n">
        <v>58</v>
      </c>
      <c r="Q103" s="18" t="inlineStr">
        <is>
          <t>kWh/d</t>
        </is>
      </c>
      <c r="R103" s="18" t="inlineStr">
        <is>
          <t>+</t>
        </is>
      </c>
      <c r="S103" s="18" t="inlineStr">
        <is>
          <t>否</t>
        </is>
      </c>
      <c r="T103" s="18" t="inlineStr">
        <is>
          <t>来源原始清单（未分配）</t>
        </is>
      </c>
      <c r="U103" s="18" t="inlineStr">
        <is>
          <t>SRC-RAW</t>
        </is>
      </c>
      <c r="V103" s="18" t="inlineStr">
        <is>
          <t>已审查</t>
        </is>
      </c>
      <c r="W103" s="18" t="inlineStr">
        <is>
          <t>是</t>
        </is>
      </c>
      <c r="X103" s="18" t="inlineStr">
        <is>
          <t>PR06 清洗电耗 58.0</t>
        </is>
      </c>
      <c r="Y103" s="18" t="inlineStr">
        <is>
          <t>CIP</t>
        </is>
      </c>
      <c r="Z103" t="inlineStr">
        <is>
          <t>CT-CLE-06</t>
        </is>
      </c>
      <c r="AA103" t="inlineStr">
        <is>
          <t>直接报告</t>
        </is>
      </c>
      <c r="AB103" t="inlineStr">
        <is>
          <t>1天生产</t>
        </is>
      </c>
      <c r="AC103" t="inlineStr">
        <is>
          <t>1天生产</t>
        </is>
      </c>
    </row>
    <row r="104">
      <c r="A104" s="18" t="inlineStr">
        <is>
          <t>FL-CLH-06</t>
        </is>
      </c>
      <c r="B104" s="18" t="inlineStr">
        <is>
          <t>PR06</t>
        </is>
      </c>
      <c r="C104" s="18" t="inlineStr">
        <is>
          <t>热量（清洗）</t>
        </is>
      </c>
      <c r="D104" s="18" t="inlineStr">
        <is>
          <t>能源</t>
        </is>
      </c>
      <c r="E104" s="18" t="inlineStr">
        <is>
          <t>输入</t>
        </is>
      </c>
      <c r="F104" s="18" t="n"/>
      <c r="G104" s="18" t="inlineStr">
        <is>
          <t>PR06</t>
        </is>
      </c>
      <c r="H104" s="18" t="inlineStr">
        <is>
          <t>physical_energy</t>
        </is>
      </c>
      <c r="I104" s="51" t="n">
        <v>828</v>
      </c>
      <c r="J104" s="18" t="inlineStr">
        <is>
          <t>MJ/d</t>
        </is>
      </c>
      <c r="K104" s="18" t="inlineStr">
        <is>
          <t>1天</t>
        </is>
      </c>
      <c r="L104" s="18" t="n"/>
      <c r="M104" s="18" t="n"/>
      <c r="N104" s="18" t="n"/>
      <c r="O104" s="18" t="n"/>
      <c r="P104" s="52" t="n">
        <v>828</v>
      </c>
      <c r="Q104" s="18" t="inlineStr">
        <is>
          <t>MJ/d</t>
        </is>
      </c>
      <c r="R104" s="18" t="inlineStr">
        <is>
          <t>+</t>
        </is>
      </c>
      <c r="S104" s="18" t="inlineStr">
        <is>
          <t>否</t>
        </is>
      </c>
      <c r="T104" s="18" t="inlineStr">
        <is>
          <t>来源原始清单（未分配）</t>
        </is>
      </c>
      <c r="U104" s="18" t="inlineStr">
        <is>
          <t>SRC-RAW</t>
        </is>
      </c>
      <c r="V104" s="18" t="inlineStr">
        <is>
          <t>已审查</t>
        </is>
      </c>
      <c r="W104" s="18" t="inlineStr">
        <is>
          <t>是</t>
        </is>
      </c>
      <c r="X104" s="18" t="inlineStr">
        <is>
          <t>PR06 清洗热耗 828.0</t>
        </is>
      </c>
      <c r="Y104" s="18" t="inlineStr">
        <is>
          <t>CIP</t>
        </is>
      </c>
      <c r="Z104" t="inlineStr">
        <is>
          <t>CT-CLH-06</t>
        </is>
      </c>
      <c r="AA104" t="inlineStr">
        <is>
          <t>直接报告</t>
        </is>
      </c>
      <c r="AB104" t="inlineStr">
        <is>
          <t>1天生产</t>
        </is>
      </c>
      <c r="AC104" t="inlineStr">
        <is>
          <t>1天生产</t>
        </is>
      </c>
    </row>
    <row r="105">
      <c r="A105" s="18" t="inlineStr">
        <is>
          <t>FL-CLW-06</t>
        </is>
      </c>
      <c r="B105" s="18" t="inlineStr">
        <is>
          <t>PR06</t>
        </is>
      </c>
      <c r="C105" s="18" t="inlineStr">
        <is>
          <t>PR06 清洗水</t>
        </is>
      </c>
      <c r="D105" s="18" t="inlineStr">
        <is>
          <t>物理流</t>
        </is>
      </c>
      <c r="E105" s="18" t="inlineStr">
        <is>
          <t>输入</t>
        </is>
      </c>
      <c r="F105" s="18" t="n"/>
      <c r="G105" s="18" t="inlineStr">
        <is>
          <t>PR06</t>
        </is>
      </c>
      <c r="H105" s="18" t="inlineStr">
        <is>
          <t>physical_material</t>
        </is>
      </c>
      <c r="I105" s="51" t="n">
        <v>18.9</v>
      </c>
      <c r="J105" s="18" t="inlineStr">
        <is>
          <t>m3/d</t>
        </is>
      </c>
      <c r="K105" s="18" t="inlineStr">
        <is>
          <t>1天</t>
        </is>
      </c>
      <c r="L105" s="18" t="n"/>
      <c r="M105" s="18" t="n"/>
      <c r="N105" s="18" t="n"/>
      <c r="O105" s="18" t="n"/>
      <c r="P105" s="52" t="n">
        <v>18.9</v>
      </c>
      <c r="Q105" s="18" t="inlineStr">
        <is>
          <t>m3/d</t>
        </is>
      </c>
      <c r="R105" s="18" t="inlineStr">
        <is>
          <t>+</t>
        </is>
      </c>
      <c r="S105" s="18" t="inlineStr">
        <is>
          <t>否</t>
        </is>
      </c>
      <c r="T105" s="18" t="inlineStr">
        <is>
          <t>来源原始清单（未分配）</t>
        </is>
      </c>
      <c r="U105" s="18" t="inlineStr">
        <is>
          <t>SRC-RAW</t>
        </is>
      </c>
      <c r="V105" s="18" t="inlineStr">
        <is>
          <t>已审查</t>
        </is>
      </c>
      <c r="W105" s="18" t="inlineStr">
        <is>
          <t>否</t>
        </is>
      </c>
      <c r="X105" s="18" t="inlineStr">
        <is>
          <t>PR06 清洗水 18.9</t>
        </is>
      </c>
      <c r="Y105" s="18" t="inlineStr"/>
      <c r="Z105" t="inlineStr">
        <is>
          <t>CT-CLW-06</t>
        </is>
      </c>
      <c r="AA105" t="inlineStr">
        <is>
          <t>直接报告</t>
        </is>
      </c>
      <c r="AB105" t="inlineStr">
        <is>
          <t>1天生产</t>
        </is>
      </c>
      <c r="AC105" t="inlineStr">
        <is>
          <t>1天生产</t>
        </is>
      </c>
    </row>
    <row r="106">
      <c r="A106" s="18" t="inlineStr">
        <is>
          <t>FL-CLC-06A</t>
        </is>
      </c>
      <c r="B106" s="18" t="inlineStr">
        <is>
          <t>PR06</t>
        </is>
      </c>
      <c r="C106" s="18" t="inlineStr">
        <is>
          <t>PR06 清洗剂NaOH</t>
        </is>
      </c>
      <c r="D106" s="18" t="inlineStr">
        <is>
          <t>物理流</t>
        </is>
      </c>
      <c r="E106" s="18" t="inlineStr">
        <is>
          <t>输入</t>
        </is>
      </c>
      <c r="F106" s="18" t="n"/>
      <c r="G106" s="18" t="inlineStr">
        <is>
          <t>PR06</t>
        </is>
      </c>
      <c r="H106" s="18" t="inlineStr">
        <is>
          <t>physical_material</t>
        </is>
      </c>
      <c r="I106" s="51" t="n">
        <v>88</v>
      </c>
      <c r="J106" s="18" t="inlineStr">
        <is>
          <t>kg/d</t>
        </is>
      </c>
      <c r="K106" s="18" t="inlineStr">
        <is>
          <t>1天</t>
        </is>
      </c>
      <c r="L106" s="18" t="n"/>
      <c r="M106" s="18" t="n"/>
      <c r="N106" s="18" t="n"/>
      <c r="O106" s="18" t="n"/>
      <c r="P106" s="52" t="n">
        <v>88</v>
      </c>
      <c r="Q106" s="18" t="inlineStr">
        <is>
          <t>kg/d</t>
        </is>
      </c>
      <c r="R106" s="18" t="inlineStr">
        <is>
          <t>+</t>
        </is>
      </c>
      <c r="S106" s="18" t="inlineStr">
        <is>
          <t>否</t>
        </is>
      </c>
      <c r="T106" s="18" t="inlineStr">
        <is>
          <t>来源原始清单（未分配）</t>
        </is>
      </c>
      <c r="U106" s="18" t="inlineStr">
        <is>
          <t>SRC-RAW</t>
        </is>
      </c>
      <c r="V106" s="18" t="inlineStr">
        <is>
          <t>已审查</t>
        </is>
      </c>
      <c r="W106" s="18" t="inlineStr">
        <is>
          <t>否</t>
        </is>
      </c>
      <c r="X106" s="18" t="inlineStr">
        <is>
          <t>PR06 清洗剂NaOH 88.0</t>
        </is>
      </c>
      <c r="Y106" s="18" t="inlineStr">
        <is>
          <t>CIP清洗剂</t>
        </is>
      </c>
      <c r="Z106" t="inlineStr">
        <is>
          <t>CT-CLC-06A</t>
        </is>
      </c>
      <c r="AA106" t="inlineStr">
        <is>
          <t>直接报告</t>
        </is>
      </c>
      <c r="AB106" t="inlineStr">
        <is>
          <t>1天生产</t>
        </is>
      </c>
      <c r="AC106" t="inlineStr">
        <is>
          <t>1天生产</t>
        </is>
      </c>
    </row>
    <row r="107">
      <c r="A107" s="18" t="inlineStr">
        <is>
          <t>FL-CLC-06B</t>
        </is>
      </c>
      <c r="B107" s="18" t="inlineStr">
        <is>
          <t>PR06</t>
        </is>
      </c>
      <c r="C107" s="18" t="inlineStr">
        <is>
          <t>PR06 清洗剂HNO3</t>
        </is>
      </c>
      <c r="D107" s="18" t="inlineStr">
        <is>
          <t>物理流</t>
        </is>
      </c>
      <c r="E107" s="18" t="inlineStr">
        <is>
          <t>输入</t>
        </is>
      </c>
      <c r="F107" s="18" t="n"/>
      <c r="G107" s="18" t="inlineStr">
        <is>
          <t>PR06</t>
        </is>
      </c>
      <c r="H107" s="18" t="inlineStr">
        <is>
          <t>physical_material</t>
        </is>
      </c>
      <c r="I107" s="51" t="n">
        <v>20</v>
      </c>
      <c r="J107" s="18" t="inlineStr">
        <is>
          <t>kg/d</t>
        </is>
      </c>
      <c r="K107" s="18" t="inlineStr">
        <is>
          <t>1天</t>
        </is>
      </c>
      <c r="L107" s="18" t="n"/>
      <c r="M107" s="18" t="n"/>
      <c r="N107" s="18" t="n"/>
      <c r="O107" s="18" t="n"/>
      <c r="P107" s="52" t="n">
        <v>20</v>
      </c>
      <c r="Q107" s="18" t="inlineStr">
        <is>
          <t>kg/d</t>
        </is>
      </c>
      <c r="R107" s="18" t="inlineStr">
        <is>
          <t>+</t>
        </is>
      </c>
      <c r="S107" s="18" t="inlineStr">
        <is>
          <t>否</t>
        </is>
      </c>
      <c r="T107" s="18" t="inlineStr">
        <is>
          <t>来源原始清单（未分配）</t>
        </is>
      </c>
      <c r="U107" s="18" t="inlineStr">
        <is>
          <t>SRC-RAW</t>
        </is>
      </c>
      <c r="V107" s="18" t="inlineStr">
        <is>
          <t>已审查</t>
        </is>
      </c>
      <c r="W107" s="18" t="inlineStr">
        <is>
          <t>否</t>
        </is>
      </c>
      <c r="X107" s="18" t="inlineStr">
        <is>
          <t>PR06 清洗剂HNO3 20.0</t>
        </is>
      </c>
      <c r="Y107" s="18" t="inlineStr">
        <is>
          <t>CIP清洗剂</t>
        </is>
      </c>
      <c r="Z107" t="inlineStr">
        <is>
          <t>CT-CLC-06B</t>
        </is>
      </c>
      <c r="AA107" t="inlineStr">
        <is>
          <t>直接报告</t>
        </is>
      </c>
      <c r="AB107" t="inlineStr">
        <is>
          <t>1天生产</t>
        </is>
      </c>
      <c r="AC107" t="inlineStr">
        <is>
          <t>1天生产</t>
        </is>
      </c>
    </row>
    <row r="108">
      <c r="A108" s="18" t="inlineStr">
        <is>
          <t>FL-CLC-06C</t>
        </is>
      </c>
      <c r="B108" s="18" t="inlineStr">
        <is>
          <t>PR06</t>
        </is>
      </c>
      <c r="C108" s="18" t="inlineStr">
        <is>
          <t>PR06 清洗剂NaOCl</t>
        </is>
      </c>
      <c r="D108" s="18" t="inlineStr">
        <is>
          <t>物理流</t>
        </is>
      </c>
      <c r="E108" s="18" t="inlineStr">
        <is>
          <t>输入</t>
        </is>
      </c>
      <c r="F108" s="18" t="n"/>
      <c r="G108" s="18" t="inlineStr">
        <is>
          <t>PR06</t>
        </is>
      </c>
      <c r="H108" s="18" t="inlineStr">
        <is>
          <t>physical_material</t>
        </is>
      </c>
      <c r="I108" s="51" t="n">
        <v>0</v>
      </c>
      <c r="J108" s="18" t="inlineStr">
        <is>
          <t>kg/d</t>
        </is>
      </c>
      <c r="K108" s="18" t="inlineStr">
        <is>
          <t>1天</t>
        </is>
      </c>
      <c r="L108" s="18" t="n"/>
      <c r="M108" s="18" t="n"/>
      <c r="N108" s="18" t="n"/>
      <c r="O108" s="18" t="n"/>
      <c r="P108" s="52" t="n">
        <v>0</v>
      </c>
      <c r="Q108" s="18" t="inlineStr">
        <is>
          <t>kg/d</t>
        </is>
      </c>
      <c r="R108" s="18" t="inlineStr">
        <is>
          <t>+</t>
        </is>
      </c>
      <c r="S108" s="18" t="inlineStr">
        <is>
          <t>否</t>
        </is>
      </c>
      <c r="T108" s="18" t="inlineStr">
        <is>
          <t>来源原始清单（未分配）</t>
        </is>
      </c>
      <c r="U108" s="18" t="inlineStr">
        <is>
          <t>SRC-RAW</t>
        </is>
      </c>
      <c r="V108" s="18" t="inlineStr">
        <is>
          <t>已审查</t>
        </is>
      </c>
      <c r="W108" s="18" t="inlineStr">
        <is>
          <t>否</t>
        </is>
      </c>
      <c r="X108" s="18" t="inlineStr">
        <is>
          <t>PR06 清洗剂NaOCl 0.0</t>
        </is>
      </c>
      <c r="Y108" s="18" t="inlineStr">
        <is>
          <t>CIP清洗剂</t>
        </is>
      </c>
      <c r="Z108" t="inlineStr">
        <is>
          <t>CT-CLC-06C</t>
        </is>
      </c>
      <c r="AA108" t="inlineStr">
        <is>
          <t>直接报告</t>
        </is>
      </c>
      <c r="AB108" t="inlineStr">
        <is>
          <t>1天生产</t>
        </is>
      </c>
      <c r="AC108" t="inlineStr">
        <is>
          <t>1天生产</t>
        </is>
      </c>
    </row>
    <row r="109">
      <c r="A109" s="18" t="inlineStr">
        <is>
          <t>FL-CLC-06D</t>
        </is>
      </c>
      <c r="B109" s="18" t="inlineStr">
        <is>
          <t>PR06</t>
        </is>
      </c>
      <c r="C109" s="18" t="inlineStr">
        <is>
          <t>PR06 清洗剂Phosphoc acid</t>
        </is>
      </c>
      <c r="D109" s="18" t="inlineStr">
        <is>
          <t>物理流</t>
        </is>
      </c>
      <c r="E109" s="18" t="inlineStr">
        <is>
          <t>输入</t>
        </is>
      </c>
      <c r="F109" s="18" t="n"/>
      <c r="G109" s="18" t="inlineStr">
        <is>
          <t>PR06</t>
        </is>
      </c>
      <c r="H109" s="18" t="inlineStr">
        <is>
          <t>physical_material</t>
        </is>
      </c>
      <c r="I109" s="51" t="n">
        <v>0</v>
      </c>
      <c r="J109" s="18" t="inlineStr">
        <is>
          <t>kg/d</t>
        </is>
      </c>
      <c r="K109" s="18" t="inlineStr">
        <is>
          <t>1天</t>
        </is>
      </c>
      <c r="L109" s="18" t="n"/>
      <c r="M109" s="18" t="n"/>
      <c r="N109" s="18" t="n"/>
      <c r="O109" s="18" t="n"/>
      <c r="P109" s="52" t="n">
        <v>0</v>
      </c>
      <c r="Q109" s="18" t="inlineStr">
        <is>
          <t>kg/d</t>
        </is>
      </c>
      <c r="R109" s="18" t="inlineStr">
        <is>
          <t>+</t>
        </is>
      </c>
      <c r="S109" s="18" t="inlineStr">
        <is>
          <t>否</t>
        </is>
      </c>
      <c r="T109" s="18" t="inlineStr">
        <is>
          <t>来源原始清单（未分配）</t>
        </is>
      </c>
      <c r="U109" s="18" t="inlineStr">
        <is>
          <t>SRC-RAW</t>
        </is>
      </c>
      <c r="V109" s="18" t="inlineStr">
        <is>
          <t>已审查</t>
        </is>
      </c>
      <c r="W109" s="18" t="inlineStr">
        <is>
          <t>否</t>
        </is>
      </c>
      <c r="X109" s="18" t="inlineStr">
        <is>
          <t>PR06 清洗剂Phosphoc acid 0.0</t>
        </is>
      </c>
      <c r="Y109" s="18" t="inlineStr">
        <is>
          <t>CIP清洗剂</t>
        </is>
      </c>
      <c r="Z109" t="inlineStr">
        <is>
          <t>CT-CLC-06D</t>
        </is>
      </c>
      <c r="AA109" t="inlineStr">
        <is>
          <t>直接报告</t>
        </is>
      </c>
      <c r="AB109" t="inlineStr">
        <is>
          <t>1天生产</t>
        </is>
      </c>
      <c r="AC109" t="inlineStr">
        <is>
          <t>1天生产</t>
        </is>
      </c>
    </row>
    <row r="110">
      <c r="A110" s="18" t="inlineStr">
        <is>
          <t>FL-CLC-06E</t>
        </is>
      </c>
      <c r="B110" s="18" t="inlineStr">
        <is>
          <t>PR06</t>
        </is>
      </c>
      <c r="C110" s="18" t="inlineStr">
        <is>
          <t>PR06 清洗剂surfactant</t>
        </is>
      </c>
      <c r="D110" s="18" t="inlineStr">
        <is>
          <t>物理流</t>
        </is>
      </c>
      <c r="E110" s="18" t="inlineStr">
        <is>
          <t>输入</t>
        </is>
      </c>
      <c r="F110" s="18" t="n"/>
      <c r="G110" s="18" t="inlineStr">
        <is>
          <t>PR06</t>
        </is>
      </c>
      <c r="H110" s="18" t="inlineStr">
        <is>
          <t>physical_material</t>
        </is>
      </c>
      <c r="I110" s="51" t="n">
        <v>0</v>
      </c>
      <c r="J110" s="18" t="inlineStr">
        <is>
          <t>kg/d</t>
        </is>
      </c>
      <c r="K110" s="18" t="inlineStr">
        <is>
          <t>1天</t>
        </is>
      </c>
      <c r="L110" s="18" t="n"/>
      <c r="M110" s="18" t="n"/>
      <c r="N110" s="18" t="n"/>
      <c r="O110" s="18" t="n"/>
      <c r="P110" s="52" t="n">
        <v>0</v>
      </c>
      <c r="Q110" s="18" t="inlineStr">
        <is>
          <t>kg/d</t>
        </is>
      </c>
      <c r="R110" s="18" t="inlineStr">
        <is>
          <t>+</t>
        </is>
      </c>
      <c r="S110" s="18" t="inlineStr">
        <is>
          <t>否</t>
        </is>
      </c>
      <c r="T110" s="18" t="inlineStr">
        <is>
          <t>来源原始清单（未分配）</t>
        </is>
      </c>
      <c r="U110" s="18" t="inlineStr">
        <is>
          <t>SRC-RAW</t>
        </is>
      </c>
      <c r="V110" s="18" t="inlineStr">
        <is>
          <t>已审查</t>
        </is>
      </c>
      <c r="W110" s="18" t="inlineStr">
        <is>
          <t>否</t>
        </is>
      </c>
      <c r="X110" s="18" t="inlineStr">
        <is>
          <t>PR06 清洗剂surfactant 0.0</t>
        </is>
      </c>
      <c r="Y110" s="18" t="inlineStr">
        <is>
          <t>CIP清洗剂</t>
        </is>
      </c>
      <c r="Z110" t="inlineStr">
        <is>
          <t>CT-CLC-06E</t>
        </is>
      </c>
      <c r="AA110" t="inlineStr">
        <is>
          <t>直接报告</t>
        </is>
      </c>
      <c r="AB110" t="inlineStr">
        <is>
          <t>1天生产</t>
        </is>
      </c>
      <c r="AC110" t="inlineStr">
        <is>
          <t>1天生产</t>
        </is>
      </c>
    </row>
    <row r="111">
      <c r="A111" s="18" t="inlineStr">
        <is>
          <t>FL-CLC-06F</t>
        </is>
      </c>
      <c r="B111" s="18" t="inlineStr">
        <is>
          <t>PR06</t>
        </is>
      </c>
      <c r="C111" s="18" t="inlineStr">
        <is>
          <t>PR06 清洗剂Other acid</t>
        </is>
      </c>
      <c r="D111" s="18" t="inlineStr">
        <is>
          <t>物理流</t>
        </is>
      </c>
      <c r="E111" s="18" t="inlineStr">
        <is>
          <t>输入</t>
        </is>
      </c>
      <c r="F111" s="18" t="n"/>
      <c r="G111" s="18" t="inlineStr">
        <is>
          <t>PR06</t>
        </is>
      </c>
      <c r="H111" s="18" t="inlineStr">
        <is>
          <t>physical_material</t>
        </is>
      </c>
      <c r="I111" s="51" t="n">
        <v>0</v>
      </c>
      <c r="J111" s="18" t="inlineStr">
        <is>
          <t>kg/d</t>
        </is>
      </c>
      <c r="K111" s="18" t="inlineStr">
        <is>
          <t>1天</t>
        </is>
      </c>
      <c r="L111" s="18" t="n"/>
      <c r="M111" s="18" t="n"/>
      <c r="N111" s="18" t="n"/>
      <c r="O111" s="18" t="n"/>
      <c r="P111" s="52" t="n">
        <v>0</v>
      </c>
      <c r="Q111" s="18" t="inlineStr">
        <is>
          <t>kg/d</t>
        </is>
      </c>
      <c r="R111" s="18" t="inlineStr">
        <is>
          <t>+</t>
        </is>
      </c>
      <c r="S111" s="18" t="inlineStr">
        <is>
          <t>否</t>
        </is>
      </c>
      <c r="T111" s="18" t="inlineStr">
        <is>
          <t>来源原始清单（未分配）</t>
        </is>
      </c>
      <c r="U111" s="18" t="inlineStr">
        <is>
          <t>SRC-RAW</t>
        </is>
      </c>
      <c r="V111" s="18" t="inlineStr">
        <is>
          <t>已审查</t>
        </is>
      </c>
      <c r="W111" s="18" t="inlineStr">
        <is>
          <t>否</t>
        </is>
      </c>
      <c r="X111" s="18" t="inlineStr">
        <is>
          <t>PR06 清洗剂Other acid 0.0</t>
        </is>
      </c>
      <c r="Y111" s="18" t="inlineStr">
        <is>
          <t>CIP清洗剂</t>
        </is>
      </c>
      <c r="Z111" t="inlineStr">
        <is>
          <t>CT-CLC-06F</t>
        </is>
      </c>
      <c r="AA111" t="inlineStr">
        <is>
          <t>直接报告</t>
        </is>
      </c>
      <c r="AB111" t="inlineStr">
        <is>
          <t>1天生产</t>
        </is>
      </c>
      <c r="AC111" t="inlineStr">
        <is>
          <t>1天生产</t>
        </is>
      </c>
    </row>
    <row r="112">
      <c r="A112" s="18" t="inlineStr">
        <is>
          <t>FL-CLT-06</t>
        </is>
      </c>
      <c r="B112" s="18" t="inlineStr">
        <is>
          <t>PR06</t>
        </is>
      </c>
      <c r="C112" s="18" t="inlineStr">
        <is>
          <t>PR06 清洗回路设备材料</t>
        </is>
      </c>
      <c r="D112" s="18" t="inlineStr">
        <is>
          <t>物理流</t>
        </is>
      </c>
      <c r="E112" s="18" t="inlineStr">
        <is>
          <t>输入</t>
        </is>
      </c>
      <c r="F112" s="18" t="n"/>
      <c r="G112" s="18" t="inlineStr">
        <is>
          <t>PR06</t>
        </is>
      </c>
      <c r="H112" s="18" t="inlineStr">
        <is>
          <t>physical_material</t>
        </is>
      </c>
      <c r="I112" s="51" t="n">
        <v>1.60727272727273</v>
      </c>
      <c r="J112" s="18" t="inlineStr">
        <is>
          <t>kg/d</t>
        </is>
      </c>
      <c r="K112" s="18" t="inlineStr">
        <is>
          <t>1天</t>
        </is>
      </c>
      <c r="L112" s="18" t="n"/>
      <c r="M112" s="18" t="n"/>
      <c r="N112" s="18" t="n"/>
      <c r="O112" s="18" t="n"/>
      <c r="P112" s="52" t="n">
        <v>1.60727272727273</v>
      </c>
      <c r="Q112" s="18" t="inlineStr">
        <is>
          <t>kg/d</t>
        </is>
      </c>
      <c r="R112" s="18" t="inlineStr">
        <is>
          <t>+</t>
        </is>
      </c>
      <c r="S112" s="18" t="inlineStr">
        <is>
          <t>否</t>
        </is>
      </c>
      <c r="T112" s="18" t="inlineStr">
        <is>
          <t>来源原始清单（未分配）</t>
        </is>
      </c>
      <c r="U112" s="18" t="inlineStr">
        <is>
          <t>SRC-RAW</t>
        </is>
      </c>
      <c r="V112" s="18" t="inlineStr">
        <is>
          <t>已审查</t>
        </is>
      </c>
      <c r="W112" s="18" t="inlineStr">
        <is>
          <t>否</t>
        </is>
      </c>
      <c r="X112" s="18" t="inlineStr">
        <is>
          <t>PR06 清洗回路设备材料 1.60727272727273</t>
        </is>
      </c>
      <c r="Y112" s="18" t="inlineStr">
        <is>
          <t>Tanks and pipes 不锈钢（按天摊销）</t>
        </is>
      </c>
      <c r="Z112" t="inlineStr">
        <is>
          <t>CT-CLT-06</t>
        </is>
      </c>
      <c r="AA112" t="inlineStr">
        <is>
          <t>直接报告</t>
        </is>
      </c>
      <c r="AB112" t="inlineStr">
        <is>
          <t>1天生产</t>
        </is>
      </c>
      <c r="AC112" t="inlineStr">
        <is>
          <t>1天生产</t>
        </is>
      </c>
    </row>
    <row r="113">
      <c r="A113" s="18" t="inlineStr">
        <is>
          <t>FL-CLCOD-06</t>
        </is>
      </c>
      <c r="B113" s="18" t="inlineStr">
        <is>
          <t>PR06</t>
        </is>
      </c>
      <c r="C113" s="18" t="inlineStr">
        <is>
          <t>PR06 清洗废水COD</t>
        </is>
      </c>
      <c r="D113" s="18" t="inlineStr">
        <is>
          <t>环境交换</t>
        </is>
      </c>
      <c r="E113" s="18" t="inlineStr">
        <is>
          <t>输入</t>
        </is>
      </c>
      <c r="F113" s="18" t="n"/>
      <c r="G113" s="18" t="inlineStr">
        <is>
          <t>PR06</t>
        </is>
      </c>
      <c r="H113" s="18" t="inlineStr">
        <is>
          <t>environment_exchange</t>
        </is>
      </c>
      <c r="I113" s="51" t="n">
        <v>47.7</v>
      </c>
      <c r="J113" s="18" t="inlineStr">
        <is>
          <t>kg_COD/d</t>
        </is>
      </c>
      <c r="K113" s="18" t="inlineStr">
        <is>
          <t>1天</t>
        </is>
      </c>
      <c r="L113" s="18" t="n"/>
      <c r="M113" s="18" t="n"/>
      <c r="N113" s="18" t="n"/>
      <c r="O113" s="18" t="n"/>
      <c r="P113" s="52" t="n">
        <v>47.7</v>
      </c>
      <c r="Q113" s="18" t="inlineStr">
        <is>
          <t>kg_COD/d</t>
        </is>
      </c>
      <c r="R113" s="18" t="inlineStr">
        <is>
          <t>+</t>
        </is>
      </c>
      <c r="S113" s="18" t="inlineStr">
        <is>
          <t>否</t>
        </is>
      </c>
      <c r="T113" s="18" t="inlineStr">
        <is>
          <t>来源原始清单（未分配）</t>
        </is>
      </c>
      <c r="U113" s="18" t="inlineStr">
        <is>
          <t>SRC-RAW</t>
        </is>
      </c>
      <c r="V113" s="18" t="inlineStr">
        <is>
          <t>已审查</t>
        </is>
      </c>
      <c r="W113" s="18" t="inlineStr">
        <is>
          <t>否</t>
        </is>
      </c>
      <c r="X113" s="18" t="inlineStr">
        <is>
          <t>PR06 清洗废水COD 47.7</t>
        </is>
      </c>
      <c r="Y113" s="18" t="inlineStr"/>
      <c r="Z113" t="inlineStr">
        <is>
          <t>CT-CLCOD-06</t>
        </is>
      </c>
      <c r="AA113" t="inlineStr">
        <is>
          <t>直接报告</t>
        </is>
      </c>
      <c r="AB113" t="inlineStr">
        <is>
          <t>1天生产</t>
        </is>
      </c>
      <c r="AC113" t="inlineStr">
        <is>
          <t>1天生产</t>
        </is>
      </c>
    </row>
    <row r="114">
      <c r="A114" s="18" t="inlineStr">
        <is>
          <t>FL-CLDM-06</t>
        </is>
      </c>
      <c r="B114" s="18" t="inlineStr">
        <is>
          <t>PR06</t>
        </is>
      </c>
      <c r="C114" s="18" t="inlineStr">
        <is>
          <t>PR06 清洗废水干物质</t>
        </is>
      </c>
      <c r="D114" s="18" t="inlineStr">
        <is>
          <t>环境交换</t>
        </is>
      </c>
      <c r="E114" s="18" t="inlineStr">
        <is>
          <t>输入</t>
        </is>
      </c>
      <c r="F114" s="18" t="n"/>
      <c r="G114" s="18" t="inlineStr">
        <is>
          <t>PR06</t>
        </is>
      </c>
      <c r="H114" s="18" t="inlineStr">
        <is>
          <t>environment_exchange</t>
        </is>
      </c>
      <c r="I114" s="51" t="n">
        <v>55.809</v>
      </c>
      <c r="J114" s="18" t="inlineStr">
        <is>
          <t>kg/d</t>
        </is>
      </c>
      <c r="K114" s="18" t="inlineStr">
        <is>
          <t>1天</t>
        </is>
      </c>
      <c r="L114" s="18" t="n"/>
      <c r="M114" s="18" t="n"/>
      <c r="N114" s="18" t="n"/>
      <c r="O114" s="18" t="n"/>
      <c r="P114" s="52" t="n">
        <v>55.809</v>
      </c>
      <c r="Q114" s="18" t="inlineStr">
        <is>
          <t>kg/d</t>
        </is>
      </c>
      <c r="R114" s="18" t="inlineStr">
        <is>
          <t>+</t>
        </is>
      </c>
      <c r="S114" s="18" t="inlineStr">
        <is>
          <t>否</t>
        </is>
      </c>
      <c r="T114" s="18" t="inlineStr">
        <is>
          <t>来源原始清单（未分配）</t>
        </is>
      </c>
      <c r="U114" s="18" t="inlineStr">
        <is>
          <t>SRC-RAW</t>
        </is>
      </c>
      <c r="V114" s="18" t="inlineStr">
        <is>
          <t>已审查</t>
        </is>
      </c>
      <c r="W114" s="18" t="inlineStr">
        <is>
          <t>否</t>
        </is>
      </c>
      <c r="X114" s="18" t="inlineStr">
        <is>
          <t>PR06 清洗废水干物质 55.809</t>
        </is>
      </c>
      <c r="Y114" s="18" t="inlineStr"/>
      <c r="Z114" t="inlineStr">
        <is>
          <t>CT-CLDM-06</t>
        </is>
      </c>
      <c r="AA114" t="inlineStr">
        <is>
          <t>直接报告</t>
        </is>
      </c>
      <c r="AB114" t="inlineStr">
        <is>
          <t>1天生产</t>
        </is>
      </c>
      <c r="AC114" t="inlineStr">
        <is>
          <t>1天生产</t>
        </is>
      </c>
    </row>
    <row r="115">
      <c r="A115" s="18" t="inlineStr">
        <is>
          <t>FL-CLE-07</t>
        </is>
      </c>
      <c r="B115" s="18" t="inlineStr">
        <is>
          <t>PR07</t>
        </is>
      </c>
      <c r="C115" s="18" t="inlineStr">
        <is>
          <t>电力（清洗）</t>
        </is>
      </c>
      <c r="D115" s="18" t="inlineStr">
        <is>
          <t>能源</t>
        </is>
      </c>
      <c r="E115" s="18" t="inlineStr">
        <is>
          <t>输入</t>
        </is>
      </c>
      <c r="F115" s="18" t="n"/>
      <c r="G115" s="18" t="inlineStr">
        <is>
          <t>PR07</t>
        </is>
      </c>
      <c r="H115" s="18" t="inlineStr">
        <is>
          <t>physical_energy</t>
        </is>
      </c>
      <c r="I115" s="51" t="n">
        <v>39</v>
      </c>
      <c r="J115" s="18" t="inlineStr">
        <is>
          <t>kWh/d</t>
        </is>
      </c>
      <c r="K115" s="18" t="inlineStr">
        <is>
          <t>1天</t>
        </is>
      </c>
      <c r="L115" s="18" t="n"/>
      <c r="M115" s="18" t="n"/>
      <c r="N115" s="18" t="n"/>
      <c r="O115" s="18" t="n"/>
      <c r="P115" s="52" t="n">
        <v>39</v>
      </c>
      <c r="Q115" s="18" t="inlineStr">
        <is>
          <t>kWh/d</t>
        </is>
      </c>
      <c r="R115" s="18" t="inlineStr">
        <is>
          <t>+</t>
        </is>
      </c>
      <c r="S115" s="18" t="inlineStr">
        <is>
          <t>否</t>
        </is>
      </c>
      <c r="T115" s="18" t="inlineStr">
        <is>
          <t>来源原始清单（未分配）</t>
        </is>
      </c>
      <c r="U115" s="18" t="inlineStr">
        <is>
          <t>SRC-RAW</t>
        </is>
      </c>
      <c r="V115" s="18" t="inlineStr">
        <is>
          <t>已审查</t>
        </is>
      </c>
      <c r="W115" s="18" t="inlineStr">
        <is>
          <t>是</t>
        </is>
      </c>
      <c r="X115" s="18" t="inlineStr">
        <is>
          <t>PR07 清洗电耗 39.0</t>
        </is>
      </c>
      <c r="Y115" s="18" t="inlineStr">
        <is>
          <t>CIP</t>
        </is>
      </c>
      <c r="Z115" t="inlineStr">
        <is>
          <t>CT-CLE-07</t>
        </is>
      </c>
      <c r="AA115" t="inlineStr">
        <is>
          <t>直接报告</t>
        </is>
      </c>
      <c r="AB115" t="inlineStr">
        <is>
          <t>1天生产</t>
        </is>
      </c>
      <c r="AC115" t="inlineStr">
        <is>
          <t>1天生产</t>
        </is>
      </c>
    </row>
    <row r="116">
      <c r="A116" s="18" t="inlineStr">
        <is>
          <t>FL-CLH-07</t>
        </is>
      </c>
      <c r="B116" s="18" t="inlineStr">
        <is>
          <t>PR07</t>
        </is>
      </c>
      <c r="C116" s="18" t="inlineStr">
        <is>
          <t>热量（清洗）</t>
        </is>
      </c>
      <c r="D116" s="18" t="inlineStr">
        <is>
          <t>能源</t>
        </is>
      </c>
      <c r="E116" s="18" t="inlineStr">
        <is>
          <t>输入</t>
        </is>
      </c>
      <c r="F116" s="18" t="n"/>
      <c r="G116" s="18" t="inlineStr">
        <is>
          <t>PR07</t>
        </is>
      </c>
      <c r="H116" s="18" t="inlineStr">
        <is>
          <t>physical_energy</t>
        </is>
      </c>
      <c r="I116" s="51" t="n">
        <v>417.6</v>
      </c>
      <c r="J116" s="18" t="inlineStr">
        <is>
          <t>MJ/d</t>
        </is>
      </c>
      <c r="K116" s="18" t="inlineStr">
        <is>
          <t>1天</t>
        </is>
      </c>
      <c r="L116" s="18" t="n"/>
      <c r="M116" s="18" t="n"/>
      <c r="N116" s="18" t="n"/>
      <c r="O116" s="18" t="n"/>
      <c r="P116" s="52" t="n">
        <v>417.6</v>
      </c>
      <c r="Q116" s="18" t="inlineStr">
        <is>
          <t>MJ/d</t>
        </is>
      </c>
      <c r="R116" s="18" t="inlineStr">
        <is>
          <t>+</t>
        </is>
      </c>
      <c r="S116" s="18" t="inlineStr">
        <is>
          <t>否</t>
        </is>
      </c>
      <c r="T116" s="18" t="inlineStr">
        <is>
          <t>来源原始清单（未分配）</t>
        </is>
      </c>
      <c r="U116" s="18" t="inlineStr">
        <is>
          <t>SRC-RAW</t>
        </is>
      </c>
      <c r="V116" s="18" t="inlineStr">
        <is>
          <t>已审查</t>
        </is>
      </c>
      <c r="W116" s="18" t="inlineStr">
        <is>
          <t>是</t>
        </is>
      </c>
      <c r="X116" s="18" t="inlineStr">
        <is>
          <t>PR07 清洗热耗 417.6</t>
        </is>
      </c>
      <c r="Y116" s="18" t="inlineStr">
        <is>
          <t>CIP</t>
        </is>
      </c>
      <c r="Z116" t="inlineStr">
        <is>
          <t>CT-CLH-07</t>
        </is>
      </c>
      <c r="AA116" t="inlineStr">
        <is>
          <t>直接报告</t>
        </is>
      </c>
      <c r="AB116" t="inlineStr">
        <is>
          <t>1天生产</t>
        </is>
      </c>
      <c r="AC116" t="inlineStr">
        <is>
          <t>1天生产</t>
        </is>
      </c>
    </row>
    <row r="117">
      <c r="A117" s="18" t="inlineStr">
        <is>
          <t>FL-CLW-07</t>
        </is>
      </c>
      <c r="B117" s="18" t="inlineStr">
        <is>
          <t>PR07</t>
        </is>
      </c>
      <c r="C117" s="18" t="inlineStr">
        <is>
          <t>PR07 清洗水</t>
        </is>
      </c>
      <c r="D117" s="18" t="inlineStr">
        <is>
          <t>物理流</t>
        </is>
      </c>
      <c r="E117" s="18" t="inlineStr">
        <is>
          <t>输入</t>
        </is>
      </c>
      <c r="F117" s="18" t="n"/>
      <c r="G117" s="18" t="inlineStr">
        <is>
          <t>PR07</t>
        </is>
      </c>
      <c r="H117" s="18" t="inlineStr">
        <is>
          <t>physical_material</t>
        </is>
      </c>
      <c r="I117" s="51" t="n">
        <v>7.5</v>
      </c>
      <c r="J117" s="18" t="inlineStr">
        <is>
          <t>m3/d</t>
        </is>
      </c>
      <c r="K117" s="18" t="inlineStr">
        <is>
          <t>1天</t>
        </is>
      </c>
      <c r="L117" s="18" t="n"/>
      <c r="M117" s="18" t="n"/>
      <c r="N117" s="18" t="n"/>
      <c r="O117" s="18" t="n"/>
      <c r="P117" s="52" t="n">
        <v>7.5</v>
      </c>
      <c r="Q117" s="18" t="inlineStr">
        <is>
          <t>m3/d</t>
        </is>
      </c>
      <c r="R117" s="18" t="inlineStr">
        <is>
          <t>+</t>
        </is>
      </c>
      <c r="S117" s="18" t="inlineStr">
        <is>
          <t>否</t>
        </is>
      </c>
      <c r="T117" s="18" t="inlineStr">
        <is>
          <t>来源原始清单（未分配）</t>
        </is>
      </c>
      <c r="U117" s="18" t="inlineStr">
        <is>
          <t>SRC-RAW</t>
        </is>
      </c>
      <c r="V117" s="18" t="inlineStr">
        <is>
          <t>已审查</t>
        </is>
      </c>
      <c r="W117" s="18" t="inlineStr">
        <is>
          <t>否</t>
        </is>
      </c>
      <c r="X117" s="18" t="inlineStr">
        <is>
          <t>PR07 清洗水 7.5</t>
        </is>
      </c>
      <c r="Y117" s="18" t="inlineStr"/>
      <c r="Z117" t="inlineStr">
        <is>
          <t>CT-CLW-07</t>
        </is>
      </c>
      <c r="AA117" t="inlineStr">
        <is>
          <t>直接报告</t>
        </is>
      </c>
      <c r="AB117" t="inlineStr">
        <is>
          <t>1天生产</t>
        </is>
      </c>
      <c r="AC117" t="inlineStr">
        <is>
          <t>1天生产</t>
        </is>
      </c>
    </row>
    <row r="118">
      <c r="A118" s="18" t="inlineStr">
        <is>
          <t>FL-CLC-07A</t>
        </is>
      </c>
      <c r="B118" s="18" t="inlineStr">
        <is>
          <t>PR07</t>
        </is>
      </c>
      <c r="C118" s="18" t="inlineStr">
        <is>
          <t>PR07 清洗剂NaOH</t>
        </is>
      </c>
      <c r="D118" s="18" t="inlineStr">
        <is>
          <t>物理流</t>
        </is>
      </c>
      <c r="E118" s="18" t="inlineStr">
        <is>
          <t>输入</t>
        </is>
      </c>
      <c r="F118" s="18" t="n"/>
      <c r="G118" s="18" t="inlineStr">
        <is>
          <t>PR07</t>
        </is>
      </c>
      <c r="H118" s="18" t="inlineStr">
        <is>
          <t>physical_material</t>
        </is>
      </c>
      <c r="I118" s="51" t="n">
        <v>44</v>
      </c>
      <c r="J118" s="18" t="inlineStr">
        <is>
          <t>kg/d</t>
        </is>
      </c>
      <c r="K118" s="18" t="inlineStr">
        <is>
          <t>1天</t>
        </is>
      </c>
      <c r="L118" s="18" t="n"/>
      <c r="M118" s="18" t="n"/>
      <c r="N118" s="18" t="n"/>
      <c r="O118" s="18" t="n"/>
      <c r="P118" s="52" t="n">
        <v>44</v>
      </c>
      <c r="Q118" s="18" t="inlineStr">
        <is>
          <t>kg/d</t>
        </is>
      </c>
      <c r="R118" s="18" t="inlineStr">
        <is>
          <t>+</t>
        </is>
      </c>
      <c r="S118" s="18" t="inlineStr">
        <is>
          <t>否</t>
        </is>
      </c>
      <c r="T118" s="18" t="inlineStr">
        <is>
          <t>来源原始清单（未分配）</t>
        </is>
      </c>
      <c r="U118" s="18" t="inlineStr">
        <is>
          <t>SRC-RAW</t>
        </is>
      </c>
      <c r="V118" s="18" t="inlineStr">
        <is>
          <t>已审查</t>
        </is>
      </c>
      <c r="W118" s="18" t="inlineStr">
        <is>
          <t>否</t>
        </is>
      </c>
      <c r="X118" s="18" t="inlineStr">
        <is>
          <t>PR07 清洗剂NaOH 44.0</t>
        </is>
      </c>
      <c r="Y118" s="18" t="inlineStr">
        <is>
          <t>CIP清洗剂</t>
        </is>
      </c>
      <c r="Z118" t="inlineStr">
        <is>
          <t>CT-CLC-07A</t>
        </is>
      </c>
      <c r="AA118" t="inlineStr">
        <is>
          <t>直接报告</t>
        </is>
      </c>
      <c r="AB118" t="inlineStr">
        <is>
          <t>1天生产</t>
        </is>
      </c>
      <c r="AC118" t="inlineStr">
        <is>
          <t>1天生产</t>
        </is>
      </c>
    </row>
    <row r="119">
      <c r="A119" s="18" t="inlineStr">
        <is>
          <t>FL-CLC-07B</t>
        </is>
      </c>
      <c r="B119" s="18" t="inlineStr">
        <is>
          <t>PR07</t>
        </is>
      </c>
      <c r="C119" s="18" t="inlineStr">
        <is>
          <t>PR07 清洗剂HNO3</t>
        </is>
      </c>
      <c r="D119" s="18" t="inlineStr">
        <is>
          <t>物理流</t>
        </is>
      </c>
      <c r="E119" s="18" t="inlineStr">
        <is>
          <t>输入</t>
        </is>
      </c>
      <c r="F119" s="18" t="n"/>
      <c r="G119" s="18" t="inlineStr">
        <is>
          <t>PR07</t>
        </is>
      </c>
      <c r="H119" s="18" t="inlineStr">
        <is>
          <t>physical_material</t>
        </is>
      </c>
      <c r="I119" s="51" t="n">
        <v>10</v>
      </c>
      <c r="J119" s="18" t="inlineStr">
        <is>
          <t>kg/d</t>
        </is>
      </c>
      <c r="K119" s="18" t="inlineStr">
        <is>
          <t>1天</t>
        </is>
      </c>
      <c r="L119" s="18" t="n"/>
      <c r="M119" s="18" t="n"/>
      <c r="N119" s="18" t="n"/>
      <c r="O119" s="18" t="n"/>
      <c r="P119" s="52" t="n">
        <v>10</v>
      </c>
      <c r="Q119" s="18" t="inlineStr">
        <is>
          <t>kg/d</t>
        </is>
      </c>
      <c r="R119" s="18" t="inlineStr">
        <is>
          <t>+</t>
        </is>
      </c>
      <c r="S119" s="18" t="inlineStr">
        <is>
          <t>否</t>
        </is>
      </c>
      <c r="T119" s="18" t="inlineStr">
        <is>
          <t>来源原始清单（未分配）</t>
        </is>
      </c>
      <c r="U119" s="18" t="inlineStr">
        <is>
          <t>SRC-RAW</t>
        </is>
      </c>
      <c r="V119" s="18" t="inlineStr">
        <is>
          <t>已审查</t>
        </is>
      </c>
      <c r="W119" s="18" t="inlineStr">
        <is>
          <t>否</t>
        </is>
      </c>
      <c r="X119" s="18" t="inlineStr">
        <is>
          <t>PR07 清洗剂HNO3 10.0</t>
        </is>
      </c>
      <c r="Y119" s="18" t="inlineStr">
        <is>
          <t>CIP清洗剂</t>
        </is>
      </c>
      <c r="Z119" t="inlineStr">
        <is>
          <t>CT-CLC-07B</t>
        </is>
      </c>
      <c r="AA119" t="inlineStr">
        <is>
          <t>直接报告</t>
        </is>
      </c>
      <c r="AB119" t="inlineStr">
        <is>
          <t>1天生产</t>
        </is>
      </c>
      <c r="AC119" t="inlineStr">
        <is>
          <t>1天生产</t>
        </is>
      </c>
    </row>
    <row r="120">
      <c r="A120" s="18" t="inlineStr">
        <is>
          <t>FL-CLC-07C</t>
        </is>
      </c>
      <c r="B120" s="18" t="inlineStr">
        <is>
          <t>PR07</t>
        </is>
      </c>
      <c r="C120" s="18" t="inlineStr">
        <is>
          <t>PR07 清洗剂NaOCl</t>
        </is>
      </c>
      <c r="D120" s="18" t="inlineStr">
        <is>
          <t>物理流</t>
        </is>
      </c>
      <c r="E120" s="18" t="inlineStr">
        <is>
          <t>输入</t>
        </is>
      </c>
      <c r="F120" s="18" t="n"/>
      <c r="G120" s="18" t="inlineStr">
        <is>
          <t>PR07</t>
        </is>
      </c>
      <c r="H120" s="18" t="inlineStr">
        <is>
          <t>physical_material</t>
        </is>
      </c>
      <c r="I120" s="51" t="n">
        <v>0</v>
      </c>
      <c r="J120" s="18" t="inlineStr">
        <is>
          <t>kg/d</t>
        </is>
      </c>
      <c r="K120" s="18" t="inlineStr">
        <is>
          <t>1天</t>
        </is>
      </c>
      <c r="L120" s="18" t="n"/>
      <c r="M120" s="18" t="n"/>
      <c r="N120" s="18" t="n"/>
      <c r="O120" s="18" t="n"/>
      <c r="P120" s="52" t="n">
        <v>0</v>
      </c>
      <c r="Q120" s="18" t="inlineStr">
        <is>
          <t>kg/d</t>
        </is>
      </c>
      <c r="R120" s="18" t="inlineStr">
        <is>
          <t>+</t>
        </is>
      </c>
      <c r="S120" s="18" t="inlineStr">
        <is>
          <t>否</t>
        </is>
      </c>
      <c r="T120" s="18" t="inlineStr">
        <is>
          <t>来源原始清单（未分配）</t>
        </is>
      </c>
      <c r="U120" s="18" t="inlineStr">
        <is>
          <t>SRC-RAW</t>
        </is>
      </c>
      <c r="V120" s="18" t="inlineStr">
        <is>
          <t>已审查</t>
        </is>
      </c>
      <c r="W120" s="18" t="inlineStr">
        <is>
          <t>否</t>
        </is>
      </c>
      <c r="X120" s="18" t="inlineStr">
        <is>
          <t>PR07 清洗剂NaOCl 0.0</t>
        </is>
      </c>
      <c r="Y120" s="18" t="inlineStr">
        <is>
          <t>CIP清洗剂</t>
        </is>
      </c>
      <c r="Z120" t="inlineStr">
        <is>
          <t>CT-CLC-07C</t>
        </is>
      </c>
      <c r="AA120" t="inlineStr">
        <is>
          <t>直接报告</t>
        </is>
      </c>
      <c r="AB120" t="inlineStr">
        <is>
          <t>1天生产</t>
        </is>
      </c>
      <c r="AC120" t="inlineStr">
        <is>
          <t>1天生产</t>
        </is>
      </c>
    </row>
    <row r="121">
      <c r="A121" s="18" t="inlineStr">
        <is>
          <t>FL-CLC-07D</t>
        </is>
      </c>
      <c r="B121" s="18" t="inlineStr">
        <is>
          <t>PR07</t>
        </is>
      </c>
      <c r="C121" s="18" t="inlineStr">
        <is>
          <t>PR07 清洗剂Phosphoc acid</t>
        </is>
      </c>
      <c r="D121" s="18" t="inlineStr">
        <is>
          <t>物理流</t>
        </is>
      </c>
      <c r="E121" s="18" t="inlineStr">
        <is>
          <t>输入</t>
        </is>
      </c>
      <c r="F121" s="18" t="n"/>
      <c r="G121" s="18" t="inlineStr">
        <is>
          <t>PR07</t>
        </is>
      </c>
      <c r="H121" s="18" t="inlineStr">
        <is>
          <t>physical_material</t>
        </is>
      </c>
      <c r="I121" s="51" t="n">
        <v>0</v>
      </c>
      <c r="J121" s="18" t="inlineStr">
        <is>
          <t>kg/d</t>
        </is>
      </c>
      <c r="K121" s="18" t="inlineStr">
        <is>
          <t>1天</t>
        </is>
      </c>
      <c r="L121" s="18" t="n"/>
      <c r="M121" s="18" t="n"/>
      <c r="N121" s="18" t="n"/>
      <c r="O121" s="18" t="n"/>
      <c r="P121" s="52" t="n">
        <v>0</v>
      </c>
      <c r="Q121" s="18" t="inlineStr">
        <is>
          <t>kg/d</t>
        </is>
      </c>
      <c r="R121" s="18" t="inlineStr">
        <is>
          <t>+</t>
        </is>
      </c>
      <c r="S121" s="18" t="inlineStr">
        <is>
          <t>否</t>
        </is>
      </c>
      <c r="T121" s="18" t="inlineStr">
        <is>
          <t>来源原始清单（未分配）</t>
        </is>
      </c>
      <c r="U121" s="18" t="inlineStr">
        <is>
          <t>SRC-RAW</t>
        </is>
      </c>
      <c r="V121" s="18" t="inlineStr">
        <is>
          <t>已审查</t>
        </is>
      </c>
      <c r="W121" s="18" t="inlineStr">
        <is>
          <t>否</t>
        </is>
      </c>
      <c r="X121" s="18" t="inlineStr">
        <is>
          <t>PR07 清洗剂Phosphoc acid 0.0</t>
        </is>
      </c>
      <c r="Y121" s="18" t="inlineStr">
        <is>
          <t>CIP清洗剂</t>
        </is>
      </c>
      <c r="Z121" t="inlineStr">
        <is>
          <t>CT-CLC-07D</t>
        </is>
      </c>
      <c r="AA121" t="inlineStr">
        <is>
          <t>直接报告</t>
        </is>
      </c>
      <c r="AB121" t="inlineStr">
        <is>
          <t>1天生产</t>
        </is>
      </c>
      <c r="AC121" t="inlineStr">
        <is>
          <t>1天生产</t>
        </is>
      </c>
    </row>
    <row r="122">
      <c r="A122" s="18" t="inlineStr">
        <is>
          <t>FL-CLC-07E</t>
        </is>
      </c>
      <c r="B122" s="18" t="inlineStr">
        <is>
          <t>PR07</t>
        </is>
      </c>
      <c r="C122" s="18" t="inlineStr">
        <is>
          <t>PR07 清洗剂surfactant</t>
        </is>
      </c>
      <c r="D122" s="18" t="inlineStr">
        <is>
          <t>物理流</t>
        </is>
      </c>
      <c r="E122" s="18" t="inlineStr">
        <is>
          <t>输入</t>
        </is>
      </c>
      <c r="F122" s="18" t="n"/>
      <c r="G122" s="18" t="inlineStr">
        <is>
          <t>PR07</t>
        </is>
      </c>
      <c r="H122" s="18" t="inlineStr">
        <is>
          <t>physical_material</t>
        </is>
      </c>
      <c r="I122" s="51" t="n">
        <v>0</v>
      </c>
      <c r="J122" s="18" t="inlineStr">
        <is>
          <t>kg/d</t>
        </is>
      </c>
      <c r="K122" s="18" t="inlineStr">
        <is>
          <t>1天</t>
        </is>
      </c>
      <c r="L122" s="18" t="n"/>
      <c r="M122" s="18" t="n"/>
      <c r="N122" s="18" t="n"/>
      <c r="O122" s="18" t="n"/>
      <c r="P122" s="52" t="n">
        <v>0</v>
      </c>
      <c r="Q122" s="18" t="inlineStr">
        <is>
          <t>kg/d</t>
        </is>
      </c>
      <c r="R122" s="18" t="inlineStr">
        <is>
          <t>+</t>
        </is>
      </c>
      <c r="S122" s="18" t="inlineStr">
        <is>
          <t>否</t>
        </is>
      </c>
      <c r="T122" s="18" t="inlineStr">
        <is>
          <t>来源原始清单（未分配）</t>
        </is>
      </c>
      <c r="U122" s="18" t="inlineStr">
        <is>
          <t>SRC-RAW</t>
        </is>
      </c>
      <c r="V122" s="18" t="inlineStr">
        <is>
          <t>已审查</t>
        </is>
      </c>
      <c r="W122" s="18" t="inlineStr">
        <is>
          <t>否</t>
        </is>
      </c>
      <c r="X122" s="18" t="inlineStr">
        <is>
          <t>PR07 清洗剂surfactant 0.0</t>
        </is>
      </c>
      <c r="Y122" s="18" t="inlineStr">
        <is>
          <t>CIP清洗剂</t>
        </is>
      </c>
      <c r="Z122" t="inlineStr">
        <is>
          <t>CT-CLC-07E</t>
        </is>
      </c>
      <c r="AA122" t="inlineStr">
        <is>
          <t>直接报告</t>
        </is>
      </c>
      <c r="AB122" t="inlineStr">
        <is>
          <t>1天生产</t>
        </is>
      </c>
      <c r="AC122" t="inlineStr">
        <is>
          <t>1天生产</t>
        </is>
      </c>
    </row>
    <row r="123">
      <c r="A123" s="18" t="inlineStr">
        <is>
          <t>FL-CLC-07F</t>
        </is>
      </c>
      <c r="B123" s="18" t="inlineStr">
        <is>
          <t>PR07</t>
        </is>
      </c>
      <c r="C123" s="18" t="inlineStr">
        <is>
          <t>PR07 清洗剂Other acid</t>
        </is>
      </c>
      <c r="D123" s="18" t="inlineStr">
        <is>
          <t>物理流</t>
        </is>
      </c>
      <c r="E123" s="18" t="inlineStr">
        <is>
          <t>输入</t>
        </is>
      </c>
      <c r="F123" s="18" t="n"/>
      <c r="G123" s="18" t="inlineStr">
        <is>
          <t>PR07</t>
        </is>
      </c>
      <c r="H123" s="18" t="inlineStr">
        <is>
          <t>physical_material</t>
        </is>
      </c>
      <c r="I123" s="51" t="n">
        <v>0</v>
      </c>
      <c r="J123" s="18" t="inlineStr">
        <is>
          <t>kg/d</t>
        </is>
      </c>
      <c r="K123" s="18" t="inlineStr">
        <is>
          <t>1天</t>
        </is>
      </c>
      <c r="L123" s="18" t="n"/>
      <c r="M123" s="18" t="n"/>
      <c r="N123" s="18" t="n"/>
      <c r="O123" s="18" t="n"/>
      <c r="P123" s="52" t="n">
        <v>0</v>
      </c>
      <c r="Q123" s="18" t="inlineStr">
        <is>
          <t>kg/d</t>
        </is>
      </c>
      <c r="R123" s="18" t="inlineStr">
        <is>
          <t>+</t>
        </is>
      </c>
      <c r="S123" s="18" t="inlineStr">
        <is>
          <t>否</t>
        </is>
      </c>
      <c r="T123" s="18" t="inlineStr">
        <is>
          <t>来源原始清单（未分配）</t>
        </is>
      </c>
      <c r="U123" s="18" t="inlineStr">
        <is>
          <t>SRC-RAW</t>
        </is>
      </c>
      <c r="V123" s="18" t="inlineStr">
        <is>
          <t>已审查</t>
        </is>
      </c>
      <c r="W123" s="18" t="inlineStr">
        <is>
          <t>否</t>
        </is>
      </c>
      <c r="X123" s="18" t="inlineStr">
        <is>
          <t>PR07 清洗剂Other acid 0.0</t>
        </is>
      </c>
      <c r="Y123" s="18" t="inlineStr">
        <is>
          <t>CIP清洗剂</t>
        </is>
      </c>
      <c r="Z123" t="inlineStr">
        <is>
          <t>CT-CLC-07F</t>
        </is>
      </c>
      <c r="AA123" t="inlineStr">
        <is>
          <t>直接报告</t>
        </is>
      </c>
      <c r="AB123" t="inlineStr">
        <is>
          <t>1天生产</t>
        </is>
      </c>
      <c r="AC123" t="inlineStr">
        <is>
          <t>1天生产</t>
        </is>
      </c>
    </row>
    <row r="124">
      <c r="A124" s="18" t="inlineStr">
        <is>
          <t>FL-CLT-07</t>
        </is>
      </c>
      <c r="B124" s="18" t="inlineStr">
        <is>
          <t>PR07</t>
        </is>
      </c>
      <c r="C124" s="18" t="inlineStr">
        <is>
          <t>PR07 清洗回路设备材料</t>
        </is>
      </c>
      <c r="D124" s="18" t="inlineStr">
        <is>
          <t>物理流</t>
        </is>
      </c>
      <c r="E124" s="18" t="inlineStr">
        <is>
          <t>输入</t>
        </is>
      </c>
      <c r="F124" s="18" t="n"/>
      <c r="G124" s="18" t="inlineStr">
        <is>
          <t>PR07</t>
        </is>
      </c>
      <c r="H124" s="18" t="inlineStr">
        <is>
          <t>physical_material</t>
        </is>
      </c>
      <c r="I124" s="51" t="n">
        <v>0.803636363636364</v>
      </c>
      <c r="J124" s="18" t="inlineStr">
        <is>
          <t>kg/d</t>
        </is>
      </c>
      <c r="K124" s="18" t="inlineStr">
        <is>
          <t>1天</t>
        </is>
      </c>
      <c r="L124" s="18" t="n"/>
      <c r="M124" s="18" t="n"/>
      <c r="N124" s="18" t="n"/>
      <c r="O124" s="18" t="n"/>
      <c r="P124" s="52" t="n">
        <v>0.803636363636364</v>
      </c>
      <c r="Q124" s="18" t="inlineStr">
        <is>
          <t>kg/d</t>
        </is>
      </c>
      <c r="R124" s="18" t="inlineStr">
        <is>
          <t>+</t>
        </is>
      </c>
      <c r="S124" s="18" t="inlineStr">
        <is>
          <t>否</t>
        </is>
      </c>
      <c r="T124" s="18" t="inlineStr">
        <is>
          <t>来源原始清单（未分配）</t>
        </is>
      </c>
      <c r="U124" s="18" t="inlineStr">
        <is>
          <t>SRC-RAW</t>
        </is>
      </c>
      <c r="V124" s="18" t="inlineStr">
        <is>
          <t>已审查</t>
        </is>
      </c>
      <c r="W124" s="18" t="inlineStr">
        <is>
          <t>否</t>
        </is>
      </c>
      <c r="X124" s="18" t="inlineStr">
        <is>
          <t>PR07 清洗回路设备材料 0.803636363636364</t>
        </is>
      </c>
      <c r="Y124" s="18" t="inlineStr">
        <is>
          <t>Tanks and pipes 不锈钢（按天摊销）</t>
        </is>
      </c>
      <c r="Z124" t="inlineStr">
        <is>
          <t>CT-CLT-07</t>
        </is>
      </c>
      <c r="AA124" t="inlineStr">
        <is>
          <t>直接报告</t>
        </is>
      </c>
      <c r="AB124" t="inlineStr">
        <is>
          <t>1天生产</t>
        </is>
      </c>
      <c r="AC124" t="inlineStr">
        <is>
          <t>1天生产</t>
        </is>
      </c>
    </row>
    <row r="125">
      <c r="A125" s="18" t="inlineStr">
        <is>
          <t>FL-CLCOD-07</t>
        </is>
      </c>
      <c r="B125" s="18" t="inlineStr">
        <is>
          <t>PR07</t>
        </is>
      </c>
      <c r="C125" s="18" t="inlineStr">
        <is>
          <t>PR07 清洗废水COD</t>
        </is>
      </c>
      <c r="D125" s="18" t="inlineStr">
        <is>
          <t>环境交换</t>
        </is>
      </c>
      <c r="E125" s="18" t="inlineStr">
        <is>
          <t>输入</t>
        </is>
      </c>
      <c r="F125" s="18" t="n"/>
      <c r="G125" s="18" t="inlineStr">
        <is>
          <t>PR07</t>
        </is>
      </c>
      <c r="H125" s="18" t="inlineStr">
        <is>
          <t>environment_exchange</t>
        </is>
      </c>
      <c r="I125" s="51" t="n">
        <v>30</v>
      </c>
      <c r="J125" s="18" t="inlineStr">
        <is>
          <t>kg_COD/d</t>
        </is>
      </c>
      <c r="K125" s="18" t="inlineStr">
        <is>
          <t>1天</t>
        </is>
      </c>
      <c r="L125" s="18" t="n"/>
      <c r="M125" s="18" t="n"/>
      <c r="N125" s="18" t="n"/>
      <c r="O125" s="18" t="n"/>
      <c r="P125" s="52" t="n">
        <v>30</v>
      </c>
      <c r="Q125" s="18" t="inlineStr">
        <is>
          <t>kg_COD/d</t>
        </is>
      </c>
      <c r="R125" s="18" t="inlineStr">
        <is>
          <t>+</t>
        </is>
      </c>
      <c r="S125" s="18" t="inlineStr">
        <is>
          <t>否</t>
        </is>
      </c>
      <c r="T125" s="18" t="inlineStr">
        <is>
          <t>来源原始清单（未分配）</t>
        </is>
      </c>
      <c r="U125" s="18" t="inlineStr">
        <is>
          <t>SRC-RAW</t>
        </is>
      </c>
      <c r="V125" s="18" t="inlineStr">
        <is>
          <t>已审查</t>
        </is>
      </c>
      <c r="W125" s="18" t="inlineStr">
        <is>
          <t>否</t>
        </is>
      </c>
      <c r="X125" s="18" t="inlineStr">
        <is>
          <t>PR07 清洗废水COD 30.0</t>
        </is>
      </c>
      <c r="Y125" s="18" t="inlineStr"/>
      <c r="Z125" t="inlineStr">
        <is>
          <t>CT-CLCOD-07</t>
        </is>
      </c>
      <c r="AA125" t="inlineStr">
        <is>
          <t>直接报告</t>
        </is>
      </c>
      <c r="AB125" t="inlineStr">
        <is>
          <t>1天生产</t>
        </is>
      </c>
      <c r="AC125" t="inlineStr">
        <is>
          <t>1天生产</t>
        </is>
      </c>
    </row>
    <row r="126">
      <c r="A126" s="18" t="inlineStr">
        <is>
          <t>FL-CLDM-07</t>
        </is>
      </c>
      <c r="B126" s="18" t="inlineStr">
        <is>
          <t>PR07</t>
        </is>
      </c>
      <c r="C126" s="18" t="inlineStr">
        <is>
          <t>PR07 清洗废水干物质</t>
        </is>
      </c>
      <c r="D126" s="18" t="inlineStr">
        <is>
          <t>环境交换</t>
        </is>
      </c>
      <c r="E126" s="18" t="inlineStr">
        <is>
          <t>输入</t>
        </is>
      </c>
      <c r="F126" s="18" t="n"/>
      <c r="G126" s="18" t="inlineStr">
        <is>
          <t>PR07</t>
        </is>
      </c>
      <c r="H126" s="18" t="inlineStr">
        <is>
          <t>environment_exchange</t>
        </is>
      </c>
      <c r="I126" s="51" t="n">
        <v>35.1</v>
      </c>
      <c r="J126" s="18" t="inlineStr">
        <is>
          <t>kg/d</t>
        </is>
      </c>
      <c r="K126" s="18" t="inlineStr">
        <is>
          <t>1天</t>
        </is>
      </c>
      <c r="L126" s="18" t="n"/>
      <c r="M126" s="18" t="n"/>
      <c r="N126" s="18" t="n"/>
      <c r="O126" s="18" t="n"/>
      <c r="P126" s="52" t="n">
        <v>35.1</v>
      </c>
      <c r="Q126" s="18" t="inlineStr">
        <is>
          <t>kg/d</t>
        </is>
      </c>
      <c r="R126" s="18" t="inlineStr">
        <is>
          <t>+</t>
        </is>
      </c>
      <c r="S126" s="18" t="inlineStr">
        <is>
          <t>否</t>
        </is>
      </c>
      <c r="T126" s="18" t="inlineStr">
        <is>
          <t>来源原始清单（未分配）</t>
        </is>
      </c>
      <c r="U126" s="18" t="inlineStr">
        <is>
          <t>SRC-RAW</t>
        </is>
      </c>
      <c r="V126" s="18" t="inlineStr">
        <is>
          <t>已审查</t>
        </is>
      </c>
      <c r="W126" s="18" t="inlineStr">
        <is>
          <t>否</t>
        </is>
      </c>
      <c r="X126" s="18" t="inlineStr">
        <is>
          <t>PR07 清洗废水干物质 35.1</t>
        </is>
      </c>
      <c r="Y126" s="18" t="inlineStr"/>
      <c r="Z126" t="inlineStr">
        <is>
          <t>CT-CLDM-07</t>
        </is>
      </c>
      <c r="AA126" t="inlineStr">
        <is>
          <t>直接报告</t>
        </is>
      </c>
      <c r="AB126" t="inlineStr">
        <is>
          <t>1天生产</t>
        </is>
      </c>
      <c r="AC126" t="inlineStr">
        <is>
          <t>1天生产</t>
        </is>
      </c>
    </row>
    <row r="127">
      <c r="A127" s="18" t="inlineStr">
        <is>
          <t>FL-CLE-08</t>
        </is>
      </c>
      <c r="B127" s="18" t="inlineStr">
        <is>
          <t>PR08</t>
        </is>
      </c>
      <c r="C127" s="18" t="inlineStr">
        <is>
          <t>电力（清洗）</t>
        </is>
      </c>
      <c r="D127" s="18" t="inlineStr">
        <is>
          <t>能源</t>
        </is>
      </c>
      <c r="E127" s="18" t="inlineStr">
        <is>
          <t>输入</t>
        </is>
      </c>
      <c r="F127" s="18" t="n"/>
      <c r="G127" s="18" t="inlineStr">
        <is>
          <t>PR08</t>
        </is>
      </c>
      <c r="H127" s="18" t="inlineStr">
        <is>
          <t>physical_energy</t>
        </is>
      </c>
      <c r="I127" s="51" t="n">
        <v>230</v>
      </c>
      <c r="J127" s="18" t="inlineStr">
        <is>
          <t>kWh/d</t>
        </is>
      </c>
      <c r="K127" s="18" t="inlineStr">
        <is>
          <t>1天</t>
        </is>
      </c>
      <c r="L127" s="18" t="n"/>
      <c r="M127" s="18" t="n"/>
      <c r="N127" s="18" t="n"/>
      <c r="O127" s="18" t="n"/>
      <c r="P127" s="52" t="n">
        <v>230</v>
      </c>
      <c r="Q127" s="18" t="inlineStr">
        <is>
          <t>kWh/d</t>
        </is>
      </c>
      <c r="R127" s="18" t="inlineStr">
        <is>
          <t>+</t>
        </is>
      </c>
      <c r="S127" s="18" t="inlineStr">
        <is>
          <t>否</t>
        </is>
      </c>
      <c r="T127" s="18" t="inlineStr">
        <is>
          <t>来源原始清单（未分配）</t>
        </is>
      </c>
      <c r="U127" s="18" t="inlineStr">
        <is>
          <t>SRC-RAW</t>
        </is>
      </c>
      <c r="V127" s="18" t="inlineStr">
        <is>
          <t>已审查</t>
        </is>
      </c>
      <c r="W127" s="18" t="inlineStr">
        <is>
          <t>是</t>
        </is>
      </c>
      <c r="X127" s="18" t="inlineStr">
        <is>
          <t>PR08 清洗电耗 230.0</t>
        </is>
      </c>
      <c r="Y127" s="18" t="inlineStr">
        <is>
          <t>CIP</t>
        </is>
      </c>
      <c r="Z127" t="inlineStr">
        <is>
          <t>CT-CLE-08</t>
        </is>
      </c>
      <c r="AA127" t="inlineStr">
        <is>
          <t>直接报告</t>
        </is>
      </c>
      <c r="AB127" t="inlineStr">
        <is>
          <t>1天生产</t>
        </is>
      </c>
      <c r="AC127" t="inlineStr">
        <is>
          <t>1天生产</t>
        </is>
      </c>
    </row>
    <row r="128">
      <c r="A128" s="18" t="inlineStr">
        <is>
          <t>FL-CLH-08</t>
        </is>
      </c>
      <c r="B128" s="18" t="inlineStr">
        <is>
          <t>PR08</t>
        </is>
      </c>
      <c r="C128" s="18" t="inlineStr">
        <is>
          <t>热量（清洗）</t>
        </is>
      </c>
      <c r="D128" s="18" t="inlineStr">
        <is>
          <t>能源</t>
        </is>
      </c>
      <c r="E128" s="18" t="inlineStr">
        <is>
          <t>输入</t>
        </is>
      </c>
      <c r="F128" s="18" t="n"/>
      <c r="G128" s="18" t="inlineStr">
        <is>
          <t>PR08</t>
        </is>
      </c>
      <c r="H128" s="18" t="inlineStr">
        <is>
          <t>physical_energy</t>
        </is>
      </c>
      <c r="I128" s="51" t="n">
        <v>1342.8</v>
      </c>
      <c r="J128" s="18" t="inlineStr">
        <is>
          <t>MJ/d</t>
        </is>
      </c>
      <c r="K128" s="18" t="inlineStr">
        <is>
          <t>1天</t>
        </is>
      </c>
      <c r="L128" s="18" t="n"/>
      <c r="M128" s="18" t="n"/>
      <c r="N128" s="18" t="n"/>
      <c r="O128" s="18" t="n"/>
      <c r="P128" s="52" t="n">
        <v>1342.8</v>
      </c>
      <c r="Q128" s="18" t="inlineStr">
        <is>
          <t>MJ/d</t>
        </is>
      </c>
      <c r="R128" s="18" t="inlineStr">
        <is>
          <t>+</t>
        </is>
      </c>
      <c r="S128" s="18" t="inlineStr">
        <is>
          <t>否</t>
        </is>
      </c>
      <c r="T128" s="18" t="inlineStr">
        <is>
          <t>来源原始清单（未分配）</t>
        </is>
      </c>
      <c r="U128" s="18" t="inlineStr">
        <is>
          <t>SRC-RAW</t>
        </is>
      </c>
      <c r="V128" s="18" t="inlineStr">
        <is>
          <t>已审查</t>
        </is>
      </c>
      <c r="W128" s="18" t="inlineStr">
        <is>
          <t>是</t>
        </is>
      </c>
      <c r="X128" s="18" t="inlineStr">
        <is>
          <t>PR08 清洗热耗 1342.8</t>
        </is>
      </c>
      <c r="Y128" s="18" t="inlineStr">
        <is>
          <t>CIP</t>
        </is>
      </c>
      <c r="Z128" t="inlineStr">
        <is>
          <t>CT-CLH-08</t>
        </is>
      </c>
      <c r="AA128" t="inlineStr">
        <is>
          <t>直接报告</t>
        </is>
      </c>
      <c r="AB128" t="inlineStr">
        <is>
          <t>1天生产</t>
        </is>
      </c>
      <c r="AC128" t="inlineStr">
        <is>
          <t>1天生产</t>
        </is>
      </c>
    </row>
    <row r="129">
      <c r="A129" s="18" t="inlineStr">
        <is>
          <t>FL-CLW-08</t>
        </is>
      </c>
      <c r="B129" s="18" t="inlineStr">
        <is>
          <t>PR08</t>
        </is>
      </c>
      <c r="C129" s="18" t="inlineStr">
        <is>
          <t>PR08 清洗水</t>
        </is>
      </c>
      <c r="D129" s="18" t="inlineStr">
        <is>
          <t>物理流</t>
        </is>
      </c>
      <c r="E129" s="18" t="inlineStr">
        <is>
          <t>输入</t>
        </is>
      </c>
      <c r="F129" s="18" t="n"/>
      <c r="G129" s="18" t="inlineStr">
        <is>
          <t>PR08</t>
        </is>
      </c>
      <c r="H129" s="18" t="inlineStr">
        <is>
          <t>physical_material</t>
        </is>
      </c>
      <c r="I129" s="51" t="n">
        <v>30.5</v>
      </c>
      <c r="J129" s="18" t="inlineStr">
        <is>
          <t>m3/d</t>
        </is>
      </c>
      <c r="K129" s="18" t="inlineStr">
        <is>
          <t>1天</t>
        </is>
      </c>
      <c r="L129" s="18" t="n"/>
      <c r="M129" s="18" t="n"/>
      <c r="N129" s="18" t="n"/>
      <c r="O129" s="18" t="n"/>
      <c r="P129" s="52" t="n">
        <v>30.5</v>
      </c>
      <c r="Q129" s="18" t="inlineStr">
        <is>
          <t>m3/d</t>
        </is>
      </c>
      <c r="R129" s="18" t="inlineStr">
        <is>
          <t>+</t>
        </is>
      </c>
      <c r="S129" s="18" t="inlineStr">
        <is>
          <t>否</t>
        </is>
      </c>
      <c r="T129" s="18" t="inlineStr">
        <is>
          <t>来源原始清单（未分配）</t>
        </is>
      </c>
      <c r="U129" s="18" t="inlineStr">
        <is>
          <t>SRC-RAW</t>
        </is>
      </c>
      <c r="V129" s="18" t="inlineStr">
        <is>
          <t>已审查</t>
        </is>
      </c>
      <c r="W129" s="18" t="inlineStr">
        <is>
          <t>否</t>
        </is>
      </c>
      <c r="X129" s="18" t="inlineStr">
        <is>
          <t>PR08 清洗水 30.5</t>
        </is>
      </c>
      <c r="Y129" s="18" t="inlineStr"/>
      <c r="Z129" t="inlineStr">
        <is>
          <t>CT-CLW-08</t>
        </is>
      </c>
      <c r="AA129" t="inlineStr">
        <is>
          <t>直接报告</t>
        </is>
      </c>
      <c r="AB129" t="inlineStr">
        <is>
          <t>1天生产</t>
        </is>
      </c>
      <c r="AC129" t="inlineStr">
        <is>
          <t>1天生产</t>
        </is>
      </c>
    </row>
    <row r="130">
      <c r="A130" s="18" t="inlineStr">
        <is>
          <t>FL-CLC-08A</t>
        </is>
      </c>
      <c r="B130" s="18" t="inlineStr">
        <is>
          <t>PR08</t>
        </is>
      </c>
      <c r="C130" s="18" t="inlineStr">
        <is>
          <t>PR08 清洗剂NaOH</t>
        </is>
      </c>
      <c r="D130" s="18" t="inlineStr">
        <is>
          <t>物理流</t>
        </is>
      </c>
      <c r="E130" s="18" t="inlineStr">
        <is>
          <t>输入</t>
        </is>
      </c>
      <c r="F130" s="18" t="n"/>
      <c r="G130" s="18" t="inlineStr">
        <is>
          <t>PR08</t>
        </is>
      </c>
      <c r="H130" s="18" t="inlineStr">
        <is>
          <t>physical_material</t>
        </is>
      </c>
      <c r="I130" s="51" t="n">
        <v>24</v>
      </c>
      <c r="J130" s="18" t="inlineStr">
        <is>
          <t>kg/d</t>
        </is>
      </c>
      <c r="K130" s="18" t="inlineStr">
        <is>
          <t>1天</t>
        </is>
      </c>
      <c r="L130" s="18" t="n"/>
      <c r="M130" s="18" t="n"/>
      <c r="N130" s="18" t="n"/>
      <c r="O130" s="18" t="n"/>
      <c r="P130" s="52" t="n">
        <v>24</v>
      </c>
      <c r="Q130" s="18" t="inlineStr">
        <is>
          <t>kg/d</t>
        </is>
      </c>
      <c r="R130" s="18" t="inlineStr">
        <is>
          <t>+</t>
        </is>
      </c>
      <c r="S130" s="18" t="inlineStr">
        <is>
          <t>否</t>
        </is>
      </c>
      <c r="T130" s="18" t="inlineStr">
        <is>
          <t>来源原始清单（未分配）</t>
        </is>
      </c>
      <c r="U130" s="18" t="inlineStr">
        <is>
          <t>SRC-RAW</t>
        </is>
      </c>
      <c r="V130" s="18" t="inlineStr">
        <is>
          <t>已审查</t>
        </is>
      </c>
      <c r="W130" s="18" t="inlineStr">
        <is>
          <t>否</t>
        </is>
      </c>
      <c r="X130" s="18" t="inlineStr">
        <is>
          <t>PR08 清洗剂NaOH 24.0</t>
        </is>
      </c>
      <c r="Y130" s="18" t="inlineStr">
        <is>
          <t>CIP清洗剂</t>
        </is>
      </c>
      <c r="Z130" t="inlineStr">
        <is>
          <t>CT-CLC-08A</t>
        </is>
      </c>
      <c r="AA130" t="inlineStr">
        <is>
          <t>直接报告</t>
        </is>
      </c>
      <c r="AB130" t="inlineStr">
        <is>
          <t>1天生产</t>
        </is>
      </c>
      <c r="AC130" t="inlineStr">
        <is>
          <t>1天生产</t>
        </is>
      </c>
    </row>
    <row r="131">
      <c r="A131" s="18" t="inlineStr">
        <is>
          <t>FL-CLC-08B</t>
        </is>
      </c>
      <c r="B131" s="18" t="inlineStr">
        <is>
          <t>PR08</t>
        </is>
      </c>
      <c r="C131" s="18" t="inlineStr">
        <is>
          <t>PR08 清洗剂HNO3</t>
        </is>
      </c>
      <c r="D131" s="18" t="inlineStr">
        <is>
          <t>物理流</t>
        </is>
      </c>
      <c r="E131" s="18" t="inlineStr">
        <is>
          <t>输入</t>
        </is>
      </c>
      <c r="F131" s="18" t="n"/>
      <c r="G131" s="18" t="inlineStr">
        <is>
          <t>PR08</t>
        </is>
      </c>
      <c r="H131" s="18" t="inlineStr">
        <is>
          <t>physical_material</t>
        </is>
      </c>
      <c r="I131" s="51" t="n">
        <v>8</v>
      </c>
      <c r="J131" s="18" t="inlineStr">
        <is>
          <t>kg/d</t>
        </is>
      </c>
      <c r="K131" s="18" t="inlineStr">
        <is>
          <t>1天</t>
        </is>
      </c>
      <c r="L131" s="18" t="n"/>
      <c r="M131" s="18" t="n"/>
      <c r="N131" s="18" t="n"/>
      <c r="O131" s="18" t="n"/>
      <c r="P131" s="52" t="n">
        <v>8</v>
      </c>
      <c r="Q131" s="18" t="inlineStr">
        <is>
          <t>kg/d</t>
        </is>
      </c>
      <c r="R131" s="18" t="inlineStr">
        <is>
          <t>+</t>
        </is>
      </c>
      <c r="S131" s="18" t="inlineStr">
        <is>
          <t>否</t>
        </is>
      </c>
      <c r="T131" s="18" t="inlineStr">
        <is>
          <t>来源原始清单（未分配）</t>
        </is>
      </c>
      <c r="U131" s="18" t="inlineStr">
        <is>
          <t>SRC-RAW</t>
        </is>
      </c>
      <c r="V131" s="18" t="inlineStr">
        <is>
          <t>已审查</t>
        </is>
      </c>
      <c r="W131" s="18" t="inlineStr">
        <is>
          <t>否</t>
        </is>
      </c>
      <c r="X131" s="18" t="inlineStr">
        <is>
          <t>PR08 清洗剂HNO3 8.0</t>
        </is>
      </c>
      <c r="Y131" s="18" t="inlineStr">
        <is>
          <t>CIP清洗剂</t>
        </is>
      </c>
      <c r="Z131" t="inlineStr">
        <is>
          <t>CT-CLC-08B</t>
        </is>
      </c>
      <c r="AA131" t="inlineStr">
        <is>
          <t>直接报告</t>
        </is>
      </c>
      <c r="AB131" t="inlineStr">
        <is>
          <t>1天生产</t>
        </is>
      </c>
      <c r="AC131" t="inlineStr">
        <is>
          <t>1天生产</t>
        </is>
      </c>
    </row>
    <row r="132">
      <c r="A132" s="18" t="inlineStr">
        <is>
          <t>FL-CLC-08C</t>
        </is>
      </c>
      <c r="B132" s="18" t="inlineStr">
        <is>
          <t>PR08</t>
        </is>
      </c>
      <c r="C132" s="18" t="inlineStr">
        <is>
          <t>PR08 清洗剂NaOCl</t>
        </is>
      </c>
      <c r="D132" s="18" t="inlineStr">
        <is>
          <t>物理流</t>
        </is>
      </c>
      <c r="E132" s="18" t="inlineStr">
        <is>
          <t>输入</t>
        </is>
      </c>
      <c r="F132" s="18" t="n"/>
      <c r="G132" s="18" t="inlineStr">
        <is>
          <t>PR08</t>
        </is>
      </c>
      <c r="H132" s="18" t="inlineStr">
        <is>
          <t>physical_material</t>
        </is>
      </c>
      <c r="I132" s="51" t="n">
        <v>7</v>
      </c>
      <c r="J132" s="18" t="inlineStr">
        <is>
          <t>kg/d</t>
        </is>
      </c>
      <c r="K132" s="18" t="inlineStr">
        <is>
          <t>1天</t>
        </is>
      </c>
      <c r="L132" s="18" t="n"/>
      <c r="M132" s="18" t="n"/>
      <c r="N132" s="18" t="n"/>
      <c r="O132" s="18" t="n"/>
      <c r="P132" s="52" t="n">
        <v>7</v>
      </c>
      <c r="Q132" s="18" t="inlineStr">
        <is>
          <t>kg/d</t>
        </is>
      </c>
      <c r="R132" s="18" t="inlineStr">
        <is>
          <t>+</t>
        </is>
      </c>
      <c r="S132" s="18" t="inlineStr">
        <is>
          <t>否</t>
        </is>
      </c>
      <c r="T132" s="18" t="inlineStr">
        <is>
          <t>来源原始清单（未分配）</t>
        </is>
      </c>
      <c r="U132" s="18" t="inlineStr">
        <is>
          <t>SRC-RAW</t>
        </is>
      </c>
      <c r="V132" s="18" t="inlineStr">
        <is>
          <t>已审查</t>
        </is>
      </c>
      <c r="W132" s="18" t="inlineStr">
        <is>
          <t>否</t>
        </is>
      </c>
      <c r="X132" s="18" t="inlineStr">
        <is>
          <t>PR08 清洗剂NaOCl 7.0</t>
        </is>
      </c>
      <c r="Y132" s="18" t="inlineStr">
        <is>
          <t>CIP清洗剂</t>
        </is>
      </c>
      <c r="Z132" t="inlineStr">
        <is>
          <t>CT-CLC-08C</t>
        </is>
      </c>
      <c r="AA132" t="inlineStr">
        <is>
          <t>直接报告</t>
        </is>
      </c>
      <c r="AB132" t="inlineStr">
        <is>
          <t>1天生产</t>
        </is>
      </c>
      <c r="AC132" t="inlineStr">
        <is>
          <t>1天生产</t>
        </is>
      </c>
    </row>
    <row r="133">
      <c r="A133" s="18" t="inlineStr">
        <is>
          <t>FL-CLC-08D</t>
        </is>
      </c>
      <c r="B133" s="18" t="inlineStr">
        <is>
          <t>PR08</t>
        </is>
      </c>
      <c r="C133" s="18" t="inlineStr">
        <is>
          <t>PR08 清洗剂Phosphoc acid</t>
        </is>
      </c>
      <c r="D133" s="18" t="inlineStr">
        <is>
          <t>物理流</t>
        </is>
      </c>
      <c r="E133" s="18" t="inlineStr">
        <is>
          <t>输入</t>
        </is>
      </c>
      <c r="F133" s="18" t="n"/>
      <c r="G133" s="18" t="inlineStr">
        <is>
          <t>PR08</t>
        </is>
      </c>
      <c r="H133" s="18" t="inlineStr">
        <is>
          <t>physical_material</t>
        </is>
      </c>
      <c r="I133" s="51" t="n">
        <v>5</v>
      </c>
      <c r="J133" s="18" t="inlineStr">
        <is>
          <t>kg/d</t>
        </is>
      </c>
      <c r="K133" s="18" t="inlineStr">
        <is>
          <t>1天</t>
        </is>
      </c>
      <c r="L133" s="18" t="n"/>
      <c r="M133" s="18" t="n"/>
      <c r="N133" s="18" t="n"/>
      <c r="O133" s="18" t="n"/>
      <c r="P133" s="52" t="n">
        <v>5</v>
      </c>
      <c r="Q133" s="18" t="inlineStr">
        <is>
          <t>kg/d</t>
        </is>
      </c>
      <c r="R133" s="18" t="inlineStr">
        <is>
          <t>+</t>
        </is>
      </c>
      <c r="S133" s="18" t="inlineStr">
        <is>
          <t>否</t>
        </is>
      </c>
      <c r="T133" s="18" t="inlineStr">
        <is>
          <t>来源原始清单（未分配）</t>
        </is>
      </c>
      <c r="U133" s="18" t="inlineStr">
        <is>
          <t>SRC-RAW</t>
        </is>
      </c>
      <c r="V133" s="18" t="inlineStr">
        <is>
          <t>已审查</t>
        </is>
      </c>
      <c r="W133" s="18" t="inlineStr">
        <is>
          <t>否</t>
        </is>
      </c>
      <c r="X133" s="18" t="inlineStr">
        <is>
          <t>PR08 清洗剂Phosphoc acid 5.0</t>
        </is>
      </c>
      <c r="Y133" s="18" t="inlineStr">
        <is>
          <t>CIP清洗剂</t>
        </is>
      </c>
      <c r="Z133" t="inlineStr">
        <is>
          <t>CT-CLC-08D</t>
        </is>
      </c>
      <c r="AA133" t="inlineStr">
        <is>
          <t>直接报告</t>
        </is>
      </c>
      <c r="AB133" t="inlineStr">
        <is>
          <t>1天生产</t>
        </is>
      </c>
      <c r="AC133" t="inlineStr">
        <is>
          <t>1天生产</t>
        </is>
      </c>
    </row>
    <row r="134">
      <c r="A134" s="18" t="inlineStr">
        <is>
          <t>FL-CLC-08E</t>
        </is>
      </c>
      <c r="B134" s="18" t="inlineStr">
        <is>
          <t>PR08</t>
        </is>
      </c>
      <c r="C134" s="18" t="inlineStr">
        <is>
          <t>PR08 清洗剂surfactant</t>
        </is>
      </c>
      <c r="D134" s="18" t="inlineStr">
        <is>
          <t>物理流</t>
        </is>
      </c>
      <c r="E134" s="18" t="inlineStr">
        <is>
          <t>输入</t>
        </is>
      </c>
      <c r="F134" s="18" t="n"/>
      <c r="G134" s="18" t="inlineStr">
        <is>
          <t>PR08</t>
        </is>
      </c>
      <c r="H134" s="18" t="inlineStr">
        <is>
          <t>physical_material</t>
        </is>
      </c>
      <c r="I134" s="51" t="n">
        <v>12</v>
      </c>
      <c r="J134" s="18" t="inlineStr">
        <is>
          <t>kg/d</t>
        </is>
      </c>
      <c r="K134" s="18" t="inlineStr">
        <is>
          <t>1天</t>
        </is>
      </c>
      <c r="L134" s="18" t="n"/>
      <c r="M134" s="18" t="n"/>
      <c r="N134" s="18" t="n"/>
      <c r="O134" s="18" t="n"/>
      <c r="P134" s="52" t="n">
        <v>12</v>
      </c>
      <c r="Q134" s="18" t="inlineStr">
        <is>
          <t>kg/d</t>
        </is>
      </c>
      <c r="R134" s="18" t="inlineStr">
        <is>
          <t>+</t>
        </is>
      </c>
      <c r="S134" s="18" t="inlineStr">
        <is>
          <t>否</t>
        </is>
      </c>
      <c r="T134" s="18" t="inlineStr">
        <is>
          <t>来源原始清单（未分配）</t>
        </is>
      </c>
      <c r="U134" s="18" t="inlineStr">
        <is>
          <t>SRC-RAW</t>
        </is>
      </c>
      <c r="V134" s="18" t="inlineStr">
        <is>
          <t>已审查</t>
        </is>
      </c>
      <c r="W134" s="18" t="inlineStr">
        <is>
          <t>否</t>
        </is>
      </c>
      <c r="X134" s="18" t="inlineStr">
        <is>
          <t>PR08 清洗剂surfactant 12.0</t>
        </is>
      </c>
      <c r="Y134" s="18" t="inlineStr">
        <is>
          <t>CIP清洗剂</t>
        </is>
      </c>
      <c r="Z134" t="inlineStr">
        <is>
          <t>CT-CLC-08E</t>
        </is>
      </c>
      <c r="AA134" t="inlineStr">
        <is>
          <t>直接报告</t>
        </is>
      </c>
      <c r="AB134" t="inlineStr">
        <is>
          <t>1天生产</t>
        </is>
      </c>
      <c r="AC134" t="inlineStr">
        <is>
          <t>1天生产</t>
        </is>
      </c>
    </row>
    <row r="135">
      <c r="A135" s="18" t="inlineStr">
        <is>
          <t>FL-CLC-08F</t>
        </is>
      </c>
      <c r="B135" s="18" t="inlineStr">
        <is>
          <t>PR08</t>
        </is>
      </c>
      <c r="C135" s="18" t="inlineStr">
        <is>
          <t>PR08 清洗剂Other acid</t>
        </is>
      </c>
      <c r="D135" s="18" t="inlineStr">
        <is>
          <t>物理流</t>
        </is>
      </c>
      <c r="E135" s="18" t="inlineStr">
        <is>
          <t>输入</t>
        </is>
      </c>
      <c r="F135" s="18" t="n"/>
      <c r="G135" s="18" t="inlineStr">
        <is>
          <t>PR08</t>
        </is>
      </c>
      <c r="H135" s="18" t="inlineStr">
        <is>
          <t>physical_material</t>
        </is>
      </c>
      <c r="I135" s="51" t="n">
        <v>0</v>
      </c>
      <c r="J135" s="18" t="inlineStr">
        <is>
          <t>kg/d</t>
        </is>
      </c>
      <c r="K135" s="18" t="inlineStr">
        <is>
          <t>1天</t>
        </is>
      </c>
      <c r="L135" s="18" t="n"/>
      <c r="M135" s="18" t="n"/>
      <c r="N135" s="18" t="n"/>
      <c r="O135" s="18" t="n"/>
      <c r="P135" s="52" t="n">
        <v>0</v>
      </c>
      <c r="Q135" s="18" t="inlineStr">
        <is>
          <t>kg/d</t>
        </is>
      </c>
      <c r="R135" s="18" t="inlineStr">
        <is>
          <t>+</t>
        </is>
      </c>
      <c r="S135" s="18" t="inlineStr">
        <is>
          <t>否</t>
        </is>
      </c>
      <c r="T135" s="18" t="inlineStr">
        <is>
          <t>来源原始清单（未分配）</t>
        </is>
      </c>
      <c r="U135" s="18" t="inlineStr">
        <is>
          <t>SRC-RAW</t>
        </is>
      </c>
      <c r="V135" s="18" t="inlineStr">
        <is>
          <t>已审查</t>
        </is>
      </c>
      <c r="W135" s="18" t="inlineStr">
        <is>
          <t>否</t>
        </is>
      </c>
      <c r="X135" s="18" t="inlineStr">
        <is>
          <t>PR08 清洗剂Other acid 0.0</t>
        </is>
      </c>
      <c r="Y135" s="18" t="inlineStr">
        <is>
          <t>CIP清洗剂</t>
        </is>
      </c>
      <c r="Z135" t="inlineStr">
        <is>
          <t>CT-CLC-08F</t>
        </is>
      </c>
      <c r="AA135" t="inlineStr">
        <is>
          <t>直接报告</t>
        </is>
      </c>
      <c r="AB135" t="inlineStr">
        <is>
          <t>1天生产</t>
        </is>
      </c>
      <c r="AC135" t="inlineStr">
        <is>
          <t>1天生产</t>
        </is>
      </c>
    </row>
    <row r="136">
      <c r="A136" s="18" t="inlineStr">
        <is>
          <t>FL-CLCOD-08</t>
        </is>
      </c>
      <c r="B136" s="18" t="inlineStr">
        <is>
          <t>PR08</t>
        </is>
      </c>
      <c r="C136" s="18" t="inlineStr">
        <is>
          <t>PR08 清洗废水COD</t>
        </is>
      </c>
      <c r="D136" s="18" t="inlineStr">
        <is>
          <t>环境交换</t>
        </is>
      </c>
      <c r="E136" s="18" t="inlineStr">
        <is>
          <t>输入</t>
        </is>
      </c>
      <c r="F136" s="18" t="n"/>
      <c r="G136" s="18" t="inlineStr">
        <is>
          <t>PR08</t>
        </is>
      </c>
      <c r="H136" s="18" t="inlineStr">
        <is>
          <t>environment_exchange</t>
        </is>
      </c>
      <c r="I136" s="51" t="n">
        <v>19</v>
      </c>
      <c r="J136" s="18" t="inlineStr">
        <is>
          <t>kg_COD/d</t>
        </is>
      </c>
      <c r="K136" s="18" t="inlineStr">
        <is>
          <t>1天</t>
        </is>
      </c>
      <c r="L136" s="18" t="n"/>
      <c r="M136" s="18" t="n"/>
      <c r="N136" s="18" t="n"/>
      <c r="O136" s="18" t="n"/>
      <c r="P136" s="52" t="n">
        <v>19</v>
      </c>
      <c r="Q136" s="18" t="inlineStr">
        <is>
          <t>kg_COD/d</t>
        </is>
      </c>
      <c r="R136" s="18" t="inlineStr">
        <is>
          <t>+</t>
        </is>
      </c>
      <c r="S136" s="18" t="inlineStr">
        <is>
          <t>否</t>
        </is>
      </c>
      <c r="T136" s="18" t="inlineStr">
        <is>
          <t>来源原始清单（未分配）</t>
        </is>
      </c>
      <c r="U136" s="18" t="inlineStr">
        <is>
          <t>SRC-RAW</t>
        </is>
      </c>
      <c r="V136" s="18" t="inlineStr">
        <is>
          <t>已审查</t>
        </is>
      </c>
      <c r="W136" s="18" t="inlineStr">
        <is>
          <t>否</t>
        </is>
      </c>
      <c r="X136" s="18" t="inlineStr">
        <is>
          <t>PR08 清洗废水COD 19.0</t>
        </is>
      </c>
      <c r="Y136" s="18" t="inlineStr"/>
      <c r="Z136" t="inlineStr">
        <is>
          <t>CT-CLCOD-08</t>
        </is>
      </c>
      <c r="AA136" t="inlineStr">
        <is>
          <t>直接报告</t>
        </is>
      </c>
      <c r="AB136" t="inlineStr">
        <is>
          <t>1天生产</t>
        </is>
      </c>
      <c r="AC136" t="inlineStr">
        <is>
          <t>1天生产</t>
        </is>
      </c>
    </row>
    <row r="137">
      <c r="A137" s="18" t="inlineStr">
        <is>
          <t>FL-CLDM-08</t>
        </is>
      </c>
      <c r="B137" s="18" t="inlineStr">
        <is>
          <t>PR08</t>
        </is>
      </c>
      <c r="C137" s="18" t="inlineStr">
        <is>
          <t>PR08 清洗废水干物质</t>
        </is>
      </c>
      <c r="D137" s="18" t="inlineStr">
        <is>
          <t>环境交换</t>
        </is>
      </c>
      <c r="E137" s="18" t="inlineStr">
        <is>
          <t>输入</t>
        </is>
      </c>
      <c r="F137" s="18" t="n"/>
      <c r="G137" s="18" t="inlineStr">
        <is>
          <t>PR08</t>
        </is>
      </c>
      <c r="H137" s="18" t="inlineStr">
        <is>
          <t>environment_exchange</t>
        </is>
      </c>
      <c r="I137" s="51" t="n">
        <v>22.23</v>
      </c>
      <c r="J137" s="18" t="inlineStr">
        <is>
          <t>kg/d</t>
        </is>
      </c>
      <c r="K137" s="18" t="inlineStr">
        <is>
          <t>1天</t>
        </is>
      </c>
      <c r="L137" s="18" t="n"/>
      <c r="M137" s="18" t="n"/>
      <c r="N137" s="18" t="n"/>
      <c r="O137" s="18" t="n"/>
      <c r="P137" s="52" t="n">
        <v>22.23</v>
      </c>
      <c r="Q137" s="18" t="inlineStr">
        <is>
          <t>kg/d</t>
        </is>
      </c>
      <c r="R137" s="18" t="inlineStr">
        <is>
          <t>+</t>
        </is>
      </c>
      <c r="S137" s="18" t="inlineStr">
        <is>
          <t>否</t>
        </is>
      </c>
      <c r="T137" s="18" t="inlineStr">
        <is>
          <t>来源原始清单（未分配）</t>
        </is>
      </c>
      <c r="U137" s="18" t="inlineStr">
        <is>
          <t>SRC-RAW</t>
        </is>
      </c>
      <c r="V137" s="18" t="inlineStr">
        <is>
          <t>已审查</t>
        </is>
      </c>
      <c r="W137" s="18" t="inlineStr">
        <is>
          <t>否</t>
        </is>
      </c>
      <c r="X137" s="18" t="inlineStr">
        <is>
          <t>PR08 清洗废水干物质 22.23</t>
        </is>
      </c>
      <c r="Y137" s="18" t="inlineStr"/>
      <c r="Z137" t="inlineStr">
        <is>
          <t>CT-CLDM-08</t>
        </is>
      </c>
      <c r="AA137" t="inlineStr">
        <is>
          <t>直接报告</t>
        </is>
      </c>
      <c r="AB137" t="inlineStr">
        <is>
          <t>1天生产</t>
        </is>
      </c>
      <c r="AC137" t="inlineStr">
        <is>
          <t>1天生产</t>
        </is>
      </c>
    </row>
    <row r="138">
      <c r="A138" s="18" t="inlineStr">
        <is>
          <t>FL-CLE-09</t>
        </is>
      </c>
      <c r="B138" s="18" t="inlineStr">
        <is>
          <t>PR09</t>
        </is>
      </c>
      <c r="C138" s="18" t="inlineStr">
        <is>
          <t>电力（清洗）</t>
        </is>
      </c>
      <c r="D138" s="18" t="inlineStr">
        <is>
          <t>能源</t>
        </is>
      </c>
      <c r="E138" s="18" t="inlineStr">
        <is>
          <t>输入</t>
        </is>
      </c>
      <c r="F138" s="18" t="n"/>
      <c r="G138" s="18" t="inlineStr">
        <is>
          <t>PR09</t>
        </is>
      </c>
      <c r="H138" s="18" t="inlineStr">
        <is>
          <t>physical_energy</t>
        </is>
      </c>
      <c r="I138" s="51" t="n">
        <v>19</v>
      </c>
      <c r="J138" s="18" t="inlineStr">
        <is>
          <t>kWh/d</t>
        </is>
      </c>
      <c r="K138" s="18" t="inlineStr">
        <is>
          <t>1天</t>
        </is>
      </c>
      <c r="L138" s="18" t="n"/>
      <c r="M138" s="18" t="n"/>
      <c r="N138" s="18" t="n"/>
      <c r="O138" s="18" t="n"/>
      <c r="P138" s="52" t="n">
        <v>19</v>
      </c>
      <c r="Q138" s="18" t="inlineStr">
        <is>
          <t>kWh/d</t>
        </is>
      </c>
      <c r="R138" s="18" t="inlineStr">
        <is>
          <t>+</t>
        </is>
      </c>
      <c r="S138" s="18" t="inlineStr">
        <is>
          <t>否</t>
        </is>
      </c>
      <c r="T138" s="18" t="inlineStr">
        <is>
          <t>来源原始清单（未分配）</t>
        </is>
      </c>
      <c r="U138" s="18" t="inlineStr">
        <is>
          <t>SRC-RAW</t>
        </is>
      </c>
      <c r="V138" s="18" t="inlineStr">
        <is>
          <t>已审查</t>
        </is>
      </c>
      <c r="W138" s="18" t="inlineStr">
        <is>
          <t>是</t>
        </is>
      </c>
      <c r="X138" s="18" t="inlineStr">
        <is>
          <t>PR09 清洗电耗 19.0</t>
        </is>
      </c>
      <c r="Y138" s="18" t="inlineStr">
        <is>
          <t>CIP</t>
        </is>
      </c>
      <c r="Z138" t="inlineStr">
        <is>
          <t>CT-CLE-09</t>
        </is>
      </c>
      <c r="AA138" t="inlineStr">
        <is>
          <t>直接报告</t>
        </is>
      </c>
      <c r="AB138" t="inlineStr">
        <is>
          <t>1天生产</t>
        </is>
      </c>
      <c r="AC138" t="inlineStr">
        <is>
          <t>1天生产</t>
        </is>
      </c>
    </row>
    <row r="139">
      <c r="A139" s="18" t="inlineStr">
        <is>
          <t>FL-CLH-09</t>
        </is>
      </c>
      <c r="B139" s="18" t="inlineStr">
        <is>
          <t>PR09</t>
        </is>
      </c>
      <c r="C139" s="18" t="inlineStr">
        <is>
          <t>热量（清洗）</t>
        </is>
      </c>
      <c r="D139" s="18" t="inlineStr">
        <is>
          <t>能源</t>
        </is>
      </c>
      <c r="E139" s="18" t="inlineStr">
        <is>
          <t>输入</t>
        </is>
      </c>
      <c r="F139" s="18" t="n"/>
      <c r="G139" s="18" t="inlineStr">
        <is>
          <t>PR09</t>
        </is>
      </c>
      <c r="H139" s="18" t="inlineStr">
        <is>
          <t>physical_energy</t>
        </is>
      </c>
      <c r="I139" s="51" t="n">
        <v>417.6</v>
      </c>
      <c r="J139" s="18" t="inlineStr">
        <is>
          <t>MJ/d</t>
        </is>
      </c>
      <c r="K139" s="18" t="inlineStr">
        <is>
          <t>1天</t>
        </is>
      </c>
      <c r="L139" s="18" t="n"/>
      <c r="M139" s="18" t="n"/>
      <c r="N139" s="18" t="n"/>
      <c r="O139" s="18" t="n"/>
      <c r="P139" s="52" t="n">
        <v>417.6</v>
      </c>
      <c r="Q139" s="18" t="inlineStr">
        <is>
          <t>MJ/d</t>
        </is>
      </c>
      <c r="R139" s="18" t="inlineStr">
        <is>
          <t>+</t>
        </is>
      </c>
      <c r="S139" s="18" t="inlineStr">
        <is>
          <t>否</t>
        </is>
      </c>
      <c r="T139" s="18" t="inlineStr">
        <is>
          <t>来源原始清单（未分配）</t>
        </is>
      </c>
      <c r="U139" s="18" t="inlineStr">
        <is>
          <t>SRC-RAW</t>
        </is>
      </c>
      <c r="V139" s="18" t="inlineStr">
        <is>
          <t>已审查</t>
        </is>
      </c>
      <c r="W139" s="18" t="inlineStr">
        <is>
          <t>是</t>
        </is>
      </c>
      <c r="X139" s="18" t="inlineStr">
        <is>
          <t>PR09 清洗热耗 417.6</t>
        </is>
      </c>
      <c r="Y139" s="18" t="inlineStr">
        <is>
          <t>CIP</t>
        </is>
      </c>
      <c r="Z139" t="inlineStr">
        <is>
          <t>CT-CLH-09</t>
        </is>
      </c>
      <c r="AA139" t="inlineStr">
        <is>
          <t>直接报告</t>
        </is>
      </c>
      <c r="AB139" t="inlineStr">
        <is>
          <t>1天生产</t>
        </is>
      </c>
      <c r="AC139" t="inlineStr">
        <is>
          <t>1天生产</t>
        </is>
      </c>
    </row>
    <row r="140">
      <c r="A140" s="18" t="inlineStr">
        <is>
          <t>FL-CLW-09</t>
        </is>
      </c>
      <c r="B140" s="18" t="inlineStr">
        <is>
          <t>PR09</t>
        </is>
      </c>
      <c r="C140" s="18" t="inlineStr">
        <is>
          <t>PR09 清洗水</t>
        </is>
      </c>
      <c r="D140" s="18" t="inlineStr">
        <is>
          <t>物理流</t>
        </is>
      </c>
      <c r="E140" s="18" t="inlineStr">
        <is>
          <t>输入</t>
        </is>
      </c>
      <c r="F140" s="18" t="n"/>
      <c r="G140" s="18" t="inlineStr">
        <is>
          <t>PR09</t>
        </is>
      </c>
      <c r="H140" s="18" t="inlineStr">
        <is>
          <t>physical_material</t>
        </is>
      </c>
      <c r="I140" s="51" t="n">
        <v>4.5</v>
      </c>
      <c r="J140" s="18" t="inlineStr">
        <is>
          <t>m3/d</t>
        </is>
      </c>
      <c r="K140" s="18" t="inlineStr">
        <is>
          <t>1天</t>
        </is>
      </c>
      <c r="L140" s="18" t="n"/>
      <c r="M140" s="18" t="n"/>
      <c r="N140" s="18" t="n"/>
      <c r="O140" s="18" t="n"/>
      <c r="P140" s="52" t="n">
        <v>4.5</v>
      </c>
      <c r="Q140" s="18" t="inlineStr">
        <is>
          <t>m3/d</t>
        </is>
      </c>
      <c r="R140" s="18" t="inlineStr">
        <is>
          <t>+</t>
        </is>
      </c>
      <c r="S140" s="18" t="inlineStr">
        <is>
          <t>否</t>
        </is>
      </c>
      <c r="T140" s="18" t="inlineStr">
        <is>
          <t>来源原始清单（未分配）</t>
        </is>
      </c>
      <c r="U140" s="18" t="inlineStr">
        <is>
          <t>SRC-RAW</t>
        </is>
      </c>
      <c r="V140" s="18" t="inlineStr">
        <is>
          <t>已审查</t>
        </is>
      </c>
      <c r="W140" s="18" t="inlineStr">
        <is>
          <t>否</t>
        </is>
      </c>
      <c r="X140" s="18" t="inlineStr">
        <is>
          <t>PR09 清洗水 4.5</t>
        </is>
      </c>
      <c r="Y140" s="18" t="inlineStr"/>
      <c r="Z140" t="inlineStr">
        <is>
          <t>CT-CLW-09</t>
        </is>
      </c>
      <c r="AA140" t="inlineStr">
        <is>
          <t>直接报告</t>
        </is>
      </c>
      <c r="AB140" t="inlineStr">
        <is>
          <t>1天生产</t>
        </is>
      </c>
      <c r="AC140" t="inlineStr">
        <is>
          <t>1天生产</t>
        </is>
      </c>
    </row>
    <row r="141">
      <c r="A141" s="18" t="inlineStr">
        <is>
          <t>FL-CLC-09A</t>
        </is>
      </c>
      <c r="B141" s="18" t="inlineStr">
        <is>
          <t>PR09</t>
        </is>
      </c>
      <c r="C141" s="18" t="inlineStr">
        <is>
          <t>PR09 清洗剂NaOH</t>
        </is>
      </c>
      <c r="D141" s="18" t="inlineStr">
        <is>
          <t>物理流</t>
        </is>
      </c>
      <c r="E141" s="18" t="inlineStr">
        <is>
          <t>输入</t>
        </is>
      </c>
      <c r="F141" s="18" t="n"/>
      <c r="G141" s="18" t="inlineStr">
        <is>
          <t>PR09</t>
        </is>
      </c>
      <c r="H141" s="18" t="inlineStr">
        <is>
          <t>physical_material</t>
        </is>
      </c>
      <c r="I141" s="51" t="n">
        <v>44</v>
      </c>
      <c r="J141" s="18" t="inlineStr">
        <is>
          <t>kg/d</t>
        </is>
      </c>
      <c r="K141" s="18" t="inlineStr">
        <is>
          <t>1天</t>
        </is>
      </c>
      <c r="L141" s="18" t="n"/>
      <c r="M141" s="18" t="n"/>
      <c r="N141" s="18" t="n"/>
      <c r="O141" s="18" t="n"/>
      <c r="P141" s="52" t="n">
        <v>44</v>
      </c>
      <c r="Q141" s="18" t="inlineStr">
        <is>
          <t>kg/d</t>
        </is>
      </c>
      <c r="R141" s="18" t="inlineStr">
        <is>
          <t>+</t>
        </is>
      </c>
      <c r="S141" s="18" t="inlineStr">
        <is>
          <t>否</t>
        </is>
      </c>
      <c r="T141" s="18" t="inlineStr">
        <is>
          <t>来源原始清单（未分配）</t>
        </is>
      </c>
      <c r="U141" s="18" t="inlineStr">
        <is>
          <t>SRC-RAW</t>
        </is>
      </c>
      <c r="V141" s="18" t="inlineStr">
        <is>
          <t>已审查</t>
        </is>
      </c>
      <c r="W141" s="18" t="inlineStr">
        <is>
          <t>否</t>
        </is>
      </c>
      <c r="X141" s="18" t="inlineStr">
        <is>
          <t>PR09 清洗剂NaOH 44.0</t>
        </is>
      </c>
      <c r="Y141" s="18" t="inlineStr">
        <is>
          <t>CIP清洗剂</t>
        </is>
      </c>
      <c r="Z141" t="inlineStr">
        <is>
          <t>CT-CLC-09A</t>
        </is>
      </c>
      <c r="AA141" t="inlineStr">
        <is>
          <t>直接报告</t>
        </is>
      </c>
      <c r="AB141" t="inlineStr">
        <is>
          <t>1天生产</t>
        </is>
      </c>
      <c r="AC141" t="inlineStr">
        <is>
          <t>1天生产</t>
        </is>
      </c>
    </row>
    <row r="142">
      <c r="A142" s="18" t="inlineStr">
        <is>
          <t>FL-CLC-09B</t>
        </is>
      </c>
      <c r="B142" s="18" t="inlineStr">
        <is>
          <t>PR09</t>
        </is>
      </c>
      <c r="C142" s="18" t="inlineStr">
        <is>
          <t>PR09 清洗剂HNO3</t>
        </is>
      </c>
      <c r="D142" s="18" t="inlineStr">
        <is>
          <t>物理流</t>
        </is>
      </c>
      <c r="E142" s="18" t="inlineStr">
        <is>
          <t>输入</t>
        </is>
      </c>
      <c r="F142" s="18" t="n"/>
      <c r="G142" s="18" t="inlineStr">
        <is>
          <t>PR09</t>
        </is>
      </c>
      <c r="H142" s="18" t="inlineStr">
        <is>
          <t>physical_material</t>
        </is>
      </c>
      <c r="I142" s="51" t="n">
        <v>10</v>
      </c>
      <c r="J142" s="18" t="inlineStr">
        <is>
          <t>kg/d</t>
        </is>
      </c>
      <c r="K142" s="18" t="inlineStr">
        <is>
          <t>1天</t>
        </is>
      </c>
      <c r="L142" s="18" t="n"/>
      <c r="M142" s="18" t="n"/>
      <c r="N142" s="18" t="n"/>
      <c r="O142" s="18" t="n"/>
      <c r="P142" s="52" t="n">
        <v>10</v>
      </c>
      <c r="Q142" s="18" t="inlineStr">
        <is>
          <t>kg/d</t>
        </is>
      </c>
      <c r="R142" s="18" t="inlineStr">
        <is>
          <t>+</t>
        </is>
      </c>
      <c r="S142" s="18" t="inlineStr">
        <is>
          <t>否</t>
        </is>
      </c>
      <c r="T142" s="18" t="inlineStr">
        <is>
          <t>来源原始清单（未分配）</t>
        </is>
      </c>
      <c r="U142" s="18" t="inlineStr">
        <is>
          <t>SRC-RAW</t>
        </is>
      </c>
      <c r="V142" s="18" t="inlineStr">
        <is>
          <t>已审查</t>
        </is>
      </c>
      <c r="W142" s="18" t="inlineStr">
        <is>
          <t>否</t>
        </is>
      </c>
      <c r="X142" s="18" t="inlineStr">
        <is>
          <t>PR09 清洗剂HNO3 10.0</t>
        </is>
      </c>
      <c r="Y142" s="18" t="inlineStr">
        <is>
          <t>CIP清洗剂</t>
        </is>
      </c>
      <c r="Z142" t="inlineStr">
        <is>
          <t>CT-CLC-09B</t>
        </is>
      </c>
      <c r="AA142" t="inlineStr">
        <is>
          <t>直接报告</t>
        </is>
      </c>
      <c r="AB142" t="inlineStr">
        <is>
          <t>1天生产</t>
        </is>
      </c>
      <c r="AC142" t="inlineStr">
        <is>
          <t>1天生产</t>
        </is>
      </c>
    </row>
    <row r="143">
      <c r="A143" s="18" t="inlineStr">
        <is>
          <t>FL-CLC-09C</t>
        </is>
      </c>
      <c r="B143" s="18" t="inlineStr">
        <is>
          <t>PR09</t>
        </is>
      </c>
      <c r="C143" s="18" t="inlineStr">
        <is>
          <t>PR09 清洗剂NaOCl</t>
        </is>
      </c>
      <c r="D143" s="18" t="inlineStr">
        <is>
          <t>物理流</t>
        </is>
      </c>
      <c r="E143" s="18" t="inlineStr">
        <is>
          <t>输入</t>
        </is>
      </c>
      <c r="F143" s="18" t="n"/>
      <c r="G143" s="18" t="inlineStr">
        <is>
          <t>PR09</t>
        </is>
      </c>
      <c r="H143" s="18" t="inlineStr">
        <is>
          <t>physical_material</t>
        </is>
      </c>
      <c r="I143" s="51" t="n">
        <v>0</v>
      </c>
      <c r="J143" s="18" t="inlineStr">
        <is>
          <t>kg/d</t>
        </is>
      </c>
      <c r="K143" s="18" t="inlineStr">
        <is>
          <t>1天</t>
        </is>
      </c>
      <c r="L143" s="18" t="n"/>
      <c r="M143" s="18" t="n"/>
      <c r="N143" s="18" t="n"/>
      <c r="O143" s="18" t="n"/>
      <c r="P143" s="52" t="n">
        <v>0</v>
      </c>
      <c r="Q143" s="18" t="inlineStr">
        <is>
          <t>kg/d</t>
        </is>
      </c>
      <c r="R143" s="18" t="inlineStr">
        <is>
          <t>+</t>
        </is>
      </c>
      <c r="S143" s="18" t="inlineStr">
        <is>
          <t>否</t>
        </is>
      </c>
      <c r="T143" s="18" t="inlineStr">
        <is>
          <t>来源原始清单（未分配）</t>
        </is>
      </c>
      <c r="U143" s="18" t="inlineStr">
        <is>
          <t>SRC-RAW</t>
        </is>
      </c>
      <c r="V143" s="18" t="inlineStr">
        <is>
          <t>已审查</t>
        </is>
      </c>
      <c r="W143" s="18" t="inlineStr">
        <is>
          <t>否</t>
        </is>
      </c>
      <c r="X143" s="18" t="inlineStr">
        <is>
          <t>PR09 清洗剂NaOCl 0.0</t>
        </is>
      </c>
      <c r="Y143" s="18" t="inlineStr">
        <is>
          <t>CIP清洗剂</t>
        </is>
      </c>
      <c r="Z143" t="inlineStr">
        <is>
          <t>CT-CLC-09C</t>
        </is>
      </c>
      <c r="AA143" t="inlineStr">
        <is>
          <t>直接报告</t>
        </is>
      </c>
      <c r="AB143" t="inlineStr">
        <is>
          <t>1天生产</t>
        </is>
      </c>
      <c r="AC143" t="inlineStr">
        <is>
          <t>1天生产</t>
        </is>
      </c>
    </row>
    <row r="144">
      <c r="A144" s="18" t="inlineStr">
        <is>
          <t>FL-CLC-09D</t>
        </is>
      </c>
      <c r="B144" s="18" t="inlineStr">
        <is>
          <t>PR09</t>
        </is>
      </c>
      <c r="C144" s="18" t="inlineStr">
        <is>
          <t>PR09 清洗剂Phosphoc acid</t>
        </is>
      </c>
      <c r="D144" s="18" t="inlineStr">
        <is>
          <t>物理流</t>
        </is>
      </c>
      <c r="E144" s="18" t="inlineStr">
        <is>
          <t>输入</t>
        </is>
      </c>
      <c r="F144" s="18" t="n"/>
      <c r="G144" s="18" t="inlineStr">
        <is>
          <t>PR09</t>
        </is>
      </c>
      <c r="H144" s="18" t="inlineStr">
        <is>
          <t>physical_material</t>
        </is>
      </c>
      <c r="I144" s="51" t="n">
        <v>0</v>
      </c>
      <c r="J144" s="18" t="inlineStr">
        <is>
          <t>kg/d</t>
        </is>
      </c>
      <c r="K144" s="18" t="inlineStr">
        <is>
          <t>1天</t>
        </is>
      </c>
      <c r="L144" s="18" t="n"/>
      <c r="M144" s="18" t="n"/>
      <c r="N144" s="18" t="n"/>
      <c r="O144" s="18" t="n"/>
      <c r="P144" s="52" t="n">
        <v>0</v>
      </c>
      <c r="Q144" s="18" t="inlineStr">
        <is>
          <t>kg/d</t>
        </is>
      </c>
      <c r="R144" s="18" t="inlineStr">
        <is>
          <t>+</t>
        </is>
      </c>
      <c r="S144" s="18" t="inlineStr">
        <is>
          <t>否</t>
        </is>
      </c>
      <c r="T144" s="18" t="inlineStr">
        <is>
          <t>来源原始清单（未分配）</t>
        </is>
      </c>
      <c r="U144" s="18" t="inlineStr">
        <is>
          <t>SRC-RAW</t>
        </is>
      </c>
      <c r="V144" s="18" t="inlineStr">
        <is>
          <t>已审查</t>
        </is>
      </c>
      <c r="W144" s="18" t="inlineStr">
        <is>
          <t>否</t>
        </is>
      </c>
      <c r="X144" s="18" t="inlineStr">
        <is>
          <t>PR09 清洗剂Phosphoc acid 0.0</t>
        </is>
      </c>
      <c r="Y144" s="18" t="inlineStr">
        <is>
          <t>CIP清洗剂</t>
        </is>
      </c>
      <c r="Z144" t="inlineStr">
        <is>
          <t>CT-CLC-09D</t>
        </is>
      </c>
      <c r="AA144" t="inlineStr">
        <is>
          <t>直接报告</t>
        </is>
      </c>
      <c r="AB144" t="inlineStr">
        <is>
          <t>1天生产</t>
        </is>
      </c>
      <c r="AC144" t="inlineStr">
        <is>
          <t>1天生产</t>
        </is>
      </c>
    </row>
    <row r="145">
      <c r="A145" s="18" t="inlineStr">
        <is>
          <t>FL-CLC-09E</t>
        </is>
      </c>
      <c r="B145" s="18" t="inlineStr">
        <is>
          <t>PR09</t>
        </is>
      </c>
      <c r="C145" s="18" t="inlineStr">
        <is>
          <t>PR09 清洗剂surfactant</t>
        </is>
      </c>
      <c r="D145" s="18" t="inlineStr">
        <is>
          <t>物理流</t>
        </is>
      </c>
      <c r="E145" s="18" t="inlineStr">
        <is>
          <t>输入</t>
        </is>
      </c>
      <c r="F145" s="18" t="n"/>
      <c r="G145" s="18" t="inlineStr">
        <is>
          <t>PR09</t>
        </is>
      </c>
      <c r="H145" s="18" t="inlineStr">
        <is>
          <t>physical_material</t>
        </is>
      </c>
      <c r="I145" s="51" t="n">
        <v>0</v>
      </c>
      <c r="J145" s="18" t="inlineStr">
        <is>
          <t>kg/d</t>
        </is>
      </c>
      <c r="K145" s="18" t="inlineStr">
        <is>
          <t>1天</t>
        </is>
      </c>
      <c r="L145" s="18" t="n"/>
      <c r="M145" s="18" t="n"/>
      <c r="N145" s="18" t="n"/>
      <c r="O145" s="18" t="n"/>
      <c r="P145" s="52" t="n">
        <v>0</v>
      </c>
      <c r="Q145" s="18" t="inlineStr">
        <is>
          <t>kg/d</t>
        </is>
      </c>
      <c r="R145" s="18" t="inlineStr">
        <is>
          <t>+</t>
        </is>
      </c>
      <c r="S145" s="18" t="inlineStr">
        <is>
          <t>否</t>
        </is>
      </c>
      <c r="T145" s="18" t="inlineStr">
        <is>
          <t>来源原始清单（未分配）</t>
        </is>
      </c>
      <c r="U145" s="18" t="inlineStr">
        <is>
          <t>SRC-RAW</t>
        </is>
      </c>
      <c r="V145" s="18" t="inlineStr">
        <is>
          <t>已审查</t>
        </is>
      </c>
      <c r="W145" s="18" t="inlineStr">
        <is>
          <t>否</t>
        </is>
      </c>
      <c r="X145" s="18" t="inlineStr">
        <is>
          <t>PR09 清洗剂surfactant 0.0</t>
        </is>
      </c>
      <c r="Y145" s="18" t="inlineStr">
        <is>
          <t>CIP清洗剂</t>
        </is>
      </c>
      <c r="Z145" t="inlineStr">
        <is>
          <t>CT-CLC-09E</t>
        </is>
      </c>
      <c r="AA145" t="inlineStr">
        <is>
          <t>直接报告</t>
        </is>
      </c>
      <c r="AB145" t="inlineStr">
        <is>
          <t>1天生产</t>
        </is>
      </c>
      <c r="AC145" t="inlineStr">
        <is>
          <t>1天生产</t>
        </is>
      </c>
    </row>
    <row r="146">
      <c r="A146" s="18" t="inlineStr">
        <is>
          <t>FL-CLC-09F</t>
        </is>
      </c>
      <c r="B146" s="18" t="inlineStr">
        <is>
          <t>PR09</t>
        </is>
      </c>
      <c r="C146" s="18" t="inlineStr">
        <is>
          <t>PR09 清洗剂Other acid</t>
        </is>
      </c>
      <c r="D146" s="18" t="inlineStr">
        <is>
          <t>物理流</t>
        </is>
      </c>
      <c r="E146" s="18" t="inlineStr">
        <is>
          <t>输入</t>
        </is>
      </c>
      <c r="F146" s="18" t="n"/>
      <c r="G146" s="18" t="inlineStr">
        <is>
          <t>PR09</t>
        </is>
      </c>
      <c r="H146" s="18" t="inlineStr">
        <is>
          <t>physical_material</t>
        </is>
      </c>
      <c r="I146" s="51" t="n">
        <v>0</v>
      </c>
      <c r="J146" s="18" t="inlineStr">
        <is>
          <t>kg/d</t>
        </is>
      </c>
      <c r="K146" s="18" t="inlineStr">
        <is>
          <t>1天</t>
        </is>
      </c>
      <c r="L146" s="18" t="n"/>
      <c r="M146" s="18" t="n"/>
      <c r="N146" s="18" t="n"/>
      <c r="O146" s="18" t="n"/>
      <c r="P146" s="52" t="n">
        <v>0</v>
      </c>
      <c r="Q146" s="18" t="inlineStr">
        <is>
          <t>kg/d</t>
        </is>
      </c>
      <c r="R146" s="18" t="inlineStr">
        <is>
          <t>+</t>
        </is>
      </c>
      <c r="S146" s="18" t="inlineStr">
        <is>
          <t>否</t>
        </is>
      </c>
      <c r="T146" s="18" t="inlineStr">
        <is>
          <t>来源原始清单（未分配）</t>
        </is>
      </c>
      <c r="U146" s="18" t="inlineStr">
        <is>
          <t>SRC-RAW</t>
        </is>
      </c>
      <c r="V146" s="18" t="inlineStr">
        <is>
          <t>已审查</t>
        </is>
      </c>
      <c r="W146" s="18" t="inlineStr">
        <is>
          <t>否</t>
        </is>
      </c>
      <c r="X146" s="18" t="inlineStr">
        <is>
          <t>PR09 清洗剂Other acid 0.0</t>
        </is>
      </c>
      <c r="Y146" s="18" t="inlineStr">
        <is>
          <t>CIP清洗剂</t>
        </is>
      </c>
      <c r="Z146" t="inlineStr">
        <is>
          <t>CT-CLC-09F</t>
        </is>
      </c>
      <c r="AA146" t="inlineStr">
        <is>
          <t>直接报告</t>
        </is>
      </c>
      <c r="AB146" t="inlineStr">
        <is>
          <t>1天生产</t>
        </is>
      </c>
      <c r="AC146" t="inlineStr">
        <is>
          <t>1天生产</t>
        </is>
      </c>
    </row>
    <row r="147">
      <c r="A147" s="18" t="inlineStr">
        <is>
          <t>FL-CLT-09</t>
        </is>
      </c>
      <c r="B147" s="18" t="inlineStr">
        <is>
          <t>PR09</t>
        </is>
      </c>
      <c r="C147" s="18" t="inlineStr">
        <is>
          <t>PR09 清洗回路设备材料</t>
        </is>
      </c>
      <c r="D147" s="18" t="inlineStr">
        <is>
          <t>物理流</t>
        </is>
      </c>
      <c r="E147" s="18" t="inlineStr">
        <is>
          <t>输入</t>
        </is>
      </c>
      <c r="F147" s="18" t="n"/>
      <c r="G147" s="18" t="inlineStr">
        <is>
          <t>PR09</t>
        </is>
      </c>
      <c r="H147" s="18" t="inlineStr">
        <is>
          <t>physical_material</t>
        </is>
      </c>
      <c r="I147" s="51" t="n">
        <v>0.803636363636364</v>
      </c>
      <c r="J147" s="18" t="inlineStr">
        <is>
          <t>kg/d</t>
        </is>
      </c>
      <c r="K147" s="18" t="inlineStr">
        <is>
          <t>1天</t>
        </is>
      </c>
      <c r="L147" s="18" t="n"/>
      <c r="M147" s="18" t="n"/>
      <c r="N147" s="18" t="n"/>
      <c r="O147" s="18" t="n"/>
      <c r="P147" s="52" t="n">
        <v>0.803636363636364</v>
      </c>
      <c r="Q147" s="18" t="inlineStr">
        <is>
          <t>kg/d</t>
        </is>
      </c>
      <c r="R147" s="18" t="inlineStr">
        <is>
          <t>+</t>
        </is>
      </c>
      <c r="S147" s="18" t="inlineStr">
        <is>
          <t>否</t>
        </is>
      </c>
      <c r="T147" s="18" t="inlineStr">
        <is>
          <t>来源原始清单（未分配）</t>
        </is>
      </c>
      <c r="U147" s="18" t="inlineStr">
        <is>
          <t>SRC-RAW</t>
        </is>
      </c>
      <c r="V147" s="18" t="inlineStr">
        <is>
          <t>已审查</t>
        </is>
      </c>
      <c r="W147" s="18" t="inlineStr">
        <is>
          <t>否</t>
        </is>
      </c>
      <c r="X147" s="18" t="inlineStr">
        <is>
          <t>PR09 清洗回路设备材料 0.803636363636364</t>
        </is>
      </c>
      <c r="Y147" s="18" t="inlineStr">
        <is>
          <t>Tanks and pipes 不锈钢（按天摊销）</t>
        </is>
      </c>
      <c r="Z147" t="inlineStr">
        <is>
          <t>CT-CLT-09</t>
        </is>
      </c>
      <c r="AA147" t="inlineStr">
        <is>
          <t>直接报告</t>
        </is>
      </c>
      <c r="AB147" t="inlineStr">
        <is>
          <t>1天生产</t>
        </is>
      </c>
      <c r="AC147" t="inlineStr">
        <is>
          <t>1天生产</t>
        </is>
      </c>
    </row>
    <row r="148">
      <c r="A148" s="18" t="inlineStr">
        <is>
          <t>FL-CLCOD-09</t>
        </is>
      </c>
      <c r="B148" s="18" t="inlineStr">
        <is>
          <t>PR09</t>
        </is>
      </c>
      <c r="C148" s="18" t="inlineStr">
        <is>
          <t>PR09 清洗废水COD</t>
        </is>
      </c>
      <c r="D148" s="18" t="inlineStr">
        <is>
          <t>环境交换</t>
        </is>
      </c>
      <c r="E148" s="18" t="inlineStr">
        <is>
          <t>输入</t>
        </is>
      </c>
      <c r="F148" s="18" t="n"/>
      <c r="G148" s="18" t="inlineStr">
        <is>
          <t>PR09</t>
        </is>
      </c>
      <c r="H148" s="18" t="inlineStr">
        <is>
          <t>environment_exchange</t>
        </is>
      </c>
      <c r="I148" s="51" t="n">
        <v>20</v>
      </c>
      <c r="J148" s="18" t="inlineStr">
        <is>
          <t>kg_COD/d</t>
        </is>
      </c>
      <c r="K148" s="18" t="inlineStr">
        <is>
          <t>1天</t>
        </is>
      </c>
      <c r="L148" s="18" t="n"/>
      <c r="M148" s="18" t="n"/>
      <c r="N148" s="18" t="n"/>
      <c r="O148" s="18" t="n"/>
      <c r="P148" s="52" t="n">
        <v>20</v>
      </c>
      <c r="Q148" s="18" t="inlineStr">
        <is>
          <t>kg_COD/d</t>
        </is>
      </c>
      <c r="R148" s="18" t="inlineStr">
        <is>
          <t>+</t>
        </is>
      </c>
      <c r="S148" s="18" t="inlineStr">
        <is>
          <t>否</t>
        </is>
      </c>
      <c r="T148" s="18" t="inlineStr">
        <is>
          <t>来源原始清单（未分配）</t>
        </is>
      </c>
      <c r="U148" s="18" t="inlineStr">
        <is>
          <t>SRC-RAW</t>
        </is>
      </c>
      <c r="V148" s="18" t="inlineStr">
        <is>
          <t>已审查</t>
        </is>
      </c>
      <c r="W148" s="18" t="inlineStr">
        <is>
          <t>否</t>
        </is>
      </c>
      <c r="X148" s="18" t="inlineStr">
        <is>
          <t>PR09 清洗废水COD 20.0</t>
        </is>
      </c>
      <c r="Y148" s="18" t="inlineStr"/>
      <c r="Z148" t="inlineStr">
        <is>
          <t>CT-CLCOD-09</t>
        </is>
      </c>
      <c r="AA148" t="inlineStr">
        <is>
          <t>直接报告</t>
        </is>
      </c>
      <c r="AB148" t="inlineStr">
        <is>
          <t>1天生产</t>
        </is>
      </c>
      <c r="AC148" t="inlineStr">
        <is>
          <t>1天生产</t>
        </is>
      </c>
    </row>
    <row r="149">
      <c r="A149" s="18" t="inlineStr">
        <is>
          <t>FL-CLDM-09</t>
        </is>
      </c>
      <c r="B149" s="18" t="inlineStr">
        <is>
          <t>PR09</t>
        </is>
      </c>
      <c r="C149" s="18" t="inlineStr">
        <is>
          <t>PR09 清洗废水干物质</t>
        </is>
      </c>
      <c r="D149" s="18" t="inlineStr">
        <is>
          <t>环境交换</t>
        </is>
      </c>
      <c r="E149" s="18" t="inlineStr">
        <is>
          <t>输入</t>
        </is>
      </c>
      <c r="F149" s="18" t="n"/>
      <c r="G149" s="18" t="inlineStr">
        <is>
          <t>PR09</t>
        </is>
      </c>
      <c r="H149" s="18" t="inlineStr">
        <is>
          <t>environment_exchange</t>
        </is>
      </c>
      <c r="I149" s="51" t="n">
        <v>23.4</v>
      </c>
      <c r="J149" s="18" t="inlineStr">
        <is>
          <t>kg/d</t>
        </is>
      </c>
      <c r="K149" s="18" t="inlineStr">
        <is>
          <t>1天</t>
        </is>
      </c>
      <c r="L149" s="18" t="n"/>
      <c r="M149" s="18" t="n"/>
      <c r="N149" s="18" t="n"/>
      <c r="O149" s="18" t="n"/>
      <c r="P149" s="52" t="n">
        <v>23.4</v>
      </c>
      <c r="Q149" s="18" t="inlineStr">
        <is>
          <t>kg/d</t>
        </is>
      </c>
      <c r="R149" s="18" t="inlineStr">
        <is>
          <t>+</t>
        </is>
      </c>
      <c r="S149" s="18" t="inlineStr">
        <is>
          <t>否</t>
        </is>
      </c>
      <c r="T149" s="18" t="inlineStr">
        <is>
          <t>来源原始清单（未分配）</t>
        </is>
      </c>
      <c r="U149" s="18" t="inlineStr">
        <is>
          <t>SRC-RAW</t>
        </is>
      </c>
      <c r="V149" s="18" t="inlineStr">
        <is>
          <t>已审查</t>
        </is>
      </c>
      <c r="W149" s="18" t="inlineStr">
        <is>
          <t>否</t>
        </is>
      </c>
      <c r="X149" s="18" t="inlineStr">
        <is>
          <t>PR09 清洗废水干物质 23.4</t>
        </is>
      </c>
      <c r="Y149" s="18" t="inlineStr"/>
      <c r="Z149" t="inlineStr">
        <is>
          <t>CT-CLDM-09</t>
        </is>
      </c>
      <c r="AA149" t="inlineStr">
        <is>
          <t>直接报告</t>
        </is>
      </c>
      <c r="AB149" t="inlineStr">
        <is>
          <t>1天生产</t>
        </is>
      </c>
      <c r="AC149" t="inlineStr">
        <is>
          <t>1天生产</t>
        </is>
      </c>
    </row>
    <row r="150">
      <c r="A150" s="18" t="inlineStr">
        <is>
          <t>FL-CLE-10</t>
        </is>
      </c>
      <c r="B150" s="18" t="inlineStr">
        <is>
          <t>PR10</t>
        </is>
      </c>
      <c r="C150" s="18" t="inlineStr">
        <is>
          <t>电力（清洗）</t>
        </is>
      </c>
      <c r="D150" s="18" t="inlineStr">
        <is>
          <t>能源</t>
        </is>
      </c>
      <c r="E150" s="18" t="inlineStr">
        <is>
          <t>输入</t>
        </is>
      </c>
      <c r="F150" s="18" t="n"/>
      <c r="G150" s="18" t="inlineStr">
        <is>
          <t>PR10</t>
        </is>
      </c>
      <c r="H150" s="18" t="inlineStr">
        <is>
          <t>physical_energy</t>
        </is>
      </c>
      <c r="I150" s="51" t="n">
        <v>19</v>
      </c>
      <c r="J150" s="18" t="inlineStr">
        <is>
          <t>kWh/d</t>
        </is>
      </c>
      <c r="K150" s="18" t="inlineStr">
        <is>
          <t>1天</t>
        </is>
      </c>
      <c r="L150" s="18" t="n"/>
      <c r="M150" s="18" t="n"/>
      <c r="N150" s="18" t="n"/>
      <c r="O150" s="18" t="n"/>
      <c r="P150" s="52" t="n">
        <v>19</v>
      </c>
      <c r="Q150" s="18" t="inlineStr">
        <is>
          <t>kWh/d</t>
        </is>
      </c>
      <c r="R150" s="18" t="inlineStr">
        <is>
          <t>+</t>
        </is>
      </c>
      <c r="S150" s="18" t="inlineStr">
        <is>
          <t>否</t>
        </is>
      </c>
      <c r="T150" s="18" t="inlineStr">
        <is>
          <t>来源原始清单（未分配）</t>
        </is>
      </c>
      <c r="U150" s="18" t="inlineStr">
        <is>
          <t>SRC-RAW</t>
        </is>
      </c>
      <c r="V150" s="18" t="inlineStr">
        <is>
          <t>已审查</t>
        </is>
      </c>
      <c r="W150" s="18" t="inlineStr">
        <is>
          <t>是</t>
        </is>
      </c>
      <c r="X150" s="18" t="inlineStr">
        <is>
          <t>PR10 清洗电耗 19.0</t>
        </is>
      </c>
      <c r="Y150" s="18" t="inlineStr">
        <is>
          <t>CIP</t>
        </is>
      </c>
      <c r="Z150" t="inlineStr">
        <is>
          <t>CT-CLE-10</t>
        </is>
      </c>
      <c r="AA150" t="inlineStr">
        <is>
          <t>直接报告</t>
        </is>
      </c>
      <c r="AB150" t="inlineStr">
        <is>
          <t>1天生产</t>
        </is>
      </c>
      <c r="AC150" t="inlineStr">
        <is>
          <t>1天生产</t>
        </is>
      </c>
    </row>
    <row r="151">
      <c r="A151" s="18" t="inlineStr">
        <is>
          <t>FL-CLW-10</t>
        </is>
      </c>
      <c r="B151" s="18" t="inlineStr">
        <is>
          <t>PR10</t>
        </is>
      </c>
      <c r="C151" s="18" t="inlineStr">
        <is>
          <t>PR10 清洗水</t>
        </is>
      </c>
      <c r="D151" s="18" t="inlineStr">
        <is>
          <t>物理流</t>
        </is>
      </c>
      <c r="E151" s="18" t="inlineStr">
        <is>
          <t>输入</t>
        </is>
      </c>
      <c r="F151" s="18" t="n"/>
      <c r="G151" s="18" t="inlineStr">
        <is>
          <t>PR10</t>
        </is>
      </c>
      <c r="H151" s="18" t="inlineStr">
        <is>
          <t>physical_material</t>
        </is>
      </c>
      <c r="I151" s="51" t="n">
        <v>2.5</v>
      </c>
      <c r="J151" s="18" t="inlineStr">
        <is>
          <t>m3/d</t>
        </is>
      </c>
      <c r="K151" s="18" t="inlineStr">
        <is>
          <t>1天</t>
        </is>
      </c>
      <c r="L151" s="18" t="n"/>
      <c r="M151" s="18" t="n"/>
      <c r="N151" s="18" t="n"/>
      <c r="O151" s="18" t="n"/>
      <c r="P151" s="52" t="n">
        <v>2.5</v>
      </c>
      <c r="Q151" s="18" t="inlineStr">
        <is>
          <t>m3/d</t>
        </is>
      </c>
      <c r="R151" s="18" t="inlineStr">
        <is>
          <t>+</t>
        </is>
      </c>
      <c r="S151" s="18" t="inlineStr">
        <is>
          <t>否</t>
        </is>
      </c>
      <c r="T151" s="18" t="inlineStr">
        <is>
          <t>来源原始清单（未分配）</t>
        </is>
      </c>
      <c r="U151" s="18" t="inlineStr">
        <is>
          <t>SRC-RAW</t>
        </is>
      </c>
      <c r="V151" s="18" t="inlineStr">
        <is>
          <t>已审查</t>
        </is>
      </c>
      <c r="W151" s="18" t="inlineStr">
        <is>
          <t>否</t>
        </is>
      </c>
      <c r="X151" s="18" t="inlineStr">
        <is>
          <t>PR10 清洗水 2.5</t>
        </is>
      </c>
      <c r="Y151" s="18" t="inlineStr"/>
      <c r="Z151" t="inlineStr">
        <is>
          <t>CT-CLW-10</t>
        </is>
      </c>
      <c r="AA151" t="inlineStr">
        <is>
          <t>直接报告</t>
        </is>
      </c>
      <c r="AB151" t="inlineStr">
        <is>
          <t>1天生产</t>
        </is>
      </c>
      <c r="AC151" t="inlineStr">
        <is>
          <t>1天生产</t>
        </is>
      </c>
    </row>
    <row r="152">
      <c r="A152" s="18" t="inlineStr">
        <is>
          <t>FL-CLC-10A</t>
        </is>
      </c>
      <c r="B152" s="18" t="inlineStr">
        <is>
          <t>PR10</t>
        </is>
      </c>
      <c r="C152" s="18" t="inlineStr">
        <is>
          <t>PR10 清洗剂NaOH</t>
        </is>
      </c>
      <c r="D152" s="18" t="inlineStr">
        <is>
          <t>物理流</t>
        </is>
      </c>
      <c r="E152" s="18" t="inlineStr">
        <is>
          <t>输入</t>
        </is>
      </c>
      <c r="F152" s="18" t="n"/>
      <c r="G152" s="18" t="inlineStr">
        <is>
          <t>PR10</t>
        </is>
      </c>
      <c r="H152" s="18" t="inlineStr">
        <is>
          <t>physical_material</t>
        </is>
      </c>
      <c r="I152" s="51" t="n">
        <v>44</v>
      </c>
      <c r="J152" s="18" t="inlineStr">
        <is>
          <t>kg/d</t>
        </is>
      </c>
      <c r="K152" s="18" t="inlineStr">
        <is>
          <t>1天</t>
        </is>
      </c>
      <c r="L152" s="18" t="n"/>
      <c r="M152" s="18" t="n"/>
      <c r="N152" s="18" t="n"/>
      <c r="O152" s="18" t="n"/>
      <c r="P152" s="52" t="n">
        <v>44</v>
      </c>
      <c r="Q152" s="18" t="inlineStr">
        <is>
          <t>kg/d</t>
        </is>
      </c>
      <c r="R152" s="18" t="inlineStr">
        <is>
          <t>+</t>
        </is>
      </c>
      <c r="S152" s="18" t="inlineStr">
        <is>
          <t>否</t>
        </is>
      </c>
      <c r="T152" s="18" t="inlineStr">
        <is>
          <t>来源原始清单（未分配）</t>
        </is>
      </c>
      <c r="U152" s="18" t="inlineStr">
        <is>
          <t>SRC-RAW</t>
        </is>
      </c>
      <c r="V152" s="18" t="inlineStr">
        <is>
          <t>已审查</t>
        </is>
      </c>
      <c r="W152" s="18" t="inlineStr">
        <is>
          <t>否</t>
        </is>
      </c>
      <c r="X152" s="18" t="inlineStr">
        <is>
          <t>PR10 清洗剂NaOH 44.0</t>
        </is>
      </c>
      <c r="Y152" s="18" t="inlineStr">
        <is>
          <t>CIP清洗剂</t>
        </is>
      </c>
      <c r="Z152" t="inlineStr">
        <is>
          <t>CT-CLC-10A</t>
        </is>
      </c>
      <c r="AA152" t="inlineStr">
        <is>
          <t>直接报告</t>
        </is>
      </c>
      <c r="AB152" t="inlineStr">
        <is>
          <t>1天生产</t>
        </is>
      </c>
      <c r="AC152" t="inlineStr">
        <is>
          <t>1天生产</t>
        </is>
      </c>
    </row>
    <row r="153">
      <c r="A153" s="18" t="inlineStr">
        <is>
          <t>FL-CLC-10B</t>
        </is>
      </c>
      <c r="B153" s="18" t="inlineStr">
        <is>
          <t>PR10</t>
        </is>
      </c>
      <c r="C153" s="18" t="inlineStr">
        <is>
          <t>PR10 清洗剂HNO3</t>
        </is>
      </c>
      <c r="D153" s="18" t="inlineStr">
        <is>
          <t>物理流</t>
        </is>
      </c>
      <c r="E153" s="18" t="inlineStr">
        <is>
          <t>输入</t>
        </is>
      </c>
      <c r="F153" s="18" t="n"/>
      <c r="G153" s="18" t="inlineStr">
        <is>
          <t>PR10</t>
        </is>
      </c>
      <c r="H153" s="18" t="inlineStr">
        <is>
          <t>physical_material</t>
        </is>
      </c>
      <c r="I153" s="51" t="n">
        <v>0</v>
      </c>
      <c r="J153" s="18" t="inlineStr">
        <is>
          <t>kg/d</t>
        </is>
      </c>
      <c r="K153" s="18" t="inlineStr">
        <is>
          <t>1天</t>
        </is>
      </c>
      <c r="L153" s="18" t="n"/>
      <c r="M153" s="18" t="n"/>
      <c r="N153" s="18" t="n"/>
      <c r="O153" s="18" t="n"/>
      <c r="P153" s="52" t="n">
        <v>0</v>
      </c>
      <c r="Q153" s="18" t="inlineStr">
        <is>
          <t>kg/d</t>
        </is>
      </c>
      <c r="R153" s="18" t="inlineStr">
        <is>
          <t>+</t>
        </is>
      </c>
      <c r="S153" s="18" t="inlineStr">
        <is>
          <t>否</t>
        </is>
      </c>
      <c r="T153" s="18" t="inlineStr">
        <is>
          <t>来源原始清单（未分配）</t>
        </is>
      </c>
      <c r="U153" s="18" t="inlineStr">
        <is>
          <t>SRC-RAW</t>
        </is>
      </c>
      <c r="V153" s="18" t="inlineStr">
        <is>
          <t>已审查</t>
        </is>
      </c>
      <c r="W153" s="18" t="inlineStr">
        <is>
          <t>否</t>
        </is>
      </c>
      <c r="X153" s="18" t="inlineStr">
        <is>
          <t>PR10 清洗剂HNO3 0.0</t>
        </is>
      </c>
      <c r="Y153" s="18" t="inlineStr">
        <is>
          <t>CIP清洗剂</t>
        </is>
      </c>
      <c r="Z153" t="inlineStr">
        <is>
          <t>CT-CLC-10B</t>
        </is>
      </c>
      <c r="AA153" t="inlineStr">
        <is>
          <t>直接报告</t>
        </is>
      </c>
      <c r="AB153" t="inlineStr">
        <is>
          <t>1天生产</t>
        </is>
      </c>
      <c r="AC153" t="inlineStr">
        <is>
          <t>1天生产</t>
        </is>
      </c>
    </row>
    <row r="154">
      <c r="A154" s="18" t="inlineStr">
        <is>
          <t>FL-CLC-10C</t>
        </is>
      </c>
      <c r="B154" s="18" t="inlineStr">
        <is>
          <t>PR10</t>
        </is>
      </c>
      <c r="C154" s="18" t="inlineStr">
        <is>
          <t>PR10 清洗剂NaOCl</t>
        </is>
      </c>
      <c r="D154" s="18" t="inlineStr">
        <is>
          <t>物理流</t>
        </is>
      </c>
      <c r="E154" s="18" t="inlineStr">
        <is>
          <t>输入</t>
        </is>
      </c>
      <c r="F154" s="18" t="n"/>
      <c r="G154" s="18" t="inlineStr">
        <is>
          <t>PR10</t>
        </is>
      </c>
      <c r="H154" s="18" t="inlineStr">
        <is>
          <t>physical_material</t>
        </is>
      </c>
      <c r="I154" s="51" t="n">
        <v>0</v>
      </c>
      <c r="J154" s="18" t="inlineStr">
        <is>
          <t>kg/d</t>
        </is>
      </c>
      <c r="K154" s="18" t="inlineStr">
        <is>
          <t>1天</t>
        </is>
      </c>
      <c r="L154" s="18" t="n"/>
      <c r="M154" s="18" t="n"/>
      <c r="N154" s="18" t="n"/>
      <c r="O154" s="18" t="n"/>
      <c r="P154" s="52" t="n">
        <v>0</v>
      </c>
      <c r="Q154" s="18" t="inlineStr">
        <is>
          <t>kg/d</t>
        </is>
      </c>
      <c r="R154" s="18" t="inlineStr">
        <is>
          <t>+</t>
        </is>
      </c>
      <c r="S154" s="18" t="inlineStr">
        <is>
          <t>否</t>
        </is>
      </c>
      <c r="T154" s="18" t="inlineStr">
        <is>
          <t>来源原始清单（未分配）</t>
        </is>
      </c>
      <c r="U154" s="18" t="inlineStr">
        <is>
          <t>SRC-RAW</t>
        </is>
      </c>
      <c r="V154" s="18" t="inlineStr">
        <is>
          <t>已审查</t>
        </is>
      </c>
      <c r="W154" s="18" t="inlineStr">
        <is>
          <t>否</t>
        </is>
      </c>
      <c r="X154" s="18" t="inlineStr">
        <is>
          <t>PR10 清洗剂NaOCl 0.0</t>
        </is>
      </c>
      <c r="Y154" s="18" t="inlineStr">
        <is>
          <t>CIP清洗剂</t>
        </is>
      </c>
      <c r="Z154" t="inlineStr">
        <is>
          <t>CT-CLC-10C</t>
        </is>
      </c>
      <c r="AA154" t="inlineStr">
        <is>
          <t>直接报告</t>
        </is>
      </c>
      <c r="AB154" t="inlineStr">
        <is>
          <t>1天生产</t>
        </is>
      </c>
      <c r="AC154" t="inlineStr">
        <is>
          <t>1天生产</t>
        </is>
      </c>
    </row>
    <row r="155">
      <c r="A155" s="18" t="inlineStr">
        <is>
          <t>FL-CLCOD-10</t>
        </is>
      </c>
      <c r="B155" s="18" t="inlineStr">
        <is>
          <t>PR10</t>
        </is>
      </c>
      <c r="C155" s="18" t="inlineStr">
        <is>
          <t>PR10 清洗废水COD</t>
        </is>
      </c>
      <c r="D155" s="18" t="inlineStr">
        <is>
          <t>环境交换</t>
        </is>
      </c>
      <c r="E155" s="18" t="inlineStr">
        <is>
          <t>输入</t>
        </is>
      </c>
      <c r="F155" s="18" t="n"/>
      <c r="G155" s="18" t="inlineStr">
        <is>
          <t>PR10</t>
        </is>
      </c>
      <c r="H155" s="18" t="inlineStr">
        <is>
          <t>environment_exchange</t>
        </is>
      </c>
      <c r="I155" s="51" t="n">
        <v>9.9</v>
      </c>
      <c r="J155" s="18" t="inlineStr">
        <is>
          <t>kg_COD/d</t>
        </is>
      </c>
      <c r="K155" s="18" t="inlineStr">
        <is>
          <t>1天</t>
        </is>
      </c>
      <c r="L155" s="18" t="n"/>
      <c r="M155" s="18" t="n"/>
      <c r="N155" s="18" t="n"/>
      <c r="O155" s="18" t="n"/>
      <c r="P155" s="52" t="n">
        <v>9.9</v>
      </c>
      <c r="Q155" s="18" t="inlineStr">
        <is>
          <t>kg_COD/d</t>
        </is>
      </c>
      <c r="R155" s="18" t="inlineStr">
        <is>
          <t>+</t>
        </is>
      </c>
      <c r="S155" s="18" t="inlineStr">
        <is>
          <t>否</t>
        </is>
      </c>
      <c r="T155" s="18" t="inlineStr">
        <is>
          <t>来源原始清单（未分配）</t>
        </is>
      </c>
      <c r="U155" s="18" t="inlineStr">
        <is>
          <t>SRC-RAW</t>
        </is>
      </c>
      <c r="V155" s="18" t="inlineStr">
        <is>
          <t>已审查</t>
        </is>
      </c>
      <c r="W155" s="18" t="inlineStr">
        <is>
          <t>否</t>
        </is>
      </c>
      <c r="X155" s="18" t="inlineStr">
        <is>
          <t>PR10 清洗废水COD 9.9</t>
        </is>
      </c>
      <c r="Y155" s="18" t="inlineStr"/>
      <c r="Z155" t="inlineStr">
        <is>
          <t>CT-CLCOD-10</t>
        </is>
      </c>
      <c r="AA155" t="inlineStr">
        <is>
          <t>直接报告</t>
        </is>
      </c>
      <c r="AB155" t="inlineStr">
        <is>
          <t>1天生产</t>
        </is>
      </c>
      <c r="AC155" t="inlineStr">
        <is>
          <t>1天生产</t>
        </is>
      </c>
    </row>
    <row r="156">
      <c r="A156" s="18" t="inlineStr">
        <is>
          <t>FL-CLDM-10</t>
        </is>
      </c>
      <c r="B156" s="18" t="inlineStr">
        <is>
          <t>PR10</t>
        </is>
      </c>
      <c r="C156" s="18" t="inlineStr">
        <is>
          <t>PR10 清洗废水干物质</t>
        </is>
      </c>
      <c r="D156" s="18" t="inlineStr">
        <is>
          <t>环境交换</t>
        </is>
      </c>
      <c r="E156" s="18" t="inlineStr">
        <is>
          <t>输入</t>
        </is>
      </c>
      <c r="F156" s="18" t="n"/>
      <c r="G156" s="18" t="inlineStr">
        <is>
          <t>PR10</t>
        </is>
      </c>
      <c r="H156" s="18" t="inlineStr">
        <is>
          <t>environment_exchange</t>
        </is>
      </c>
      <c r="I156" s="51" t="n">
        <v>11.583</v>
      </c>
      <c r="J156" s="18" t="inlineStr">
        <is>
          <t>kg/d</t>
        </is>
      </c>
      <c r="K156" s="18" t="inlineStr">
        <is>
          <t>1天</t>
        </is>
      </c>
      <c r="L156" s="18" t="n"/>
      <c r="M156" s="18" t="n"/>
      <c r="N156" s="18" t="n"/>
      <c r="O156" s="18" t="n"/>
      <c r="P156" s="52" t="n">
        <v>11.583</v>
      </c>
      <c r="Q156" s="18" t="inlineStr">
        <is>
          <t>kg/d</t>
        </is>
      </c>
      <c r="R156" s="18" t="inlineStr">
        <is>
          <t>+</t>
        </is>
      </c>
      <c r="S156" s="18" t="inlineStr">
        <is>
          <t>否</t>
        </is>
      </c>
      <c r="T156" s="18" t="inlineStr">
        <is>
          <t>来源原始清单（未分配）</t>
        </is>
      </c>
      <c r="U156" s="18" t="inlineStr">
        <is>
          <t>SRC-RAW</t>
        </is>
      </c>
      <c r="V156" s="18" t="inlineStr">
        <is>
          <t>已审查</t>
        </is>
      </c>
      <c r="W156" s="18" t="inlineStr">
        <is>
          <t>否</t>
        </is>
      </c>
      <c r="X156" s="18" t="inlineStr">
        <is>
          <t>PR10 清洗废水干物质 11.583</t>
        </is>
      </c>
      <c r="Y156" s="18" t="inlineStr"/>
      <c r="Z156" t="inlineStr">
        <is>
          <t>CT-CLDM-10</t>
        </is>
      </c>
      <c r="AA156" t="inlineStr">
        <is>
          <t>直接报告</t>
        </is>
      </c>
      <c r="AB156" t="inlineStr">
        <is>
          <t>1天生产</t>
        </is>
      </c>
      <c r="AC156" t="inlineStr">
        <is>
          <t>1天生产</t>
        </is>
      </c>
    </row>
    <row r="157">
      <c r="A157" s="18" t="inlineStr">
        <is>
          <t>FL-CLE-11</t>
        </is>
      </c>
      <c r="B157" s="18" t="inlineStr">
        <is>
          <t>PR11</t>
        </is>
      </c>
      <c r="C157" s="18" t="inlineStr">
        <is>
          <t>电力（清洗）</t>
        </is>
      </c>
      <c r="D157" s="18" t="inlineStr">
        <is>
          <t>能源</t>
        </is>
      </c>
      <c r="E157" s="18" t="inlineStr">
        <is>
          <t>输入</t>
        </is>
      </c>
      <c r="F157" s="18" t="n"/>
      <c r="G157" s="18" t="inlineStr">
        <is>
          <t>PR11</t>
        </is>
      </c>
      <c r="H157" s="18" t="inlineStr">
        <is>
          <t>physical_energy</t>
        </is>
      </c>
      <c r="I157" s="51" t="n">
        <v>200</v>
      </c>
      <c r="J157" s="18" t="inlineStr">
        <is>
          <t>kWh/d</t>
        </is>
      </c>
      <c r="K157" s="18" t="inlineStr">
        <is>
          <t>1天</t>
        </is>
      </c>
      <c r="L157" s="18" t="n"/>
      <c r="M157" s="18" t="n"/>
      <c r="N157" s="18" t="n"/>
      <c r="O157" s="18" t="n"/>
      <c r="P157" s="52" t="n">
        <v>200</v>
      </c>
      <c r="Q157" s="18" t="inlineStr">
        <is>
          <t>kWh/d</t>
        </is>
      </c>
      <c r="R157" s="18" t="inlineStr">
        <is>
          <t>+</t>
        </is>
      </c>
      <c r="S157" s="18" t="inlineStr">
        <is>
          <t>否</t>
        </is>
      </c>
      <c r="T157" s="18" t="inlineStr">
        <is>
          <t>来源原始清单（未分配）</t>
        </is>
      </c>
      <c r="U157" s="18" t="inlineStr">
        <is>
          <t>SRC-RAW</t>
        </is>
      </c>
      <c r="V157" s="18" t="inlineStr">
        <is>
          <t>已审查</t>
        </is>
      </c>
      <c r="W157" s="18" t="inlineStr">
        <is>
          <t>是</t>
        </is>
      </c>
      <c r="X157" s="18" t="inlineStr">
        <is>
          <t>PR11 清洗电耗 200.0</t>
        </is>
      </c>
      <c r="Y157" s="18" t="inlineStr">
        <is>
          <t>CIP</t>
        </is>
      </c>
      <c r="Z157" t="inlineStr">
        <is>
          <t>CT-CLE-11</t>
        </is>
      </c>
      <c r="AA157" t="inlineStr">
        <is>
          <t>直接报告</t>
        </is>
      </c>
      <c r="AB157" t="inlineStr">
        <is>
          <t>1天生产</t>
        </is>
      </c>
      <c r="AC157" t="inlineStr">
        <is>
          <t>1天生产</t>
        </is>
      </c>
    </row>
    <row r="158">
      <c r="A158" s="18" t="inlineStr">
        <is>
          <t>FL-CLH-11</t>
        </is>
      </c>
      <c r="B158" s="18" t="inlineStr">
        <is>
          <t>PR11</t>
        </is>
      </c>
      <c r="C158" s="18" t="inlineStr">
        <is>
          <t>热量（清洗）</t>
        </is>
      </c>
      <c r="D158" s="18" t="inlineStr">
        <is>
          <t>能源</t>
        </is>
      </c>
      <c r="E158" s="18" t="inlineStr">
        <is>
          <t>输入</t>
        </is>
      </c>
      <c r="F158" s="18" t="n"/>
      <c r="G158" s="18" t="inlineStr">
        <is>
          <t>PR11</t>
        </is>
      </c>
      <c r="H158" s="18" t="inlineStr">
        <is>
          <t>physical_energy</t>
        </is>
      </c>
      <c r="I158" s="51" t="n">
        <v>1375.2</v>
      </c>
      <c r="J158" s="18" t="inlineStr">
        <is>
          <t>MJ/d</t>
        </is>
      </c>
      <c r="K158" s="18" t="inlineStr">
        <is>
          <t>1天</t>
        </is>
      </c>
      <c r="L158" s="18" t="n"/>
      <c r="M158" s="18" t="n"/>
      <c r="N158" s="18" t="n"/>
      <c r="O158" s="18" t="n"/>
      <c r="P158" s="52" t="n">
        <v>1375.2</v>
      </c>
      <c r="Q158" s="18" t="inlineStr">
        <is>
          <t>MJ/d</t>
        </is>
      </c>
      <c r="R158" s="18" t="inlineStr">
        <is>
          <t>+</t>
        </is>
      </c>
      <c r="S158" s="18" t="inlineStr">
        <is>
          <t>否</t>
        </is>
      </c>
      <c r="T158" s="18" t="inlineStr">
        <is>
          <t>来源原始清单（未分配）</t>
        </is>
      </c>
      <c r="U158" s="18" t="inlineStr">
        <is>
          <t>SRC-RAW</t>
        </is>
      </c>
      <c r="V158" s="18" t="inlineStr">
        <is>
          <t>已审查</t>
        </is>
      </c>
      <c r="W158" s="18" t="inlineStr">
        <is>
          <t>是</t>
        </is>
      </c>
      <c r="X158" s="18" t="inlineStr">
        <is>
          <t>PR11 清洗热耗 1375.2</t>
        </is>
      </c>
      <c r="Y158" s="18" t="inlineStr">
        <is>
          <t>CIP</t>
        </is>
      </c>
      <c r="Z158" t="inlineStr">
        <is>
          <t>CT-CLH-11</t>
        </is>
      </c>
      <c r="AA158" t="inlineStr">
        <is>
          <t>直接报告</t>
        </is>
      </c>
      <c r="AB158" t="inlineStr">
        <is>
          <t>1天生产</t>
        </is>
      </c>
      <c r="AC158" t="inlineStr">
        <is>
          <t>1天生产</t>
        </is>
      </c>
    </row>
    <row r="159">
      <c r="A159" s="18" t="inlineStr">
        <is>
          <t>FL-CLW-11</t>
        </is>
      </c>
      <c r="B159" s="18" t="inlineStr">
        <is>
          <t>PR11</t>
        </is>
      </c>
      <c r="C159" s="18" t="inlineStr">
        <is>
          <t>PR11 清洗水</t>
        </is>
      </c>
      <c r="D159" s="18" t="inlineStr">
        <is>
          <t>物理流</t>
        </is>
      </c>
      <c r="E159" s="18" t="inlineStr">
        <is>
          <t>输入</t>
        </is>
      </c>
      <c r="F159" s="18" t="n"/>
      <c r="G159" s="18" t="inlineStr">
        <is>
          <t>PR11</t>
        </is>
      </c>
      <c r="H159" s="18" t="inlineStr">
        <is>
          <t>physical_material</t>
        </is>
      </c>
      <c r="I159" s="51" t="n">
        <v>24</v>
      </c>
      <c r="J159" s="18" t="inlineStr">
        <is>
          <t>m3/d</t>
        </is>
      </c>
      <c r="K159" s="18" t="inlineStr">
        <is>
          <t>1天</t>
        </is>
      </c>
      <c r="L159" s="18" t="n"/>
      <c r="M159" s="18" t="n"/>
      <c r="N159" s="18" t="n"/>
      <c r="O159" s="18" t="n"/>
      <c r="P159" s="52" t="n">
        <v>24</v>
      </c>
      <c r="Q159" s="18" t="inlineStr">
        <is>
          <t>m3/d</t>
        </is>
      </c>
      <c r="R159" s="18" t="inlineStr">
        <is>
          <t>+</t>
        </is>
      </c>
      <c r="S159" s="18" t="inlineStr">
        <is>
          <t>否</t>
        </is>
      </c>
      <c r="T159" s="18" t="inlineStr">
        <is>
          <t>来源原始清单（未分配）</t>
        </is>
      </c>
      <c r="U159" s="18" t="inlineStr">
        <is>
          <t>SRC-RAW</t>
        </is>
      </c>
      <c r="V159" s="18" t="inlineStr">
        <is>
          <t>已审查</t>
        </is>
      </c>
      <c r="W159" s="18" t="inlineStr">
        <is>
          <t>否</t>
        </is>
      </c>
      <c r="X159" s="18" t="inlineStr">
        <is>
          <t>PR11 清洗水 24.0</t>
        </is>
      </c>
      <c r="Y159" s="18" t="inlineStr"/>
      <c r="Z159" t="inlineStr">
        <is>
          <t>CT-CLW-11</t>
        </is>
      </c>
      <c r="AA159" t="inlineStr">
        <is>
          <t>直接报告</t>
        </is>
      </c>
      <c r="AB159" t="inlineStr">
        <is>
          <t>1天生产</t>
        </is>
      </c>
      <c r="AC159" t="inlineStr">
        <is>
          <t>1天生产</t>
        </is>
      </c>
    </row>
    <row r="160">
      <c r="A160" s="18" t="inlineStr">
        <is>
          <t>FL-CLC-11A</t>
        </is>
      </c>
      <c r="B160" s="18" t="inlineStr">
        <is>
          <t>PR11</t>
        </is>
      </c>
      <c r="C160" s="18" t="inlineStr">
        <is>
          <t>PR11 清洗剂NaOH</t>
        </is>
      </c>
      <c r="D160" s="18" t="inlineStr">
        <is>
          <t>物理流</t>
        </is>
      </c>
      <c r="E160" s="18" t="inlineStr">
        <is>
          <t>输入</t>
        </is>
      </c>
      <c r="F160" s="18" t="n"/>
      <c r="G160" s="18" t="inlineStr">
        <is>
          <t>PR11</t>
        </is>
      </c>
      <c r="H160" s="18" t="inlineStr">
        <is>
          <t>physical_material</t>
        </is>
      </c>
      <c r="I160" s="51" t="n">
        <v>0</v>
      </c>
      <c r="J160" s="18" t="inlineStr">
        <is>
          <t>kg/d</t>
        </is>
      </c>
      <c r="K160" s="18" t="inlineStr">
        <is>
          <t>1天</t>
        </is>
      </c>
      <c r="L160" s="18" t="n"/>
      <c r="M160" s="18" t="n"/>
      <c r="N160" s="18" t="n"/>
      <c r="O160" s="18" t="n"/>
      <c r="P160" s="52" t="n">
        <v>0</v>
      </c>
      <c r="Q160" s="18" t="inlineStr">
        <is>
          <t>kg/d</t>
        </is>
      </c>
      <c r="R160" s="18" t="inlineStr">
        <is>
          <t>+</t>
        </is>
      </c>
      <c r="S160" s="18" t="inlineStr">
        <is>
          <t>否</t>
        </is>
      </c>
      <c r="T160" s="18" t="inlineStr">
        <is>
          <t>来源原始清单（未分配）</t>
        </is>
      </c>
      <c r="U160" s="18" t="inlineStr">
        <is>
          <t>SRC-RAW</t>
        </is>
      </c>
      <c r="V160" s="18" t="inlineStr">
        <is>
          <t>已审查</t>
        </is>
      </c>
      <c r="W160" s="18" t="inlineStr">
        <is>
          <t>否</t>
        </is>
      </c>
      <c r="X160" s="18" t="inlineStr">
        <is>
          <t>PR11 清洗剂NaOH 0.0</t>
        </is>
      </c>
      <c r="Y160" s="18" t="inlineStr">
        <is>
          <t>CIP清洗剂</t>
        </is>
      </c>
      <c r="Z160" t="inlineStr">
        <is>
          <t>CT-CLC-11A</t>
        </is>
      </c>
      <c r="AA160" t="inlineStr">
        <is>
          <t>直接报告</t>
        </is>
      </c>
      <c r="AB160" t="inlineStr">
        <is>
          <t>1天生产</t>
        </is>
      </c>
      <c r="AC160" t="inlineStr">
        <is>
          <t>1天生产</t>
        </is>
      </c>
    </row>
    <row r="161">
      <c r="A161" s="18" t="inlineStr">
        <is>
          <t>FL-CLC-11B</t>
        </is>
      </c>
      <c r="B161" s="18" t="inlineStr">
        <is>
          <t>PR11</t>
        </is>
      </c>
      <c r="C161" s="18" t="inlineStr">
        <is>
          <t>PR11 清洗剂HNO3</t>
        </is>
      </c>
      <c r="D161" s="18" t="inlineStr">
        <is>
          <t>物理流</t>
        </is>
      </c>
      <c r="E161" s="18" t="inlineStr">
        <is>
          <t>输入</t>
        </is>
      </c>
      <c r="F161" s="18" t="n"/>
      <c r="G161" s="18" t="inlineStr">
        <is>
          <t>PR11</t>
        </is>
      </c>
      <c r="H161" s="18" t="inlineStr">
        <is>
          <t>physical_material</t>
        </is>
      </c>
      <c r="I161" s="51" t="n">
        <v>0</v>
      </c>
      <c r="J161" s="18" t="inlineStr">
        <is>
          <t>kg/d</t>
        </is>
      </c>
      <c r="K161" s="18" t="inlineStr">
        <is>
          <t>1天</t>
        </is>
      </c>
      <c r="L161" s="18" t="n"/>
      <c r="M161" s="18" t="n"/>
      <c r="N161" s="18" t="n"/>
      <c r="O161" s="18" t="n"/>
      <c r="P161" s="52" t="n">
        <v>0</v>
      </c>
      <c r="Q161" s="18" t="inlineStr">
        <is>
          <t>kg/d</t>
        </is>
      </c>
      <c r="R161" s="18" t="inlineStr">
        <is>
          <t>+</t>
        </is>
      </c>
      <c r="S161" s="18" t="inlineStr">
        <is>
          <t>否</t>
        </is>
      </c>
      <c r="T161" s="18" t="inlineStr">
        <is>
          <t>来源原始清单（未分配）</t>
        </is>
      </c>
      <c r="U161" s="18" t="inlineStr">
        <is>
          <t>SRC-RAW</t>
        </is>
      </c>
      <c r="V161" s="18" t="inlineStr">
        <is>
          <t>已审查</t>
        </is>
      </c>
      <c r="W161" s="18" t="inlineStr">
        <is>
          <t>否</t>
        </is>
      </c>
      <c r="X161" s="18" t="inlineStr">
        <is>
          <t>PR11 清洗剂HNO3 0.0</t>
        </is>
      </c>
      <c r="Y161" s="18" t="inlineStr">
        <is>
          <t>CIP清洗剂</t>
        </is>
      </c>
      <c r="Z161" t="inlineStr">
        <is>
          <t>CT-CLC-11B</t>
        </is>
      </c>
      <c r="AA161" t="inlineStr">
        <is>
          <t>直接报告</t>
        </is>
      </c>
      <c r="AB161" t="inlineStr">
        <is>
          <t>1天生产</t>
        </is>
      </c>
      <c r="AC161" t="inlineStr">
        <is>
          <t>1天生产</t>
        </is>
      </c>
    </row>
    <row r="162">
      <c r="A162" s="18" t="inlineStr">
        <is>
          <t>FL-CLC-11C</t>
        </is>
      </c>
      <c r="B162" s="18" t="inlineStr">
        <is>
          <t>PR11</t>
        </is>
      </c>
      <c r="C162" s="18" t="inlineStr">
        <is>
          <t>PR11 清洗剂NaOCl</t>
        </is>
      </c>
      <c r="D162" s="18" t="inlineStr">
        <is>
          <t>物理流</t>
        </is>
      </c>
      <c r="E162" s="18" t="inlineStr">
        <is>
          <t>输入</t>
        </is>
      </c>
      <c r="F162" s="18" t="n"/>
      <c r="G162" s="18" t="inlineStr">
        <is>
          <t>PR11</t>
        </is>
      </c>
      <c r="H162" s="18" t="inlineStr">
        <is>
          <t>physical_material</t>
        </is>
      </c>
      <c r="I162" s="51" t="n">
        <v>0</v>
      </c>
      <c r="J162" s="18" t="inlineStr">
        <is>
          <t>kg/d</t>
        </is>
      </c>
      <c r="K162" s="18" t="inlineStr">
        <is>
          <t>1天</t>
        </is>
      </c>
      <c r="L162" s="18" t="n"/>
      <c r="M162" s="18" t="n"/>
      <c r="N162" s="18" t="n"/>
      <c r="O162" s="18" t="n"/>
      <c r="P162" s="52" t="n">
        <v>0</v>
      </c>
      <c r="Q162" s="18" t="inlineStr">
        <is>
          <t>kg/d</t>
        </is>
      </c>
      <c r="R162" s="18" t="inlineStr">
        <is>
          <t>+</t>
        </is>
      </c>
      <c r="S162" s="18" t="inlineStr">
        <is>
          <t>否</t>
        </is>
      </c>
      <c r="T162" s="18" t="inlineStr">
        <is>
          <t>来源原始清单（未分配）</t>
        </is>
      </c>
      <c r="U162" s="18" t="inlineStr">
        <is>
          <t>SRC-RAW</t>
        </is>
      </c>
      <c r="V162" s="18" t="inlineStr">
        <is>
          <t>已审查</t>
        </is>
      </c>
      <c r="W162" s="18" t="inlineStr">
        <is>
          <t>否</t>
        </is>
      </c>
      <c r="X162" s="18" t="inlineStr">
        <is>
          <t>PR11 清洗剂NaOCl 0.0</t>
        </is>
      </c>
      <c r="Y162" s="18" t="inlineStr">
        <is>
          <t>CIP清洗剂</t>
        </is>
      </c>
      <c r="Z162" t="inlineStr">
        <is>
          <t>CT-CLC-11C</t>
        </is>
      </c>
      <c r="AA162" t="inlineStr">
        <is>
          <t>直接报告</t>
        </is>
      </c>
      <c r="AB162" t="inlineStr">
        <is>
          <t>1天生产</t>
        </is>
      </c>
      <c r="AC162" t="inlineStr">
        <is>
          <t>1天生产</t>
        </is>
      </c>
    </row>
    <row r="163">
      <c r="A163" s="18" t="inlineStr">
        <is>
          <t>FL-CLC-11D</t>
        </is>
      </c>
      <c r="B163" s="18" t="inlineStr">
        <is>
          <t>PR11</t>
        </is>
      </c>
      <c r="C163" s="18" t="inlineStr">
        <is>
          <t>PR11 清洗剂Phosphoc acid</t>
        </is>
      </c>
      <c r="D163" s="18" t="inlineStr">
        <is>
          <t>物理流</t>
        </is>
      </c>
      <c r="E163" s="18" t="inlineStr">
        <is>
          <t>输入</t>
        </is>
      </c>
      <c r="F163" s="18" t="n"/>
      <c r="G163" s="18" t="inlineStr">
        <is>
          <t>PR11</t>
        </is>
      </c>
      <c r="H163" s="18" t="inlineStr">
        <is>
          <t>physical_material</t>
        </is>
      </c>
      <c r="I163" s="51" t="n">
        <v>0</v>
      </c>
      <c r="J163" s="18" t="inlineStr">
        <is>
          <t>kg/d</t>
        </is>
      </c>
      <c r="K163" s="18" t="inlineStr">
        <is>
          <t>1天</t>
        </is>
      </c>
      <c r="L163" s="18" t="n"/>
      <c r="M163" s="18" t="n"/>
      <c r="N163" s="18" t="n"/>
      <c r="O163" s="18" t="n"/>
      <c r="P163" s="52" t="n">
        <v>0</v>
      </c>
      <c r="Q163" s="18" t="inlineStr">
        <is>
          <t>kg/d</t>
        </is>
      </c>
      <c r="R163" s="18" t="inlineStr">
        <is>
          <t>+</t>
        </is>
      </c>
      <c r="S163" s="18" t="inlineStr">
        <is>
          <t>否</t>
        </is>
      </c>
      <c r="T163" s="18" t="inlineStr">
        <is>
          <t>来源原始清单（未分配）</t>
        </is>
      </c>
      <c r="U163" s="18" t="inlineStr">
        <is>
          <t>SRC-RAW</t>
        </is>
      </c>
      <c r="V163" s="18" t="inlineStr">
        <is>
          <t>已审查</t>
        </is>
      </c>
      <c r="W163" s="18" t="inlineStr">
        <is>
          <t>否</t>
        </is>
      </c>
      <c r="X163" s="18" t="inlineStr">
        <is>
          <t>PR11 清洗剂Phosphoc acid 0.0</t>
        </is>
      </c>
      <c r="Y163" s="18" t="inlineStr">
        <is>
          <t>CIP清洗剂</t>
        </is>
      </c>
      <c r="Z163" t="inlineStr">
        <is>
          <t>CT-CLC-11D</t>
        </is>
      </c>
      <c r="AA163" t="inlineStr">
        <is>
          <t>直接报告</t>
        </is>
      </c>
      <c r="AB163" t="inlineStr">
        <is>
          <t>1天生产</t>
        </is>
      </c>
      <c r="AC163" t="inlineStr">
        <is>
          <t>1天生产</t>
        </is>
      </c>
    </row>
    <row r="164">
      <c r="A164" s="18" t="inlineStr">
        <is>
          <t>FL-CLC-11E</t>
        </is>
      </c>
      <c r="B164" s="18" t="inlineStr">
        <is>
          <t>PR11</t>
        </is>
      </c>
      <c r="C164" s="18" t="inlineStr">
        <is>
          <t>PR11 清洗剂surfactant</t>
        </is>
      </c>
      <c r="D164" s="18" t="inlineStr">
        <is>
          <t>物理流</t>
        </is>
      </c>
      <c r="E164" s="18" t="inlineStr">
        <is>
          <t>输入</t>
        </is>
      </c>
      <c r="F164" s="18" t="n"/>
      <c r="G164" s="18" t="inlineStr">
        <is>
          <t>PR11</t>
        </is>
      </c>
      <c r="H164" s="18" t="inlineStr">
        <is>
          <t>physical_material</t>
        </is>
      </c>
      <c r="I164" s="51" t="n">
        <v>3</v>
      </c>
      <c r="J164" s="18" t="inlineStr">
        <is>
          <t>kg/d</t>
        </is>
      </c>
      <c r="K164" s="18" t="inlineStr">
        <is>
          <t>1天</t>
        </is>
      </c>
      <c r="L164" s="18" t="n"/>
      <c r="M164" s="18" t="n"/>
      <c r="N164" s="18" t="n"/>
      <c r="O164" s="18" t="n"/>
      <c r="P164" s="52" t="n">
        <v>3</v>
      </c>
      <c r="Q164" s="18" t="inlineStr">
        <is>
          <t>kg/d</t>
        </is>
      </c>
      <c r="R164" s="18" t="inlineStr">
        <is>
          <t>+</t>
        </is>
      </c>
      <c r="S164" s="18" t="inlineStr">
        <is>
          <t>否</t>
        </is>
      </c>
      <c r="T164" s="18" t="inlineStr">
        <is>
          <t>来源原始清单（未分配）</t>
        </is>
      </c>
      <c r="U164" s="18" t="inlineStr">
        <is>
          <t>SRC-RAW</t>
        </is>
      </c>
      <c r="V164" s="18" t="inlineStr">
        <is>
          <t>已审查</t>
        </is>
      </c>
      <c r="W164" s="18" t="inlineStr">
        <is>
          <t>否</t>
        </is>
      </c>
      <c r="X164" s="18" t="inlineStr">
        <is>
          <t>PR11 清洗剂surfactant 3.0</t>
        </is>
      </c>
      <c r="Y164" s="18" t="inlineStr">
        <is>
          <t>CIP清洗剂</t>
        </is>
      </c>
      <c r="Z164" t="inlineStr">
        <is>
          <t>CT-CLC-11E</t>
        </is>
      </c>
      <c r="AA164" t="inlineStr">
        <is>
          <t>直接报告</t>
        </is>
      </c>
      <c r="AB164" t="inlineStr">
        <is>
          <t>1天生产</t>
        </is>
      </c>
      <c r="AC164" t="inlineStr">
        <is>
          <t>1天生产</t>
        </is>
      </c>
    </row>
    <row r="165">
      <c r="A165" s="18" t="inlineStr">
        <is>
          <t>FL-CLC-11F</t>
        </is>
      </c>
      <c r="B165" s="18" t="inlineStr">
        <is>
          <t>PR11</t>
        </is>
      </c>
      <c r="C165" s="18" t="inlineStr">
        <is>
          <t>PR11 清洗剂Other acid</t>
        </is>
      </c>
      <c r="D165" s="18" t="inlineStr">
        <is>
          <t>物理流</t>
        </is>
      </c>
      <c r="E165" s="18" t="inlineStr">
        <is>
          <t>输入</t>
        </is>
      </c>
      <c r="F165" s="18" t="n"/>
      <c r="G165" s="18" t="inlineStr">
        <is>
          <t>PR11</t>
        </is>
      </c>
      <c r="H165" s="18" t="inlineStr">
        <is>
          <t>physical_material</t>
        </is>
      </c>
      <c r="I165" s="51" t="n">
        <v>5</v>
      </c>
      <c r="J165" s="18" t="inlineStr">
        <is>
          <t>kg/d</t>
        </is>
      </c>
      <c r="K165" s="18" t="inlineStr">
        <is>
          <t>1天</t>
        </is>
      </c>
      <c r="L165" s="18" t="n"/>
      <c r="M165" s="18" t="n"/>
      <c r="N165" s="18" t="n"/>
      <c r="O165" s="18" t="n"/>
      <c r="P165" s="52" t="n">
        <v>5</v>
      </c>
      <c r="Q165" s="18" t="inlineStr">
        <is>
          <t>kg/d</t>
        </is>
      </c>
      <c r="R165" s="18" t="inlineStr">
        <is>
          <t>+</t>
        </is>
      </c>
      <c r="S165" s="18" t="inlineStr">
        <is>
          <t>否</t>
        </is>
      </c>
      <c r="T165" s="18" t="inlineStr">
        <is>
          <t>来源原始清单（未分配）</t>
        </is>
      </c>
      <c r="U165" s="18" t="inlineStr">
        <is>
          <t>SRC-RAW</t>
        </is>
      </c>
      <c r="V165" s="18" t="inlineStr">
        <is>
          <t>已审查</t>
        </is>
      </c>
      <c r="W165" s="18" t="inlineStr">
        <is>
          <t>否</t>
        </is>
      </c>
      <c r="X165" s="18" t="inlineStr">
        <is>
          <t>PR11 清洗剂Other acid 5.0</t>
        </is>
      </c>
      <c r="Y165" s="18" t="inlineStr">
        <is>
          <t>CIP清洗剂</t>
        </is>
      </c>
      <c r="Z165" t="inlineStr">
        <is>
          <t>CT-CLC-11F</t>
        </is>
      </c>
      <c r="AA165" t="inlineStr">
        <is>
          <t>直接报告</t>
        </is>
      </c>
      <c r="AB165" t="inlineStr">
        <is>
          <t>1天生产</t>
        </is>
      </c>
      <c r="AC165" t="inlineStr">
        <is>
          <t>1天生产</t>
        </is>
      </c>
    </row>
    <row r="166">
      <c r="A166" s="18" t="inlineStr">
        <is>
          <t>FL-CLCOD-11</t>
        </is>
      </c>
      <c r="B166" s="18" t="inlineStr">
        <is>
          <t>PR11</t>
        </is>
      </c>
      <c r="C166" s="18" t="inlineStr">
        <is>
          <t>PR11 清洗废水COD</t>
        </is>
      </c>
      <c r="D166" s="18" t="inlineStr">
        <is>
          <t>环境交换</t>
        </is>
      </c>
      <c r="E166" s="18" t="inlineStr">
        <is>
          <t>输入</t>
        </is>
      </c>
      <c r="F166" s="18" t="n"/>
      <c r="G166" s="18" t="inlineStr">
        <is>
          <t>PR11</t>
        </is>
      </c>
      <c r="H166" s="18" t="inlineStr">
        <is>
          <t>environment_exchange</t>
        </is>
      </c>
      <c r="I166" s="51" t="n">
        <v>4</v>
      </c>
      <c r="J166" s="18" t="inlineStr">
        <is>
          <t>kg_COD/d</t>
        </is>
      </c>
      <c r="K166" s="18" t="inlineStr">
        <is>
          <t>1天</t>
        </is>
      </c>
      <c r="L166" s="18" t="n"/>
      <c r="M166" s="18" t="n"/>
      <c r="N166" s="18" t="n"/>
      <c r="O166" s="18" t="n"/>
      <c r="P166" s="52" t="n">
        <v>4</v>
      </c>
      <c r="Q166" s="18" t="inlineStr">
        <is>
          <t>kg_COD/d</t>
        </is>
      </c>
      <c r="R166" s="18" t="inlineStr">
        <is>
          <t>+</t>
        </is>
      </c>
      <c r="S166" s="18" t="inlineStr">
        <is>
          <t>否</t>
        </is>
      </c>
      <c r="T166" s="18" t="inlineStr">
        <is>
          <t>来源原始清单（未分配）</t>
        </is>
      </c>
      <c r="U166" s="18" t="inlineStr">
        <is>
          <t>SRC-RAW</t>
        </is>
      </c>
      <c r="V166" s="18" t="inlineStr">
        <is>
          <t>已审查</t>
        </is>
      </c>
      <c r="W166" s="18" t="inlineStr">
        <is>
          <t>否</t>
        </is>
      </c>
      <c r="X166" s="18" t="inlineStr">
        <is>
          <t>PR11 清洗废水COD 4.0</t>
        </is>
      </c>
      <c r="Y166" s="18" t="inlineStr"/>
      <c r="Z166" t="inlineStr">
        <is>
          <t>CT-CLCOD-11</t>
        </is>
      </c>
      <c r="AA166" t="inlineStr">
        <is>
          <t>直接报告</t>
        </is>
      </c>
      <c r="AB166" t="inlineStr">
        <is>
          <t>1天生产</t>
        </is>
      </c>
      <c r="AC166" t="inlineStr">
        <is>
          <t>1天生产</t>
        </is>
      </c>
    </row>
    <row r="167">
      <c r="A167" s="18" t="inlineStr">
        <is>
          <t>FL-CLDM-11</t>
        </is>
      </c>
      <c r="B167" s="18" t="inlineStr">
        <is>
          <t>PR11</t>
        </is>
      </c>
      <c r="C167" s="18" t="inlineStr">
        <is>
          <t>PR11 清洗废水干物质</t>
        </is>
      </c>
      <c r="D167" s="18" t="inlineStr">
        <is>
          <t>环境交换</t>
        </is>
      </c>
      <c r="E167" s="18" t="inlineStr">
        <is>
          <t>输入</t>
        </is>
      </c>
      <c r="F167" s="18" t="n"/>
      <c r="G167" s="18" t="inlineStr">
        <is>
          <t>PR11</t>
        </is>
      </c>
      <c r="H167" s="18" t="inlineStr">
        <is>
          <t>environment_exchange</t>
        </is>
      </c>
      <c r="I167" s="51" t="n">
        <v>4.68</v>
      </c>
      <c r="J167" s="18" t="inlineStr">
        <is>
          <t>kg/d</t>
        </is>
      </c>
      <c r="K167" s="18" t="inlineStr">
        <is>
          <t>1天</t>
        </is>
      </c>
      <c r="L167" s="18" t="n"/>
      <c r="M167" s="18" t="n"/>
      <c r="N167" s="18" t="n"/>
      <c r="O167" s="18" t="n"/>
      <c r="P167" s="52" t="n">
        <v>4.68</v>
      </c>
      <c r="Q167" s="18" t="inlineStr">
        <is>
          <t>kg/d</t>
        </is>
      </c>
      <c r="R167" s="18" t="inlineStr">
        <is>
          <t>+</t>
        </is>
      </c>
      <c r="S167" s="18" t="inlineStr">
        <is>
          <t>否</t>
        </is>
      </c>
      <c r="T167" s="18" t="inlineStr">
        <is>
          <t>来源原始清单（未分配）</t>
        </is>
      </c>
      <c r="U167" s="18" t="inlineStr">
        <is>
          <t>SRC-RAW</t>
        </is>
      </c>
      <c r="V167" s="18" t="inlineStr">
        <is>
          <t>已审查</t>
        </is>
      </c>
      <c r="W167" s="18" t="inlineStr">
        <is>
          <t>否</t>
        </is>
      </c>
      <c r="X167" s="18" t="inlineStr">
        <is>
          <t>PR11 清洗废水干物质 4.68</t>
        </is>
      </c>
      <c r="Y167" s="18" t="inlineStr"/>
      <c r="Z167" t="inlineStr">
        <is>
          <t>CT-CLDM-11</t>
        </is>
      </c>
      <c r="AA167" t="inlineStr">
        <is>
          <t>直接报告</t>
        </is>
      </c>
      <c r="AB167" t="inlineStr">
        <is>
          <t>1天生产</t>
        </is>
      </c>
      <c r="AC167" t="inlineStr">
        <is>
          <t>1天生产</t>
        </is>
      </c>
    </row>
    <row r="168">
      <c r="A168" s="18" t="inlineStr">
        <is>
          <t>FL-CLE-12</t>
        </is>
      </c>
      <c r="B168" s="18" t="inlineStr">
        <is>
          <t>PR12</t>
        </is>
      </c>
      <c r="C168" s="18" t="inlineStr">
        <is>
          <t>电力（清洗）</t>
        </is>
      </c>
      <c r="D168" s="18" t="inlineStr">
        <is>
          <t>能源</t>
        </is>
      </c>
      <c r="E168" s="18" t="inlineStr">
        <is>
          <t>输入</t>
        </is>
      </c>
      <c r="F168" s="18" t="n"/>
      <c r="G168" s="18" t="inlineStr">
        <is>
          <t>PR12</t>
        </is>
      </c>
      <c r="H168" s="18" t="inlineStr">
        <is>
          <t>physical_energy</t>
        </is>
      </c>
      <c r="I168" s="51" t="n">
        <v>19</v>
      </c>
      <c r="J168" s="18" t="inlineStr">
        <is>
          <t>kWh/d</t>
        </is>
      </c>
      <c r="K168" s="18" t="inlineStr">
        <is>
          <t>1天</t>
        </is>
      </c>
      <c r="L168" s="18" t="n"/>
      <c r="M168" s="18" t="n"/>
      <c r="N168" s="18" t="n"/>
      <c r="O168" s="18" t="n"/>
      <c r="P168" s="52" t="n">
        <v>19</v>
      </c>
      <c r="Q168" s="18" t="inlineStr">
        <is>
          <t>kWh/d</t>
        </is>
      </c>
      <c r="R168" s="18" t="inlineStr">
        <is>
          <t>+</t>
        </is>
      </c>
      <c r="S168" s="18" t="inlineStr">
        <is>
          <t>否</t>
        </is>
      </c>
      <c r="T168" s="18" t="inlineStr">
        <is>
          <t>来源原始清单（未分配）</t>
        </is>
      </c>
      <c r="U168" s="18" t="inlineStr">
        <is>
          <t>SRC-RAW</t>
        </is>
      </c>
      <c r="V168" s="18" t="inlineStr">
        <is>
          <t>已审查</t>
        </is>
      </c>
      <c r="W168" s="18" t="inlineStr">
        <is>
          <t>是</t>
        </is>
      </c>
      <c r="X168" s="18" t="inlineStr">
        <is>
          <t>PR12 清洗电耗 19.0</t>
        </is>
      </c>
      <c r="Y168" s="18" t="inlineStr">
        <is>
          <t>CIP</t>
        </is>
      </c>
      <c r="Z168" t="inlineStr">
        <is>
          <t>CT-CLE-12</t>
        </is>
      </c>
      <c r="AA168" t="inlineStr">
        <is>
          <t>直接报告</t>
        </is>
      </c>
      <c r="AB168" t="inlineStr">
        <is>
          <t>1天生产</t>
        </is>
      </c>
      <c r="AC168" t="inlineStr">
        <is>
          <t>1天生产</t>
        </is>
      </c>
    </row>
    <row r="169">
      <c r="A169" s="18" t="inlineStr">
        <is>
          <t>FL-CLH-12</t>
        </is>
      </c>
      <c r="B169" s="18" t="inlineStr">
        <is>
          <t>PR12</t>
        </is>
      </c>
      <c r="C169" s="18" t="inlineStr">
        <is>
          <t>热量（清洗）</t>
        </is>
      </c>
      <c r="D169" s="18" t="inlineStr">
        <is>
          <t>能源</t>
        </is>
      </c>
      <c r="E169" s="18" t="inlineStr">
        <is>
          <t>输入</t>
        </is>
      </c>
      <c r="F169" s="18" t="n"/>
      <c r="G169" s="18" t="inlineStr">
        <is>
          <t>PR12</t>
        </is>
      </c>
      <c r="H169" s="18" t="inlineStr">
        <is>
          <t>physical_energy</t>
        </is>
      </c>
      <c r="I169" s="51" t="n">
        <v>417.6</v>
      </c>
      <c r="J169" s="18" t="inlineStr">
        <is>
          <t>MJ/d</t>
        </is>
      </c>
      <c r="K169" s="18" t="inlineStr">
        <is>
          <t>1天</t>
        </is>
      </c>
      <c r="L169" s="18" t="n"/>
      <c r="M169" s="18" t="n"/>
      <c r="N169" s="18" t="n"/>
      <c r="O169" s="18" t="n"/>
      <c r="P169" s="52" t="n">
        <v>417.6</v>
      </c>
      <c r="Q169" s="18" t="inlineStr">
        <is>
          <t>MJ/d</t>
        </is>
      </c>
      <c r="R169" s="18" t="inlineStr">
        <is>
          <t>+</t>
        </is>
      </c>
      <c r="S169" s="18" t="inlineStr">
        <is>
          <t>否</t>
        </is>
      </c>
      <c r="T169" s="18" t="inlineStr">
        <is>
          <t>来源原始清单（未分配）</t>
        </is>
      </c>
      <c r="U169" s="18" t="inlineStr">
        <is>
          <t>SRC-RAW</t>
        </is>
      </c>
      <c r="V169" s="18" t="inlineStr">
        <is>
          <t>已审查</t>
        </is>
      </c>
      <c r="W169" s="18" t="inlineStr">
        <is>
          <t>是</t>
        </is>
      </c>
      <c r="X169" s="18" t="inlineStr">
        <is>
          <t>PR12 清洗热耗 417.6</t>
        </is>
      </c>
      <c r="Y169" s="18" t="inlineStr">
        <is>
          <t>CIP</t>
        </is>
      </c>
      <c r="Z169" t="inlineStr">
        <is>
          <t>CT-CLH-12</t>
        </is>
      </c>
      <c r="AA169" t="inlineStr">
        <is>
          <t>直接报告</t>
        </is>
      </c>
      <c r="AB169" t="inlineStr">
        <is>
          <t>1天生产</t>
        </is>
      </c>
      <c r="AC169" t="inlineStr">
        <is>
          <t>1天生产</t>
        </is>
      </c>
    </row>
    <row r="170">
      <c r="A170" s="18" t="inlineStr">
        <is>
          <t>FL-CLW-12</t>
        </is>
      </c>
      <c r="B170" s="18" t="inlineStr">
        <is>
          <t>PR12</t>
        </is>
      </c>
      <c r="C170" s="18" t="inlineStr">
        <is>
          <t>PR12 清洗水</t>
        </is>
      </c>
      <c r="D170" s="18" t="inlineStr">
        <is>
          <t>物理流</t>
        </is>
      </c>
      <c r="E170" s="18" t="inlineStr">
        <is>
          <t>输入</t>
        </is>
      </c>
      <c r="F170" s="18" t="n"/>
      <c r="G170" s="18" t="inlineStr">
        <is>
          <t>PR12</t>
        </is>
      </c>
      <c r="H170" s="18" t="inlineStr">
        <is>
          <t>physical_material</t>
        </is>
      </c>
      <c r="I170" s="51" t="n">
        <v>7.5</v>
      </c>
      <c r="J170" s="18" t="inlineStr">
        <is>
          <t>m3/d</t>
        </is>
      </c>
      <c r="K170" s="18" t="inlineStr">
        <is>
          <t>1天</t>
        </is>
      </c>
      <c r="L170" s="18" t="n"/>
      <c r="M170" s="18" t="n"/>
      <c r="N170" s="18" t="n"/>
      <c r="O170" s="18" t="n"/>
      <c r="P170" s="52" t="n">
        <v>7.5</v>
      </c>
      <c r="Q170" s="18" t="inlineStr">
        <is>
          <t>m3/d</t>
        </is>
      </c>
      <c r="R170" s="18" t="inlineStr">
        <is>
          <t>+</t>
        </is>
      </c>
      <c r="S170" s="18" t="inlineStr">
        <is>
          <t>否</t>
        </is>
      </c>
      <c r="T170" s="18" t="inlineStr">
        <is>
          <t>来源原始清单（未分配）</t>
        </is>
      </c>
      <c r="U170" s="18" t="inlineStr">
        <is>
          <t>SRC-RAW</t>
        </is>
      </c>
      <c r="V170" s="18" t="inlineStr">
        <is>
          <t>已审查</t>
        </is>
      </c>
      <c r="W170" s="18" t="inlineStr">
        <is>
          <t>否</t>
        </is>
      </c>
      <c r="X170" s="18" t="inlineStr">
        <is>
          <t>PR12 清洗水 7.5</t>
        </is>
      </c>
      <c r="Y170" s="18" t="inlineStr"/>
      <c r="Z170" t="inlineStr">
        <is>
          <t>CT-CLW-12</t>
        </is>
      </c>
      <c r="AA170" t="inlineStr">
        <is>
          <t>直接报告</t>
        </is>
      </c>
      <c r="AB170" t="inlineStr">
        <is>
          <t>1天生产</t>
        </is>
      </c>
      <c r="AC170" t="inlineStr">
        <is>
          <t>1天生产</t>
        </is>
      </c>
    </row>
    <row r="171">
      <c r="A171" s="18" t="inlineStr">
        <is>
          <t>FL-CLC-12A</t>
        </is>
      </c>
      <c r="B171" s="18" t="inlineStr">
        <is>
          <t>PR12</t>
        </is>
      </c>
      <c r="C171" s="18" t="inlineStr">
        <is>
          <t>PR12 清洗剂NaOH</t>
        </is>
      </c>
      <c r="D171" s="18" t="inlineStr">
        <is>
          <t>物理流</t>
        </is>
      </c>
      <c r="E171" s="18" t="inlineStr">
        <is>
          <t>输入</t>
        </is>
      </c>
      <c r="F171" s="18" t="n"/>
      <c r="G171" s="18" t="inlineStr">
        <is>
          <t>PR12</t>
        </is>
      </c>
      <c r="H171" s="18" t="inlineStr">
        <is>
          <t>physical_material</t>
        </is>
      </c>
      <c r="I171" s="51" t="n">
        <v>44</v>
      </c>
      <c r="J171" s="18" t="inlineStr">
        <is>
          <t>kg/d</t>
        </is>
      </c>
      <c r="K171" s="18" t="inlineStr">
        <is>
          <t>1天</t>
        </is>
      </c>
      <c r="L171" s="18" t="n"/>
      <c r="M171" s="18" t="n"/>
      <c r="N171" s="18" t="n"/>
      <c r="O171" s="18" t="n"/>
      <c r="P171" s="52" t="n">
        <v>44</v>
      </c>
      <c r="Q171" s="18" t="inlineStr">
        <is>
          <t>kg/d</t>
        </is>
      </c>
      <c r="R171" s="18" t="inlineStr">
        <is>
          <t>+</t>
        </is>
      </c>
      <c r="S171" s="18" t="inlineStr">
        <is>
          <t>否</t>
        </is>
      </c>
      <c r="T171" s="18" t="inlineStr">
        <is>
          <t>来源原始清单（未分配）</t>
        </is>
      </c>
      <c r="U171" s="18" t="inlineStr">
        <is>
          <t>SRC-RAW</t>
        </is>
      </c>
      <c r="V171" s="18" t="inlineStr">
        <is>
          <t>已审查</t>
        </is>
      </c>
      <c r="W171" s="18" t="inlineStr">
        <is>
          <t>否</t>
        </is>
      </c>
      <c r="X171" s="18" t="inlineStr">
        <is>
          <t>PR12 清洗剂NaOH 44.0</t>
        </is>
      </c>
      <c r="Y171" s="18" t="inlineStr">
        <is>
          <t>CIP清洗剂</t>
        </is>
      </c>
      <c r="Z171" t="inlineStr">
        <is>
          <t>CT-CLC-12A</t>
        </is>
      </c>
      <c r="AA171" t="inlineStr">
        <is>
          <t>直接报告</t>
        </is>
      </c>
      <c r="AB171" t="inlineStr">
        <is>
          <t>1天生产</t>
        </is>
      </c>
      <c r="AC171" t="inlineStr">
        <is>
          <t>1天生产</t>
        </is>
      </c>
    </row>
    <row r="172">
      <c r="A172" s="18" t="inlineStr">
        <is>
          <t>FL-CLC-12B</t>
        </is>
      </c>
      <c r="B172" s="18" t="inlineStr">
        <is>
          <t>PR12</t>
        </is>
      </c>
      <c r="C172" s="18" t="inlineStr">
        <is>
          <t>PR12 清洗剂HNO3</t>
        </is>
      </c>
      <c r="D172" s="18" t="inlineStr">
        <is>
          <t>物理流</t>
        </is>
      </c>
      <c r="E172" s="18" t="inlineStr">
        <is>
          <t>输入</t>
        </is>
      </c>
      <c r="F172" s="18" t="n"/>
      <c r="G172" s="18" t="inlineStr">
        <is>
          <t>PR12</t>
        </is>
      </c>
      <c r="H172" s="18" t="inlineStr">
        <is>
          <t>physical_material</t>
        </is>
      </c>
      <c r="I172" s="51" t="n">
        <v>10</v>
      </c>
      <c r="J172" s="18" t="inlineStr">
        <is>
          <t>kg/d</t>
        </is>
      </c>
      <c r="K172" s="18" t="inlineStr">
        <is>
          <t>1天</t>
        </is>
      </c>
      <c r="L172" s="18" t="n"/>
      <c r="M172" s="18" t="n"/>
      <c r="N172" s="18" t="n"/>
      <c r="O172" s="18" t="n"/>
      <c r="P172" s="52" t="n">
        <v>10</v>
      </c>
      <c r="Q172" s="18" t="inlineStr">
        <is>
          <t>kg/d</t>
        </is>
      </c>
      <c r="R172" s="18" t="inlineStr">
        <is>
          <t>+</t>
        </is>
      </c>
      <c r="S172" s="18" t="inlineStr">
        <is>
          <t>否</t>
        </is>
      </c>
      <c r="T172" s="18" t="inlineStr">
        <is>
          <t>来源原始清单（未分配）</t>
        </is>
      </c>
      <c r="U172" s="18" t="inlineStr">
        <is>
          <t>SRC-RAW</t>
        </is>
      </c>
      <c r="V172" s="18" t="inlineStr">
        <is>
          <t>已审查</t>
        </is>
      </c>
      <c r="W172" s="18" t="inlineStr">
        <is>
          <t>否</t>
        </is>
      </c>
      <c r="X172" s="18" t="inlineStr">
        <is>
          <t>PR12 清洗剂HNO3 10.0</t>
        </is>
      </c>
      <c r="Y172" s="18" t="inlineStr">
        <is>
          <t>CIP清洗剂</t>
        </is>
      </c>
      <c r="Z172" t="inlineStr">
        <is>
          <t>CT-CLC-12B</t>
        </is>
      </c>
      <c r="AA172" t="inlineStr">
        <is>
          <t>直接报告</t>
        </is>
      </c>
      <c r="AB172" t="inlineStr">
        <is>
          <t>1天生产</t>
        </is>
      </c>
      <c r="AC172" t="inlineStr">
        <is>
          <t>1天生产</t>
        </is>
      </c>
    </row>
    <row r="173">
      <c r="A173" s="18" t="inlineStr">
        <is>
          <t>FL-CLC-12C</t>
        </is>
      </c>
      <c r="B173" s="18" t="inlineStr">
        <is>
          <t>PR12</t>
        </is>
      </c>
      <c r="C173" s="18" t="inlineStr">
        <is>
          <t>PR12 清洗剂NaOCl</t>
        </is>
      </c>
      <c r="D173" s="18" t="inlineStr">
        <is>
          <t>物理流</t>
        </is>
      </c>
      <c r="E173" s="18" t="inlineStr">
        <is>
          <t>输入</t>
        </is>
      </c>
      <c r="F173" s="18" t="n"/>
      <c r="G173" s="18" t="inlineStr">
        <is>
          <t>PR12</t>
        </is>
      </c>
      <c r="H173" s="18" t="inlineStr">
        <is>
          <t>physical_material</t>
        </is>
      </c>
      <c r="I173" s="51" t="n">
        <v>0</v>
      </c>
      <c r="J173" s="18" t="inlineStr">
        <is>
          <t>kg/d</t>
        </is>
      </c>
      <c r="K173" s="18" t="inlineStr">
        <is>
          <t>1天</t>
        </is>
      </c>
      <c r="L173" s="18" t="n"/>
      <c r="M173" s="18" t="n"/>
      <c r="N173" s="18" t="n"/>
      <c r="O173" s="18" t="n"/>
      <c r="P173" s="52" t="n">
        <v>0</v>
      </c>
      <c r="Q173" s="18" t="inlineStr">
        <is>
          <t>kg/d</t>
        </is>
      </c>
      <c r="R173" s="18" t="inlineStr">
        <is>
          <t>+</t>
        </is>
      </c>
      <c r="S173" s="18" t="inlineStr">
        <is>
          <t>否</t>
        </is>
      </c>
      <c r="T173" s="18" t="inlineStr">
        <is>
          <t>来源原始清单（未分配）</t>
        </is>
      </c>
      <c r="U173" s="18" t="inlineStr">
        <is>
          <t>SRC-RAW</t>
        </is>
      </c>
      <c r="V173" s="18" t="inlineStr">
        <is>
          <t>已审查</t>
        </is>
      </c>
      <c r="W173" s="18" t="inlineStr">
        <is>
          <t>否</t>
        </is>
      </c>
      <c r="X173" s="18" t="inlineStr">
        <is>
          <t>PR12 清洗剂NaOCl 0.0</t>
        </is>
      </c>
      <c r="Y173" s="18" t="inlineStr">
        <is>
          <t>CIP清洗剂</t>
        </is>
      </c>
      <c r="Z173" t="inlineStr">
        <is>
          <t>CT-CLC-12C</t>
        </is>
      </c>
      <c r="AA173" t="inlineStr">
        <is>
          <t>直接报告</t>
        </is>
      </c>
      <c r="AB173" t="inlineStr">
        <is>
          <t>1天生产</t>
        </is>
      </c>
      <c r="AC173" t="inlineStr">
        <is>
          <t>1天生产</t>
        </is>
      </c>
    </row>
    <row r="174">
      <c r="A174" s="18" t="inlineStr">
        <is>
          <t>FL-CLC-12D</t>
        </is>
      </c>
      <c r="B174" s="18" t="inlineStr">
        <is>
          <t>PR12</t>
        </is>
      </c>
      <c r="C174" s="18" t="inlineStr">
        <is>
          <t>PR12 清洗剂Phosphoc acid</t>
        </is>
      </c>
      <c r="D174" s="18" t="inlineStr">
        <is>
          <t>物理流</t>
        </is>
      </c>
      <c r="E174" s="18" t="inlineStr">
        <is>
          <t>输入</t>
        </is>
      </c>
      <c r="F174" s="18" t="n"/>
      <c r="G174" s="18" t="inlineStr">
        <is>
          <t>PR12</t>
        </is>
      </c>
      <c r="H174" s="18" t="inlineStr">
        <is>
          <t>physical_material</t>
        </is>
      </c>
      <c r="I174" s="51" t="n">
        <v>0</v>
      </c>
      <c r="J174" s="18" t="inlineStr">
        <is>
          <t>kg/d</t>
        </is>
      </c>
      <c r="K174" s="18" t="inlineStr">
        <is>
          <t>1天</t>
        </is>
      </c>
      <c r="L174" s="18" t="n"/>
      <c r="M174" s="18" t="n"/>
      <c r="N174" s="18" t="n"/>
      <c r="O174" s="18" t="n"/>
      <c r="P174" s="52" t="n">
        <v>0</v>
      </c>
      <c r="Q174" s="18" t="inlineStr">
        <is>
          <t>kg/d</t>
        </is>
      </c>
      <c r="R174" s="18" t="inlineStr">
        <is>
          <t>+</t>
        </is>
      </c>
      <c r="S174" s="18" t="inlineStr">
        <is>
          <t>否</t>
        </is>
      </c>
      <c r="T174" s="18" t="inlineStr">
        <is>
          <t>来源原始清单（未分配）</t>
        </is>
      </c>
      <c r="U174" s="18" t="inlineStr">
        <is>
          <t>SRC-RAW</t>
        </is>
      </c>
      <c r="V174" s="18" t="inlineStr">
        <is>
          <t>已审查</t>
        </is>
      </c>
      <c r="W174" s="18" t="inlineStr">
        <is>
          <t>否</t>
        </is>
      </c>
      <c r="X174" s="18" t="inlineStr">
        <is>
          <t>PR12 清洗剂Phosphoc acid 0.0</t>
        </is>
      </c>
      <c r="Y174" s="18" t="inlineStr">
        <is>
          <t>CIP清洗剂</t>
        </is>
      </c>
      <c r="Z174" t="inlineStr">
        <is>
          <t>CT-CLC-12D</t>
        </is>
      </c>
      <c r="AA174" t="inlineStr">
        <is>
          <t>直接报告</t>
        </is>
      </c>
      <c r="AB174" t="inlineStr">
        <is>
          <t>1天生产</t>
        </is>
      </c>
      <c r="AC174" t="inlineStr">
        <is>
          <t>1天生产</t>
        </is>
      </c>
    </row>
    <row r="175">
      <c r="A175" s="18" t="inlineStr">
        <is>
          <t>FL-CLC-12E</t>
        </is>
      </c>
      <c r="B175" s="18" t="inlineStr">
        <is>
          <t>PR12</t>
        </is>
      </c>
      <c r="C175" s="18" t="inlineStr">
        <is>
          <t>PR12 清洗剂surfactant</t>
        </is>
      </c>
      <c r="D175" s="18" t="inlineStr">
        <is>
          <t>物理流</t>
        </is>
      </c>
      <c r="E175" s="18" t="inlineStr">
        <is>
          <t>输入</t>
        </is>
      </c>
      <c r="F175" s="18" t="n"/>
      <c r="G175" s="18" t="inlineStr">
        <is>
          <t>PR12</t>
        </is>
      </c>
      <c r="H175" s="18" t="inlineStr">
        <is>
          <t>physical_material</t>
        </is>
      </c>
      <c r="I175" s="51" t="n">
        <v>0</v>
      </c>
      <c r="J175" s="18" t="inlineStr">
        <is>
          <t>kg/d</t>
        </is>
      </c>
      <c r="K175" s="18" t="inlineStr">
        <is>
          <t>1天</t>
        </is>
      </c>
      <c r="L175" s="18" t="n"/>
      <c r="M175" s="18" t="n"/>
      <c r="N175" s="18" t="n"/>
      <c r="O175" s="18" t="n"/>
      <c r="P175" s="52" t="n">
        <v>0</v>
      </c>
      <c r="Q175" s="18" t="inlineStr">
        <is>
          <t>kg/d</t>
        </is>
      </c>
      <c r="R175" s="18" t="inlineStr">
        <is>
          <t>+</t>
        </is>
      </c>
      <c r="S175" s="18" t="inlineStr">
        <is>
          <t>否</t>
        </is>
      </c>
      <c r="T175" s="18" t="inlineStr">
        <is>
          <t>来源原始清单（未分配）</t>
        </is>
      </c>
      <c r="U175" s="18" t="inlineStr">
        <is>
          <t>SRC-RAW</t>
        </is>
      </c>
      <c r="V175" s="18" t="inlineStr">
        <is>
          <t>已审查</t>
        </is>
      </c>
      <c r="W175" s="18" t="inlineStr">
        <is>
          <t>否</t>
        </is>
      </c>
      <c r="X175" s="18" t="inlineStr">
        <is>
          <t>PR12 清洗剂surfactant 0.0</t>
        </is>
      </c>
      <c r="Y175" s="18" t="inlineStr">
        <is>
          <t>CIP清洗剂</t>
        </is>
      </c>
      <c r="Z175" t="inlineStr">
        <is>
          <t>CT-CLC-12E</t>
        </is>
      </c>
      <c r="AA175" t="inlineStr">
        <is>
          <t>直接报告</t>
        </is>
      </c>
      <c r="AB175" t="inlineStr">
        <is>
          <t>1天生产</t>
        </is>
      </c>
      <c r="AC175" t="inlineStr">
        <is>
          <t>1天生产</t>
        </is>
      </c>
    </row>
    <row r="176">
      <c r="A176" s="18" t="inlineStr">
        <is>
          <t>FL-CLC-12F</t>
        </is>
      </c>
      <c r="B176" s="18" t="inlineStr">
        <is>
          <t>PR12</t>
        </is>
      </c>
      <c r="C176" s="18" t="inlineStr">
        <is>
          <t>PR12 清洗剂Other acid</t>
        </is>
      </c>
      <c r="D176" s="18" t="inlineStr">
        <is>
          <t>物理流</t>
        </is>
      </c>
      <c r="E176" s="18" t="inlineStr">
        <is>
          <t>输入</t>
        </is>
      </c>
      <c r="F176" s="18" t="n"/>
      <c r="G176" s="18" t="inlineStr">
        <is>
          <t>PR12</t>
        </is>
      </c>
      <c r="H176" s="18" t="inlineStr">
        <is>
          <t>physical_material</t>
        </is>
      </c>
      <c r="I176" s="51" t="n">
        <v>0</v>
      </c>
      <c r="J176" s="18" t="inlineStr">
        <is>
          <t>kg/d</t>
        </is>
      </c>
      <c r="K176" s="18" t="inlineStr">
        <is>
          <t>1天</t>
        </is>
      </c>
      <c r="L176" s="18" t="n"/>
      <c r="M176" s="18" t="n"/>
      <c r="N176" s="18" t="n"/>
      <c r="O176" s="18" t="n"/>
      <c r="P176" s="52" t="n">
        <v>0</v>
      </c>
      <c r="Q176" s="18" t="inlineStr">
        <is>
          <t>kg/d</t>
        </is>
      </c>
      <c r="R176" s="18" t="inlineStr">
        <is>
          <t>+</t>
        </is>
      </c>
      <c r="S176" s="18" t="inlineStr">
        <is>
          <t>否</t>
        </is>
      </c>
      <c r="T176" s="18" t="inlineStr">
        <is>
          <t>来源原始清单（未分配）</t>
        </is>
      </c>
      <c r="U176" s="18" t="inlineStr">
        <is>
          <t>SRC-RAW</t>
        </is>
      </c>
      <c r="V176" s="18" t="inlineStr">
        <is>
          <t>已审查</t>
        </is>
      </c>
      <c r="W176" s="18" t="inlineStr">
        <is>
          <t>否</t>
        </is>
      </c>
      <c r="X176" s="18" t="inlineStr">
        <is>
          <t>PR12 清洗剂Other acid 0.0</t>
        </is>
      </c>
      <c r="Y176" s="18" t="inlineStr">
        <is>
          <t>CIP清洗剂</t>
        </is>
      </c>
      <c r="Z176" t="inlineStr">
        <is>
          <t>CT-CLC-12F</t>
        </is>
      </c>
      <c r="AA176" t="inlineStr">
        <is>
          <t>直接报告</t>
        </is>
      </c>
      <c r="AB176" t="inlineStr">
        <is>
          <t>1天生产</t>
        </is>
      </c>
      <c r="AC176" t="inlineStr">
        <is>
          <t>1天生产</t>
        </is>
      </c>
    </row>
    <row r="177">
      <c r="A177" s="18" t="inlineStr">
        <is>
          <t>FL-CLT-12</t>
        </is>
      </c>
      <c r="B177" s="18" t="inlineStr">
        <is>
          <t>PR12</t>
        </is>
      </c>
      <c r="C177" s="18" t="inlineStr">
        <is>
          <t>PR12 清洗回路设备材料</t>
        </is>
      </c>
      <c r="D177" s="18" t="inlineStr">
        <is>
          <t>物理流</t>
        </is>
      </c>
      <c r="E177" s="18" t="inlineStr">
        <is>
          <t>输入</t>
        </is>
      </c>
      <c r="F177" s="18" t="n"/>
      <c r="G177" s="18" t="inlineStr">
        <is>
          <t>PR12</t>
        </is>
      </c>
      <c r="H177" s="18" t="inlineStr">
        <is>
          <t>physical_material</t>
        </is>
      </c>
      <c r="I177" s="51" t="n">
        <v>0.803636363636364</v>
      </c>
      <c r="J177" s="18" t="inlineStr">
        <is>
          <t>kg/d</t>
        </is>
      </c>
      <c r="K177" s="18" t="inlineStr">
        <is>
          <t>1天</t>
        </is>
      </c>
      <c r="L177" s="18" t="n"/>
      <c r="M177" s="18" t="n"/>
      <c r="N177" s="18" t="n"/>
      <c r="O177" s="18" t="n"/>
      <c r="P177" s="52" t="n">
        <v>0.803636363636364</v>
      </c>
      <c r="Q177" s="18" t="inlineStr">
        <is>
          <t>kg/d</t>
        </is>
      </c>
      <c r="R177" s="18" t="inlineStr">
        <is>
          <t>+</t>
        </is>
      </c>
      <c r="S177" s="18" t="inlineStr">
        <is>
          <t>否</t>
        </is>
      </c>
      <c r="T177" s="18" t="inlineStr">
        <is>
          <t>来源原始清单（未分配）</t>
        </is>
      </c>
      <c r="U177" s="18" t="inlineStr">
        <is>
          <t>SRC-RAW</t>
        </is>
      </c>
      <c r="V177" s="18" t="inlineStr">
        <is>
          <t>已审查</t>
        </is>
      </c>
      <c r="W177" s="18" t="inlineStr">
        <is>
          <t>否</t>
        </is>
      </c>
      <c r="X177" s="18" t="inlineStr">
        <is>
          <t>PR12 清洗回路设备材料 0.803636363636364</t>
        </is>
      </c>
      <c r="Y177" s="18" t="inlineStr">
        <is>
          <t>Tanks and pipes 不锈钢（按天摊销）</t>
        </is>
      </c>
      <c r="Z177" t="inlineStr">
        <is>
          <t>CT-CLT-12</t>
        </is>
      </c>
      <c r="AA177" t="inlineStr">
        <is>
          <t>直接报告</t>
        </is>
      </c>
      <c r="AB177" t="inlineStr">
        <is>
          <t>1天生产</t>
        </is>
      </c>
      <c r="AC177" t="inlineStr">
        <is>
          <t>1天生产</t>
        </is>
      </c>
    </row>
    <row r="178">
      <c r="A178" s="18" t="inlineStr">
        <is>
          <t>FL-CLCOD-12</t>
        </is>
      </c>
      <c r="B178" s="18" t="inlineStr">
        <is>
          <t>PR12</t>
        </is>
      </c>
      <c r="C178" s="18" t="inlineStr">
        <is>
          <t>PR12 清洗废水COD</t>
        </is>
      </c>
      <c r="D178" s="18" t="inlineStr">
        <is>
          <t>环境交换</t>
        </is>
      </c>
      <c r="E178" s="18" t="inlineStr">
        <is>
          <t>输入</t>
        </is>
      </c>
      <c r="F178" s="18" t="n"/>
      <c r="G178" s="18" t="inlineStr">
        <is>
          <t>PR12</t>
        </is>
      </c>
      <c r="H178" s="18" t="inlineStr">
        <is>
          <t>environment_exchange</t>
        </is>
      </c>
      <c r="I178" s="51" t="n">
        <v>29</v>
      </c>
      <c r="J178" s="18" t="inlineStr">
        <is>
          <t>kg_COD/d</t>
        </is>
      </c>
      <c r="K178" s="18" t="inlineStr">
        <is>
          <t>1天</t>
        </is>
      </c>
      <c r="L178" s="18" t="n"/>
      <c r="M178" s="18" t="n"/>
      <c r="N178" s="18" t="n"/>
      <c r="O178" s="18" t="n"/>
      <c r="P178" s="52" t="n">
        <v>29</v>
      </c>
      <c r="Q178" s="18" t="inlineStr">
        <is>
          <t>kg_COD/d</t>
        </is>
      </c>
      <c r="R178" s="18" t="inlineStr">
        <is>
          <t>+</t>
        </is>
      </c>
      <c r="S178" s="18" t="inlineStr">
        <is>
          <t>否</t>
        </is>
      </c>
      <c r="T178" s="18" t="inlineStr">
        <is>
          <t>来源原始清单（未分配）</t>
        </is>
      </c>
      <c r="U178" s="18" t="inlineStr">
        <is>
          <t>SRC-RAW</t>
        </is>
      </c>
      <c r="V178" s="18" t="inlineStr">
        <is>
          <t>已审查</t>
        </is>
      </c>
      <c r="W178" s="18" t="inlineStr">
        <is>
          <t>否</t>
        </is>
      </c>
      <c r="X178" s="18" t="inlineStr">
        <is>
          <t>PR12 清洗废水COD 29.0</t>
        </is>
      </c>
      <c r="Y178" s="18" t="inlineStr"/>
      <c r="Z178" t="inlineStr">
        <is>
          <t>CT-CLCOD-12</t>
        </is>
      </c>
      <c r="AA178" t="inlineStr">
        <is>
          <t>直接报告</t>
        </is>
      </c>
      <c r="AB178" t="inlineStr">
        <is>
          <t>1天生产</t>
        </is>
      </c>
      <c r="AC178" t="inlineStr">
        <is>
          <t>1天生产</t>
        </is>
      </c>
    </row>
    <row r="179">
      <c r="A179" s="18" t="inlineStr">
        <is>
          <t>FL-CLDM-12</t>
        </is>
      </c>
      <c r="B179" s="18" t="inlineStr">
        <is>
          <t>PR12</t>
        </is>
      </c>
      <c r="C179" s="18" t="inlineStr">
        <is>
          <t>PR12 清洗废水干物质</t>
        </is>
      </c>
      <c r="D179" s="18" t="inlineStr">
        <is>
          <t>环境交换</t>
        </is>
      </c>
      <c r="E179" s="18" t="inlineStr">
        <is>
          <t>输入</t>
        </is>
      </c>
      <c r="F179" s="18" t="n"/>
      <c r="G179" s="18" t="inlineStr">
        <is>
          <t>PR12</t>
        </is>
      </c>
      <c r="H179" s="18" t="inlineStr">
        <is>
          <t>environment_exchange</t>
        </is>
      </c>
      <c r="I179" s="51" t="n">
        <v>33.93</v>
      </c>
      <c r="J179" s="18" t="inlineStr">
        <is>
          <t>kg/d</t>
        </is>
      </c>
      <c r="K179" s="18" t="inlineStr">
        <is>
          <t>1天</t>
        </is>
      </c>
      <c r="L179" s="18" t="n"/>
      <c r="M179" s="18" t="n"/>
      <c r="N179" s="18" t="n"/>
      <c r="O179" s="18" t="n"/>
      <c r="P179" s="52" t="n">
        <v>33.93</v>
      </c>
      <c r="Q179" s="18" t="inlineStr">
        <is>
          <t>kg/d</t>
        </is>
      </c>
      <c r="R179" s="18" t="inlineStr">
        <is>
          <t>+</t>
        </is>
      </c>
      <c r="S179" s="18" t="inlineStr">
        <is>
          <t>否</t>
        </is>
      </c>
      <c r="T179" s="18" t="inlineStr">
        <is>
          <t>来源原始清单（未分配）</t>
        </is>
      </c>
      <c r="U179" s="18" t="inlineStr">
        <is>
          <t>SRC-RAW</t>
        </is>
      </c>
      <c r="V179" s="18" t="inlineStr">
        <is>
          <t>已审查</t>
        </is>
      </c>
      <c r="W179" s="18" t="inlineStr">
        <is>
          <t>否</t>
        </is>
      </c>
      <c r="X179" s="18" t="inlineStr">
        <is>
          <t>PR12 清洗废水干物质 33.93</t>
        </is>
      </c>
      <c r="Y179" s="18" t="inlineStr"/>
      <c r="Z179" t="inlineStr">
        <is>
          <t>CT-CLDM-12</t>
        </is>
      </c>
      <c r="AA179" t="inlineStr">
        <is>
          <t>直接报告</t>
        </is>
      </c>
      <c r="AB179" t="inlineStr">
        <is>
          <t>1天生产</t>
        </is>
      </c>
      <c r="AC179" t="inlineStr">
        <is>
          <t>1天生产</t>
        </is>
      </c>
    </row>
    <row r="180">
      <c r="A180" s="18" t="inlineStr">
        <is>
          <t>FL-MCH-01A</t>
        </is>
      </c>
      <c r="B180" s="18" t="inlineStr">
        <is>
          <t>PR01</t>
        </is>
      </c>
      <c r="C180" s="18" t="inlineStr">
        <is>
          <t>PR01 资本品 Heat plate exchanger / Structure / Stainless steel</t>
        </is>
      </c>
      <c r="D180" s="18" t="inlineStr">
        <is>
          <t>物理流</t>
        </is>
      </c>
      <c r="E180" s="18" t="inlineStr">
        <is>
          <t>输入</t>
        </is>
      </c>
      <c r="F180" s="18" t="n"/>
      <c r="G180" s="18" t="inlineStr">
        <is>
          <t>PR01</t>
        </is>
      </c>
      <c r="H180" s="18" t="inlineStr">
        <is>
          <t>physical_material</t>
        </is>
      </c>
      <c r="I180" s="51" t="n">
        <v>0.24</v>
      </c>
      <c r="J180" s="18" t="inlineStr">
        <is>
          <t>kg/d</t>
        </is>
      </c>
      <c r="K180" s="18" t="inlineStr">
        <is>
          <t>1天</t>
        </is>
      </c>
      <c r="L180" s="18" t="n"/>
      <c r="M180" s="18" t="n"/>
      <c r="N180" s="18" t="n"/>
      <c r="O180" s="18" t="n"/>
      <c r="P180" s="52" t="n">
        <v>0.24</v>
      </c>
      <c r="Q180" s="18" t="inlineStr">
        <is>
          <t>kg/d</t>
        </is>
      </c>
      <c r="R180" s="18" t="inlineStr">
        <is>
          <t>+</t>
        </is>
      </c>
      <c r="S180" s="18" t="inlineStr">
        <is>
          <t>否</t>
        </is>
      </c>
      <c r="T180" s="18" t="inlineStr">
        <is>
          <t>来源原始清单（未分配）</t>
        </is>
      </c>
      <c r="U180" s="18" t="inlineStr">
        <is>
          <t>SRC-RAW</t>
        </is>
      </c>
      <c r="V180" s="18" t="inlineStr">
        <is>
          <t>已审查</t>
        </is>
      </c>
      <c r="W180" s="18" t="inlineStr">
        <is>
          <t>否</t>
        </is>
      </c>
      <c r="X180" s="18" t="inlineStr">
        <is>
          <t>PR01 资本品 Heat plate exchanger / Structure / Stainless steel 0.24</t>
        </is>
      </c>
      <c r="Y180" s="18" t="inlineStr">
        <is>
          <t>2009 and 2010 measurement campaign</t>
        </is>
      </c>
      <c r="Z180" t="inlineStr">
        <is>
          <t>CT-MCH-01A</t>
        </is>
      </c>
      <c r="AA180" t="inlineStr">
        <is>
          <t>直接报告</t>
        </is>
      </c>
      <c r="AB180" t="inlineStr">
        <is>
          <t>1天生产</t>
        </is>
      </c>
      <c r="AC180" t="inlineStr">
        <is>
          <t>1天生产</t>
        </is>
      </c>
    </row>
    <row r="181">
      <c r="A181" s="18" t="inlineStr">
        <is>
          <t>FL-MCH-01B</t>
        </is>
      </c>
      <c r="B181" s="18" t="inlineStr">
        <is>
          <t>PR01</t>
        </is>
      </c>
      <c r="C181" s="18" t="inlineStr">
        <is>
          <t>PR01 资本品 Heat plate exchanger / Pipes / Stainless steel</t>
        </is>
      </c>
      <c r="D181" s="18" t="inlineStr">
        <is>
          <t>物理流</t>
        </is>
      </c>
      <c r="E181" s="18" t="inlineStr">
        <is>
          <t>输入</t>
        </is>
      </c>
      <c r="F181" s="18" t="n"/>
      <c r="G181" s="18" t="inlineStr">
        <is>
          <t>PR01</t>
        </is>
      </c>
      <c r="H181" s="18" t="inlineStr">
        <is>
          <t>physical_material</t>
        </is>
      </c>
      <c r="I181" s="51" t="n">
        <v>0.06</v>
      </c>
      <c r="J181" s="18" t="inlineStr">
        <is>
          <t>kg/d</t>
        </is>
      </c>
      <c r="K181" s="18" t="inlineStr">
        <is>
          <t>1天</t>
        </is>
      </c>
      <c r="L181" s="18" t="n"/>
      <c r="M181" s="18" t="n"/>
      <c r="N181" s="18" t="n"/>
      <c r="O181" s="18" t="n"/>
      <c r="P181" s="52" t="n">
        <v>0.06</v>
      </c>
      <c r="Q181" s="18" t="inlineStr">
        <is>
          <t>kg/d</t>
        </is>
      </c>
      <c r="R181" s="18" t="inlineStr">
        <is>
          <t>+</t>
        </is>
      </c>
      <c r="S181" s="18" t="inlineStr">
        <is>
          <t>否</t>
        </is>
      </c>
      <c r="T181" s="18" t="inlineStr">
        <is>
          <t>来源原始清单（未分配）</t>
        </is>
      </c>
      <c r="U181" s="18" t="inlineStr">
        <is>
          <t>SRC-RAW</t>
        </is>
      </c>
      <c r="V181" s="18" t="inlineStr">
        <is>
          <t>已审查</t>
        </is>
      </c>
      <c r="W181" s="18" t="inlineStr">
        <is>
          <t>否</t>
        </is>
      </c>
      <c r="X181" s="18" t="inlineStr">
        <is>
          <t>PR01 资本品 Heat plate exchanger / Pipes / Stainless steel 0.06</t>
        </is>
      </c>
      <c r="Y181" s="18" t="inlineStr">
        <is>
          <t>2009 and 2010 measurement campaign</t>
        </is>
      </c>
      <c r="Z181" t="inlineStr">
        <is>
          <t>CT-MCH-01B</t>
        </is>
      </c>
      <c r="AA181" t="inlineStr">
        <is>
          <t>直接报告</t>
        </is>
      </c>
      <c r="AB181" t="inlineStr">
        <is>
          <t>1天生产</t>
        </is>
      </c>
      <c r="AC181" t="inlineStr">
        <is>
          <t>1天生产</t>
        </is>
      </c>
    </row>
    <row r="182">
      <c r="A182" s="18" t="inlineStr">
        <is>
          <t>FL-MCH-01C</t>
        </is>
      </c>
      <c r="B182" s="18" t="inlineStr">
        <is>
          <t>PR01</t>
        </is>
      </c>
      <c r="C182" s="18" t="inlineStr">
        <is>
          <t>PR01 资本品 Heat plate exchanger / Rings / synthetic rubber</t>
        </is>
      </c>
      <c r="D182" s="18" t="inlineStr">
        <is>
          <t>物理流</t>
        </is>
      </c>
      <c r="E182" s="18" t="inlineStr">
        <is>
          <t>输入</t>
        </is>
      </c>
      <c r="F182" s="18" t="n"/>
      <c r="G182" s="18" t="inlineStr">
        <is>
          <t>PR01</t>
        </is>
      </c>
      <c r="H182" s="18" t="inlineStr">
        <is>
          <t>physical_material</t>
        </is>
      </c>
      <c r="I182" s="51" t="n">
        <v>0.07000000000000001</v>
      </c>
      <c r="J182" s="18" t="inlineStr">
        <is>
          <t>kg/d</t>
        </is>
      </c>
      <c r="K182" s="18" t="inlineStr">
        <is>
          <t>1天</t>
        </is>
      </c>
      <c r="L182" s="18" t="n"/>
      <c r="M182" s="18" t="n"/>
      <c r="N182" s="18" t="n"/>
      <c r="O182" s="18" t="n"/>
      <c r="P182" s="52" t="n">
        <v>0.07000000000000001</v>
      </c>
      <c r="Q182" s="18" t="inlineStr">
        <is>
          <t>kg/d</t>
        </is>
      </c>
      <c r="R182" s="18" t="inlineStr">
        <is>
          <t>+</t>
        </is>
      </c>
      <c r="S182" s="18" t="inlineStr">
        <is>
          <t>否</t>
        </is>
      </c>
      <c r="T182" s="18" t="inlineStr">
        <is>
          <t>来源原始清单（未分配）</t>
        </is>
      </c>
      <c r="U182" s="18" t="inlineStr">
        <is>
          <t>SRC-RAW</t>
        </is>
      </c>
      <c r="V182" s="18" t="inlineStr">
        <is>
          <t>已审查</t>
        </is>
      </c>
      <c r="W182" s="18" t="inlineStr">
        <is>
          <t>否</t>
        </is>
      </c>
      <c r="X182" s="18" t="inlineStr">
        <is>
          <t>PR01 资本品 Heat plate exchanger / Rings / synthetic rubber 0.07</t>
        </is>
      </c>
      <c r="Y182" s="18" t="inlineStr">
        <is>
          <t>2009 and 2010 measurement campaign</t>
        </is>
      </c>
      <c r="Z182" t="inlineStr">
        <is>
          <t>CT-MCH-01C</t>
        </is>
      </c>
      <c r="AA182" t="inlineStr">
        <is>
          <t>直接报告</t>
        </is>
      </c>
      <c r="AB182" t="inlineStr">
        <is>
          <t>1天生产</t>
        </is>
      </c>
      <c r="AC182" t="inlineStr">
        <is>
          <t>1天生产</t>
        </is>
      </c>
    </row>
    <row r="183">
      <c r="A183" t="inlineStr">
        <is>
          <t>FL-MCH-01D</t>
        </is>
      </c>
      <c r="B183" t="inlineStr">
        <is>
          <t>PR01</t>
        </is>
      </c>
      <c r="C183" t="inlineStr">
        <is>
          <t>PR01 资本品 Tanks / Tanks / Stainless steel</t>
        </is>
      </c>
      <c r="D183" t="inlineStr">
        <is>
          <t>物理流</t>
        </is>
      </c>
      <c r="E183" t="inlineStr">
        <is>
          <t>输入</t>
        </is>
      </c>
      <c r="G183" t="inlineStr">
        <is>
          <t>PR01</t>
        </is>
      </c>
      <c r="H183" t="inlineStr">
        <is>
          <t>physical_material</t>
        </is>
      </c>
      <c r="I183" t="n">
        <v>3.5</v>
      </c>
      <c r="J183" t="inlineStr">
        <is>
          <t>kg/d</t>
        </is>
      </c>
      <c r="K183" t="inlineStr">
        <is>
          <t>1天</t>
        </is>
      </c>
      <c r="P183" t="n">
        <v>3.5</v>
      </c>
      <c r="Q183" t="inlineStr">
        <is>
          <t>kg/d</t>
        </is>
      </c>
      <c r="R183" t="inlineStr">
        <is>
          <t>+</t>
        </is>
      </c>
      <c r="S183" t="inlineStr">
        <is>
          <t>否</t>
        </is>
      </c>
      <c r="T183" t="inlineStr">
        <is>
          <t>来源原始清单（未分配）</t>
        </is>
      </c>
      <c r="U183" t="inlineStr">
        <is>
          <t>SRC-RAW</t>
        </is>
      </c>
      <c r="V183" t="inlineStr">
        <is>
          <t>已审查</t>
        </is>
      </c>
      <c r="W183" t="inlineStr">
        <is>
          <t>否</t>
        </is>
      </c>
      <c r="X183" t="inlineStr">
        <is>
          <t>PR01 资本品 Tanks / Tanks / Stainless steel 3.5</t>
        </is>
      </c>
      <c r="Y183" t="inlineStr">
        <is>
          <t>2009 and 2010 measurement campaign</t>
        </is>
      </c>
      <c r="Z183" t="inlineStr">
        <is>
          <t>CT-MCH-01D</t>
        </is>
      </c>
      <c r="AA183" t="inlineStr">
        <is>
          <t>直接报告</t>
        </is>
      </c>
      <c r="AB183" t="inlineStr">
        <is>
          <t>1天生产</t>
        </is>
      </c>
      <c r="AC183" t="inlineStr">
        <is>
          <t>1天生产</t>
        </is>
      </c>
    </row>
    <row r="184">
      <c r="A184" t="inlineStr">
        <is>
          <t>FL-MCH-01E</t>
        </is>
      </c>
      <c r="B184" t="inlineStr">
        <is>
          <t>PR01</t>
        </is>
      </c>
      <c r="C184" t="inlineStr">
        <is>
          <t>PR01 资本品 Tanks / Pipes / Stainless steel</t>
        </is>
      </c>
      <c r="D184" t="inlineStr">
        <is>
          <t>物理流</t>
        </is>
      </c>
      <c r="E184" t="inlineStr">
        <is>
          <t>输入</t>
        </is>
      </c>
      <c r="G184" t="inlineStr">
        <is>
          <t>PR01</t>
        </is>
      </c>
      <c r="H184" t="inlineStr">
        <is>
          <t>physical_material</t>
        </is>
      </c>
      <c r="I184" t="n">
        <v>0.87</v>
      </c>
      <c r="J184" t="inlineStr">
        <is>
          <t>kg/d</t>
        </is>
      </c>
      <c r="K184" t="inlineStr">
        <is>
          <t>1天</t>
        </is>
      </c>
      <c r="P184" t="n">
        <v>0.87</v>
      </c>
      <c r="Q184" t="inlineStr">
        <is>
          <t>kg/d</t>
        </is>
      </c>
      <c r="R184" t="inlineStr">
        <is>
          <t>+</t>
        </is>
      </c>
      <c r="S184" t="inlineStr">
        <is>
          <t>否</t>
        </is>
      </c>
      <c r="T184" t="inlineStr">
        <is>
          <t>来源原始清单（未分配）</t>
        </is>
      </c>
      <c r="U184" t="inlineStr">
        <is>
          <t>SRC-RAW</t>
        </is>
      </c>
      <c r="V184" t="inlineStr">
        <is>
          <t>已审查</t>
        </is>
      </c>
      <c r="W184" t="inlineStr">
        <is>
          <t>否</t>
        </is>
      </c>
      <c r="X184" t="inlineStr">
        <is>
          <t>PR01 资本品 Tanks / Pipes / Stainless steel 0.87</t>
        </is>
      </c>
      <c r="Y184" t="inlineStr">
        <is>
          <t>2009 and 2010 measurement campaign</t>
        </is>
      </c>
      <c r="Z184" t="inlineStr">
        <is>
          <t>CT-MCH-01E</t>
        </is>
      </c>
      <c r="AA184" t="inlineStr">
        <is>
          <t>直接报告</t>
        </is>
      </c>
      <c r="AB184" t="inlineStr">
        <is>
          <t>1天生产</t>
        </is>
      </c>
      <c r="AC184" t="inlineStr">
        <is>
          <t>1天生产</t>
        </is>
      </c>
    </row>
    <row r="185">
      <c r="A185" t="inlineStr">
        <is>
          <t>FL-MCH-01F</t>
        </is>
      </c>
      <c r="B185" t="inlineStr">
        <is>
          <t>PR01</t>
        </is>
      </c>
      <c r="C185" t="inlineStr">
        <is>
          <t>PR01 资本品 Pumps / Engine / Copper</t>
        </is>
      </c>
      <c r="D185" t="inlineStr">
        <is>
          <t>物理流</t>
        </is>
      </c>
      <c r="E185" t="inlineStr">
        <is>
          <t>输入</t>
        </is>
      </c>
      <c r="G185" t="inlineStr">
        <is>
          <t>PR01</t>
        </is>
      </c>
      <c r="H185" t="inlineStr">
        <is>
          <t>physical_material</t>
        </is>
      </c>
      <c r="I185" t="n">
        <v>0.00412</v>
      </c>
      <c r="J185" t="inlineStr">
        <is>
          <t>kg/d</t>
        </is>
      </c>
      <c r="K185" t="inlineStr">
        <is>
          <t>1天</t>
        </is>
      </c>
      <c r="P185" t="n">
        <v>0.00412</v>
      </c>
      <c r="Q185" t="inlineStr">
        <is>
          <t>kg/d</t>
        </is>
      </c>
      <c r="R185" t="inlineStr">
        <is>
          <t>+</t>
        </is>
      </c>
      <c r="S185" t="inlineStr">
        <is>
          <t>否</t>
        </is>
      </c>
      <c r="T185" t="inlineStr">
        <is>
          <t>来源原始清单（未分配）</t>
        </is>
      </c>
      <c r="U185" t="inlineStr">
        <is>
          <t>SRC-RAW</t>
        </is>
      </c>
      <c r="V185" t="inlineStr">
        <is>
          <t>已审查</t>
        </is>
      </c>
      <c r="W185" t="inlineStr">
        <is>
          <t>否</t>
        </is>
      </c>
      <c r="X185" t="inlineStr">
        <is>
          <t>PR01 资本品 Pumps / Engine / Copper 0.00412</t>
        </is>
      </c>
      <c r="Y185" t="inlineStr">
        <is>
          <t>Other metals are neglected</t>
        </is>
      </c>
      <c r="Z185" t="inlineStr">
        <is>
          <t>CT-MCH-01F</t>
        </is>
      </c>
      <c r="AA185" t="inlineStr">
        <is>
          <t>直接报告</t>
        </is>
      </c>
      <c r="AB185" t="inlineStr">
        <is>
          <t>1天生产</t>
        </is>
      </c>
      <c r="AC185" t="inlineStr">
        <is>
          <t>1天生产</t>
        </is>
      </c>
    </row>
    <row r="186">
      <c r="A186" t="inlineStr">
        <is>
          <t>FL-MCH-01G</t>
        </is>
      </c>
      <c r="B186" t="inlineStr">
        <is>
          <t>PR01</t>
        </is>
      </c>
      <c r="C186" t="inlineStr">
        <is>
          <t>PR01 资本品 Pumps / Aluminium</t>
        </is>
      </c>
      <c r="D186" t="inlineStr">
        <is>
          <t>物理流</t>
        </is>
      </c>
      <c r="E186" t="inlineStr">
        <is>
          <t>输入</t>
        </is>
      </c>
      <c r="G186" t="inlineStr">
        <is>
          <t>PR01</t>
        </is>
      </c>
      <c r="H186" t="inlineStr">
        <is>
          <t>physical_material</t>
        </is>
      </c>
      <c r="I186" t="n">
        <v>0.008</v>
      </c>
      <c r="J186" t="inlineStr">
        <is>
          <t>kg/d</t>
        </is>
      </c>
      <c r="K186" t="inlineStr">
        <is>
          <t>1天</t>
        </is>
      </c>
      <c r="P186" t="n">
        <v>0.008</v>
      </c>
      <c r="Q186" t="inlineStr">
        <is>
          <t>kg/d</t>
        </is>
      </c>
      <c r="R186" t="inlineStr">
        <is>
          <t>+</t>
        </is>
      </c>
      <c r="S186" t="inlineStr">
        <is>
          <t>否</t>
        </is>
      </c>
      <c r="T186" t="inlineStr">
        <is>
          <t>来源原始清单（未分配）</t>
        </is>
      </c>
      <c r="U186" t="inlineStr">
        <is>
          <t>SRC-RAW</t>
        </is>
      </c>
      <c r="V186" t="inlineStr">
        <is>
          <t>已审查</t>
        </is>
      </c>
      <c r="W186" t="inlineStr">
        <is>
          <t>否</t>
        </is>
      </c>
      <c r="X186" t="inlineStr">
        <is>
          <t>PR01 资本品 Pumps / Aluminium 0.008</t>
        </is>
      </c>
      <c r="Y186" t="inlineStr">
        <is>
          <t>Gésan-Guiziou et al. (2019)</t>
        </is>
      </c>
      <c r="Z186" t="inlineStr">
        <is>
          <t>CT-MCH-01G</t>
        </is>
      </c>
      <c r="AA186" t="inlineStr">
        <is>
          <t>直接报告</t>
        </is>
      </c>
      <c r="AB186" t="inlineStr">
        <is>
          <t>1天生产</t>
        </is>
      </c>
      <c r="AC186" t="inlineStr">
        <is>
          <t>1天生产</t>
        </is>
      </c>
    </row>
    <row r="187">
      <c r="A187" t="inlineStr">
        <is>
          <t>FL-MCH-02A</t>
        </is>
      </c>
      <c r="B187" t="inlineStr">
        <is>
          <t>PR02</t>
        </is>
      </c>
      <c r="C187" t="inlineStr">
        <is>
          <t>PR02 资本品 Cream separator / separator / stainless steel</t>
        </is>
      </c>
      <c r="D187" t="inlineStr">
        <is>
          <t>物理流</t>
        </is>
      </c>
      <c r="E187" t="inlineStr">
        <is>
          <t>输入</t>
        </is>
      </c>
      <c r="G187" t="inlineStr">
        <is>
          <t>PR02</t>
        </is>
      </c>
      <c r="H187" t="inlineStr">
        <is>
          <t>physical_material</t>
        </is>
      </c>
      <c r="I187" t="n">
        <v>0.31</v>
      </c>
      <c r="J187" t="inlineStr">
        <is>
          <t>kg/d</t>
        </is>
      </c>
      <c r="K187" t="inlineStr">
        <is>
          <t>1天</t>
        </is>
      </c>
      <c r="P187" t="n">
        <v>0.31</v>
      </c>
      <c r="Q187" t="inlineStr">
        <is>
          <t>kg/d</t>
        </is>
      </c>
      <c r="R187" t="inlineStr">
        <is>
          <t>+</t>
        </is>
      </c>
      <c r="S187" t="inlineStr">
        <is>
          <t>否</t>
        </is>
      </c>
      <c r="T187" t="inlineStr">
        <is>
          <t>来源原始清单（未分配）</t>
        </is>
      </c>
      <c r="U187" t="inlineStr">
        <is>
          <t>SRC-RAW</t>
        </is>
      </c>
      <c r="V187" t="inlineStr">
        <is>
          <t>已审查</t>
        </is>
      </c>
      <c r="W187" t="inlineStr">
        <is>
          <t>否</t>
        </is>
      </c>
      <c r="X187" t="inlineStr">
        <is>
          <t>PR02 资本品 Cream separator / separator / stainless steel 0.31</t>
        </is>
      </c>
      <c r="Y187" t="inlineStr">
        <is>
          <t>2009 and 2010 measurement campaign</t>
        </is>
      </c>
      <c r="Z187" t="inlineStr">
        <is>
          <t>CT-MCH-02A</t>
        </is>
      </c>
      <c r="AA187" t="inlineStr">
        <is>
          <t>直接报告</t>
        </is>
      </c>
      <c r="AB187" t="inlineStr">
        <is>
          <t>1天生产</t>
        </is>
      </c>
      <c r="AC187" t="inlineStr">
        <is>
          <t>1天生产</t>
        </is>
      </c>
    </row>
    <row r="188">
      <c r="A188" t="inlineStr">
        <is>
          <t>FL-MCH-02B</t>
        </is>
      </c>
      <c r="B188" t="inlineStr">
        <is>
          <t>PR02</t>
        </is>
      </c>
      <c r="C188" t="inlineStr">
        <is>
          <t>PR02 资本品 Cream separator / bowl / stainless steel</t>
        </is>
      </c>
      <c r="D188" t="inlineStr">
        <is>
          <t>物理流</t>
        </is>
      </c>
      <c r="E188" t="inlineStr">
        <is>
          <t>输入</t>
        </is>
      </c>
      <c r="G188" t="inlineStr">
        <is>
          <t>PR02</t>
        </is>
      </c>
      <c r="H188" t="inlineStr">
        <is>
          <t>physical_material</t>
        </is>
      </c>
      <c r="I188" t="n">
        <v>0.15</v>
      </c>
      <c r="J188" t="inlineStr">
        <is>
          <t>kg/d</t>
        </is>
      </c>
      <c r="K188" t="inlineStr">
        <is>
          <t>1天</t>
        </is>
      </c>
      <c r="P188" t="n">
        <v>0.15</v>
      </c>
      <c r="Q188" t="inlineStr">
        <is>
          <t>kg/d</t>
        </is>
      </c>
      <c r="R188" t="inlineStr">
        <is>
          <t>+</t>
        </is>
      </c>
      <c r="S188" t="inlineStr">
        <is>
          <t>否</t>
        </is>
      </c>
      <c r="T188" t="inlineStr">
        <is>
          <t>来源原始清单（未分配）</t>
        </is>
      </c>
      <c r="U188" t="inlineStr">
        <is>
          <t>SRC-RAW</t>
        </is>
      </c>
      <c r="V188" t="inlineStr">
        <is>
          <t>已审查</t>
        </is>
      </c>
      <c r="W188" t="inlineStr">
        <is>
          <t>否</t>
        </is>
      </c>
      <c r="X188" t="inlineStr">
        <is>
          <t>PR02 资本品 Cream separator / bowl / stainless steel 0.15</t>
        </is>
      </c>
      <c r="Y188" t="inlineStr">
        <is>
          <t>2009 and 2010 measurement campaign</t>
        </is>
      </c>
      <c r="Z188" t="inlineStr">
        <is>
          <t>CT-MCH-02B</t>
        </is>
      </c>
      <c r="AA188" t="inlineStr">
        <is>
          <t>直接报告</t>
        </is>
      </c>
      <c r="AB188" t="inlineStr">
        <is>
          <t>1天生产</t>
        </is>
      </c>
      <c r="AC188" t="inlineStr">
        <is>
          <t>1天生产</t>
        </is>
      </c>
    </row>
    <row r="189">
      <c r="A189" t="inlineStr">
        <is>
          <t>FL-MCH-02C</t>
        </is>
      </c>
      <c r="B189" t="inlineStr">
        <is>
          <t>PR02</t>
        </is>
      </c>
      <c r="C189" t="inlineStr">
        <is>
          <t>PR02 资本品 Cream separator / pipes / stainless steel</t>
        </is>
      </c>
      <c r="D189" t="inlineStr">
        <is>
          <t>物理流</t>
        </is>
      </c>
      <c r="E189" t="inlineStr">
        <is>
          <t>输入</t>
        </is>
      </c>
      <c r="G189" t="inlineStr">
        <is>
          <t>PR02</t>
        </is>
      </c>
      <c r="H189" t="inlineStr">
        <is>
          <t>physical_material</t>
        </is>
      </c>
      <c r="I189" t="n">
        <v>0.14</v>
      </c>
      <c r="J189" t="inlineStr">
        <is>
          <t>kg/d</t>
        </is>
      </c>
      <c r="K189" t="inlineStr">
        <is>
          <t>1天</t>
        </is>
      </c>
      <c r="P189" t="n">
        <v>0.14</v>
      </c>
      <c r="Q189" t="inlineStr">
        <is>
          <t>kg/d</t>
        </is>
      </c>
      <c r="R189" t="inlineStr">
        <is>
          <t>+</t>
        </is>
      </c>
      <c r="S189" t="inlineStr">
        <is>
          <t>否</t>
        </is>
      </c>
      <c r="T189" t="inlineStr">
        <is>
          <t>来源原始清单（未分配）</t>
        </is>
      </c>
      <c r="U189" t="inlineStr">
        <is>
          <t>SRC-RAW</t>
        </is>
      </c>
      <c r="V189" t="inlineStr">
        <is>
          <t>已审查</t>
        </is>
      </c>
      <c r="W189" t="inlineStr">
        <is>
          <t>否</t>
        </is>
      </c>
      <c r="X189" t="inlineStr">
        <is>
          <t>PR02 资本品 Cream separator / pipes / stainless steel 0.14</t>
        </is>
      </c>
      <c r="Y189" t="inlineStr">
        <is>
          <t>2009 and 2010 measurement campaign</t>
        </is>
      </c>
      <c r="Z189" t="inlineStr">
        <is>
          <t>CT-MCH-02C</t>
        </is>
      </c>
      <c r="AA189" t="inlineStr">
        <is>
          <t>直接报告</t>
        </is>
      </c>
      <c r="AB189" t="inlineStr">
        <is>
          <t>1天生产</t>
        </is>
      </c>
      <c r="AC189" t="inlineStr">
        <is>
          <t>1天生产</t>
        </is>
      </c>
    </row>
    <row r="190">
      <c r="A190" t="inlineStr">
        <is>
          <t>FL-MCH-02D</t>
        </is>
      </c>
      <c r="B190" t="inlineStr">
        <is>
          <t>PR02</t>
        </is>
      </c>
      <c r="C190" t="inlineStr">
        <is>
          <t>PR02 资本品 Cream separator / engine / cast iron</t>
        </is>
      </c>
      <c r="D190" t="inlineStr">
        <is>
          <t>物理流</t>
        </is>
      </c>
      <c r="E190" t="inlineStr">
        <is>
          <t>输入</t>
        </is>
      </c>
      <c r="G190" t="inlineStr">
        <is>
          <t>PR02</t>
        </is>
      </c>
      <c r="H190" t="inlineStr">
        <is>
          <t>physical_material</t>
        </is>
      </c>
      <c r="I190" t="n">
        <v>0.12</v>
      </c>
      <c r="J190" t="inlineStr">
        <is>
          <t>kg/d</t>
        </is>
      </c>
      <c r="K190" t="inlineStr">
        <is>
          <t>1天</t>
        </is>
      </c>
      <c r="P190" t="n">
        <v>0.12</v>
      </c>
      <c r="Q190" t="inlineStr">
        <is>
          <t>kg/d</t>
        </is>
      </c>
      <c r="R190" t="inlineStr">
        <is>
          <t>+</t>
        </is>
      </c>
      <c r="S190" t="inlineStr">
        <is>
          <t>否</t>
        </is>
      </c>
      <c r="T190" t="inlineStr">
        <is>
          <t>来源原始清单（未分配）</t>
        </is>
      </c>
      <c r="U190" t="inlineStr">
        <is>
          <t>SRC-RAW</t>
        </is>
      </c>
      <c r="V190" t="inlineStr">
        <is>
          <t>已审查</t>
        </is>
      </c>
      <c r="W190" t="inlineStr">
        <is>
          <t>否</t>
        </is>
      </c>
      <c r="X190" t="inlineStr">
        <is>
          <t>PR02 资本品 Cream separator / engine / cast iron 0.12</t>
        </is>
      </c>
      <c r="Y190" t="inlineStr">
        <is>
          <t>2009 and 2010 measurement campaign</t>
        </is>
      </c>
      <c r="Z190" t="inlineStr">
        <is>
          <t>CT-MCH-02D</t>
        </is>
      </c>
      <c r="AA190" t="inlineStr">
        <is>
          <t>直接报告</t>
        </is>
      </c>
      <c r="AB190" t="inlineStr">
        <is>
          <t>1天生产</t>
        </is>
      </c>
      <c r="AC190" t="inlineStr">
        <is>
          <t>1天生产</t>
        </is>
      </c>
    </row>
    <row r="191">
      <c r="A191" t="inlineStr">
        <is>
          <t>FL-MCH-02E</t>
        </is>
      </c>
      <c r="B191" t="inlineStr">
        <is>
          <t>PR02</t>
        </is>
      </c>
      <c r="C191" t="inlineStr">
        <is>
          <t>PR02 资本品 Pump / engine / copper</t>
        </is>
      </c>
      <c r="D191" t="inlineStr">
        <is>
          <t>物理流</t>
        </is>
      </c>
      <c r="E191" t="inlineStr">
        <is>
          <t>输入</t>
        </is>
      </c>
      <c r="G191" t="inlineStr">
        <is>
          <t>PR02</t>
        </is>
      </c>
      <c r="H191" t="inlineStr">
        <is>
          <t>physical_material</t>
        </is>
      </c>
      <c r="I191" t="n">
        <v>0.0017</v>
      </c>
      <c r="J191" t="inlineStr">
        <is>
          <t>kg/d</t>
        </is>
      </c>
      <c r="K191" t="inlineStr">
        <is>
          <t>1天</t>
        </is>
      </c>
      <c r="P191" t="n">
        <v>0.0017</v>
      </c>
      <c r="Q191" t="inlineStr">
        <is>
          <t>kg/d</t>
        </is>
      </c>
      <c r="R191" t="inlineStr">
        <is>
          <t>+</t>
        </is>
      </c>
      <c r="S191" t="inlineStr">
        <is>
          <t>否</t>
        </is>
      </c>
      <c r="T191" t="inlineStr">
        <is>
          <t>来源原始清单（未分配）</t>
        </is>
      </c>
      <c r="U191" t="inlineStr">
        <is>
          <t>SRC-RAW</t>
        </is>
      </c>
      <c r="V191" t="inlineStr">
        <is>
          <t>已审查</t>
        </is>
      </c>
      <c r="W191" t="inlineStr">
        <is>
          <t>否</t>
        </is>
      </c>
      <c r="X191" t="inlineStr">
        <is>
          <t>PR02 资本品 Pump / engine / copper 0.0017</t>
        </is>
      </c>
      <c r="Y191" t="inlineStr">
        <is>
          <t>Gésan-Guiziou et al. (2019)</t>
        </is>
      </c>
      <c r="Z191" t="inlineStr">
        <is>
          <t>CT-MCH-02E</t>
        </is>
      </c>
      <c r="AA191" t="inlineStr">
        <is>
          <t>直接报告</t>
        </is>
      </c>
      <c r="AB191" t="inlineStr">
        <is>
          <t>1天生产</t>
        </is>
      </c>
      <c r="AC191" t="inlineStr">
        <is>
          <t>1天生产</t>
        </is>
      </c>
    </row>
    <row r="192">
      <c r="A192" t="inlineStr">
        <is>
          <t>FL-MCH-02F</t>
        </is>
      </c>
      <c r="B192" t="inlineStr">
        <is>
          <t>PR02</t>
        </is>
      </c>
      <c r="C192" t="inlineStr">
        <is>
          <t>PR02 资本品 Pump / aluminium</t>
        </is>
      </c>
      <c r="D192" t="inlineStr">
        <is>
          <t>物理流</t>
        </is>
      </c>
      <c r="E192" t="inlineStr">
        <is>
          <t>输入</t>
        </is>
      </c>
      <c r="G192" t="inlineStr">
        <is>
          <t>PR02</t>
        </is>
      </c>
      <c r="H192" t="inlineStr">
        <is>
          <t>physical_material</t>
        </is>
      </c>
      <c r="I192" t="n">
        <v>0.00329</v>
      </c>
      <c r="J192" t="inlineStr">
        <is>
          <t>kg/d</t>
        </is>
      </c>
      <c r="K192" t="inlineStr">
        <is>
          <t>1天</t>
        </is>
      </c>
      <c r="P192" t="n">
        <v>0.00329</v>
      </c>
      <c r="Q192" t="inlineStr">
        <is>
          <t>kg/d</t>
        </is>
      </c>
      <c r="R192" t="inlineStr">
        <is>
          <t>+</t>
        </is>
      </c>
      <c r="S192" t="inlineStr">
        <is>
          <t>否</t>
        </is>
      </c>
      <c r="T192" t="inlineStr">
        <is>
          <t>来源原始清单（未分配）</t>
        </is>
      </c>
      <c r="U192" t="inlineStr">
        <is>
          <t>SRC-RAW</t>
        </is>
      </c>
      <c r="V192" t="inlineStr">
        <is>
          <t>已审查</t>
        </is>
      </c>
      <c r="W192" t="inlineStr">
        <is>
          <t>否</t>
        </is>
      </c>
      <c r="X192" t="inlineStr">
        <is>
          <t>PR02 资本品 Pump / aluminium 0.00329</t>
        </is>
      </c>
      <c r="Y192" t="inlineStr">
        <is>
          <t>Gésan-Guiziou et al. (2019)</t>
        </is>
      </c>
      <c r="Z192" t="inlineStr">
        <is>
          <t>CT-MCH-02F</t>
        </is>
      </c>
      <c r="AA192" t="inlineStr">
        <is>
          <t>直接报告</t>
        </is>
      </c>
      <c r="AB192" t="inlineStr">
        <is>
          <t>1天生产</t>
        </is>
      </c>
      <c r="AC192" t="inlineStr">
        <is>
          <t>1天生产</t>
        </is>
      </c>
    </row>
    <row r="193">
      <c r="A193" t="inlineStr">
        <is>
          <t>FL-MCH-03A</t>
        </is>
      </c>
      <c r="B193" t="inlineStr">
        <is>
          <t>PR03</t>
        </is>
      </c>
      <c r="C193" t="inlineStr">
        <is>
          <t>PR03 资本品 Plate heat exchanger / Structure / Stainless steel</t>
        </is>
      </c>
      <c r="D193" t="inlineStr">
        <is>
          <t>物理流</t>
        </is>
      </c>
      <c r="E193" t="inlineStr">
        <is>
          <t>输入</t>
        </is>
      </c>
      <c r="G193" t="inlineStr">
        <is>
          <t>PR03</t>
        </is>
      </c>
      <c r="H193" t="inlineStr">
        <is>
          <t>physical_material</t>
        </is>
      </c>
      <c r="I193" t="n">
        <v>0.04</v>
      </c>
      <c r="J193" t="inlineStr">
        <is>
          <t>kg/d</t>
        </is>
      </c>
      <c r="K193" t="inlineStr">
        <is>
          <t>1天</t>
        </is>
      </c>
      <c r="P193" t="n">
        <v>0.04</v>
      </c>
      <c r="Q193" t="inlineStr">
        <is>
          <t>kg/d</t>
        </is>
      </c>
      <c r="R193" t="inlineStr">
        <is>
          <t>+</t>
        </is>
      </c>
      <c r="S193" t="inlineStr">
        <is>
          <t>否</t>
        </is>
      </c>
      <c r="T193" t="inlineStr">
        <is>
          <t>来源原始清单（未分配）</t>
        </is>
      </c>
      <c r="U193" t="inlineStr">
        <is>
          <t>SRC-RAW</t>
        </is>
      </c>
      <c r="V193" t="inlineStr">
        <is>
          <t>已审查</t>
        </is>
      </c>
      <c r="W193" t="inlineStr">
        <is>
          <t>否</t>
        </is>
      </c>
      <c r="X193" t="inlineStr">
        <is>
          <t>PR03 资本品 Plate heat exchanger / Structure / Stainless steel 0.04</t>
        </is>
      </c>
      <c r="Y193" t="inlineStr">
        <is>
          <t>2009 and 2010 measurement campaign (Gesan-Guiziou, personnal</t>
        </is>
      </c>
      <c r="Z193" t="inlineStr">
        <is>
          <t>CT-MCH-03A</t>
        </is>
      </c>
      <c r="AA193" t="inlineStr">
        <is>
          <t>直接报告</t>
        </is>
      </c>
      <c r="AB193" t="inlineStr">
        <is>
          <t>1天生产</t>
        </is>
      </c>
      <c r="AC193" t="inlineStr">
        <is>
          <t>1天生产</t>
        </is>
      </c>
    </row>
    <row r="194">
      <c r="A194" t="inlineStr">
        <is>
          <t>FL-MCH-03B</t>
        </is>
      </c>
      <c r="B194" t="inlineStr">
        <is>
          <t>PR03</t>
        </is>
      </c>
      <c r="C194" t="inlineStr">
        <is>
          <t>PR03 资本品 Plate heat exchanger / Pipes / Stainless steel</t>
        </is>
      </c>
      <c r="D194" t="inlineStr">
        <is>
          <t>物理流</t>
        </is>
      </c>
      <c r="E194" t="inlineStr">
        <is>
          <t>输入</t>
        </is>
      </c>
      <c r="G194" t="inlineStr">
        <is>
          <t>PR03</t>
        </is>
      </c>
      <c r="H194" t="inlineStr">
        <is>
          <t>physical_material</t>
        </is>
      </c>
      <c r="I194" t="n">
        <v>0.01</v>
      </c>
      <c r="J194" t="inlineStr">
        <is>
          <t>kg/d</t>
        </is>
      </c>
      <c r="K194" t="inlineStr">
        <is>
          <t>1天</t>
        </is>
      </c>
      <c r="P194" t="n">
        <v>0.01</v>
      </c>
      <c r="Q194" t="inlineStr">
        <is>
          <t>kg/d</t>
        </is>
      </c>
      <c r="R194" t="inlineStr">
        <is>
          <t>+</t>
        </is>
      </c>
      <c r="S194" t="inlineStr">
        <is>
          <t>否</t>
        </is>
      </c>
      <c r="T194" t="inlineStr">
        <is>
          <t>来源原始清单（未分配）</t>
        </is>
      </c>
      <c r="U194" t="inlineStr">
        <is>
          <t>SRC-RAW</t>
        </is>
      </c>
      <c r="V194" t="inlineStr">
        <is>
          <t>已审查</t>
        </is>
      </c>
      <c r="W194" t="inlineStr">
        <is>
          <t>否</t>
        </is>
      </c>
      <c r="X194" t="inlineStr">
        <is>
          <t>PR03 资本品 Plate heat exchanger / Pipes / Stainless steel 0.01</t>
        </is>
      </c>
      <c r="Y194" t="inlineStr">
        <is>
          <t>2009 and 2010 measurement campaign (Gesan-Guiziou, personnal</t>
        </is>
      </c>
      <c r="Z194" t="inlineStr">
        <is>
          <t>CT-MCH-03B</t>
        </is>
      </c>
      <c r="AA194" t="inlineStr">
        <is>
          <t>直接报告</t>
        </is>
      </c>
      <c r="AB194" t="inlineStr">
        <is>
          <t>1天生产</t>
        </is>
      </c>
      <c r="AC194" t="inlineStr">
        <is>
          <t>1天生产</t>
        </is>
      </c>
    </row>
    <row r="195">
      <c r="A195" t="inlineStr">
        <is>
          <t>FL-MCH-03C</t>
        </is>
      </c>
      <c r="B195" t="inlineStr">
        <is>
          <t>PR03</t>
        </is>
      </c>
      <c r="C195" t="inlineStr">
        <is>
          <t>PR03 资本品 Plate heat exchanger / Rings / synthetic rubber</t>
        </is>
      </c>
      <c r="D195" t="inlineStr">
        <is>
          <t>物理流</t>
        </is>
      </c>
      <c r="E195" t="inlineStr">
        <is>
          <t>输入</t>
        </is>
      </c>
      <c r="G195" t="inlineStr">
        <is>
          <t>PR03</t>
        </is>
      </c>
      <c r="H195" t="inlineStr">
        <is>
          <t>physical_material</t>
        </is>
      </c>
      <c r="I195" t="n">
        <v>0.01</v>
      </c>
      <c r="J195" t="inlineStr">
        <is>
          <t>kg/d</t>
        </is>
      </c>
      <c r="K195" t="inlineStr">
        <is>
          <t>1天</t>
        </is>
      </c>
      <c r="P195" t="n">
        <v>0.01</v>
      </c>
      <c r="Q195" t="inlineStr">
        <is>
          <t>kg/d</t>
        </is>
      </c>
      <c r="R195" t="inlineStr">
        <is>
          <t>+</t>
        </is>
      </c>
      <c r="S195" t="inlineStr">
        <is>
          <t>否</t>
        </is>
      </c>
      <c r="T195" t="inlineStr">
        <is>
          <t>来源原始清单（未分配）</t>
        </is>
      </c>
      <c r="U195" t="inlineStr">
        <is>
          <t>SRC-RAW</t>
        </is>
      </c>
      <c r="V195" t="inlineStr">
        <is>
          <t>已审查</t>
        </is>
      </c>
      <c r="W195" t="inlineStr">
        <is>
          <t>否</t>
        </is>
      </c>
      <c r="X195" t="inlineStr">
        <is>
          <t>PR03 资本品 Plate heat exchanger / Rings / synthetic rubber 0.01</t>
        </is>
      </c>
      <c r="Y195" t="inlineStr">
        <is>
          <t>2009 and 2010 measurement campaign (Gesan-Guiziou, personnal</t>
        </is>
      </c>
      <c r="Z195" t="inlineStr">
        <is>
          <t>CT-MCH-03C</t>
        </is>
      </c>
      <c r="AA195" t="inlineStr">
        <is>
          <t>直接报告</t>
        </is>
      </c>
      <c r="AB195" t="inlineStr">
        <is>
          <t>1天生产</t>
        </is>
      </c>
      <c r="AC195" t="inlineStr">
        <is>
          <t>1天生产</t>
        </is>
      </c>
    </row>
    <row r="196">
      <c r="A196" t="inlineStr">
        <is>
          <t>FL-MCH-03D</t>
        </is>
      </c>
      <c r="B196" t="inlineStr">
        <is>
          <t>PR03</t>
        </is>
      </c>
      <c r="C196" t="inlineStr">
        <is>
          <t>PR03 资本品 Tanks / Tanks / Stainless steel</t>
        </is>
      </c>
      <c r="D196" t="inlineStr">
        <is>
          <t>物理流</t>
        </is>
      </c>
      <c r="E196" t="inlineStr">
        <is>
          <t>输入</t>
        </is>
      </c>
      <c r="G196" t="inlineStr">
        <is>
          <t>PR03</t>
        </is>
      </c>
      <c r="H196" t="inlineStr">
        <is>
          <t>physical_material</t>
        </is>
      </c>
      <c r="I196" t="n">
        <v>0.7</v>
      </c>
      <c r="J196" t="inlineStr">
        <is>
          <t>kg/d</t>
        </is>
      </c>
      <c r="K196" t="inlineStr">
        <is>
          <t>1天</t>
        </is>
      </c>
      <c r="P196" t="n">
        <v>0.7</v>
      </c>
      <c r="Q196" t="inlineStr">
        <is>
          <t>kg/d</t>
        </is>
      </c>
      <c r="R196" t="inlineStr">
        <is>
          <t>+</t>
        </is>
      </c>
      <c r="S196" t="inlineStr">
        <is>
          <t>否</t>
        </is>
      </c>
      <c r="T196" t="inlineStr">
        <is>
          <t>来源原始清单（未分配）</t>
        </is>
      </c>
      <c r="U196" t="inlineStr">
        <is>
          <t>SRC-RAW</t>
        </is>
      </c>
      <c r="V196" t="inlineStr">
        <is>
          <t>已审查</t>
        </is>
      </c>
      <c r="W196" t="inlineStr">
        <is>
          <t>否</t>
        </is>
      </c>
      <c r="X196" t="inlineStr">
        <is>
          <t>PR03 资本品 Tanks / Tanks / Stainless steel 0.7</t>
        </is>
      </c>
      <c r="Y196" t="inlineStr">
        <is>
          <t>2009 and 2010 measurement campaign (Gesan-Guiziou, personnal</t>
        </is>
      </c>
      <c r="Z196" t="inlineStr">
        <is>
          <t>CT-MCH-03D</t>
        </is>
      </c>
      <c r="AA196" t="inlineStr">
        <is>
          <t>直接报告</t>
        </is>
      </c>
      <c r="AB196" t="inlineStr">
        <is>
          <t>1天生产</t>
        </is>
      </c>
      <c r="AC196" t="inlineStr">
        <is>
          <t>1天生产</t>
        </is>
      </c>
    </row>
    <row r="197">
      <c r="A197" t="inlineStr">
        <is>
          <t>FL-MCH-03E</t>
        </is>
      </c>
      <c r="B197" t="inlineStr">
        <is>
          <t>PR03</t>
        </is>
      </c>
      <c r="C197" t="inlineStr">
        <is>
          <t>PR03 资本品 Tanks / Pipes / Stainless steel</t>
        </is>
      </c>
      <c r="D197" t="inlineStr">
        <is>
          <t>物理流</t>
        </is>
      </c>
      <c r="E197" t="inlineStr">
        <is>
          <t>输入</t>
        </is>
      </c>
      <c r="G197" t="inlineStr">
        <is>
          <t>PR03</t>
        </is>
      </c>
      <c r="H197" t="inlineStr">
        <is>
          <t>physical_material</t>
        </is>
      </c>
      <c r="I197" t="n">
        <v>0.17</v>
      </c>
      <c r="J197" t="inlineStr">
        <is>
          <t>kg/d</t>
        </is>
      </c>
      <c r="K197" t="inlineStr">
        <is>
          <t>1天</t>
        </is>
      </c>
      <c r="P197" t="n">
        <v>0.17</v>
      </c>
      <c r="Q197" t="inlineStr">
        <is>
          <t>kg/d</t>
        </is>
      </c>
      <c r="R197" t="inlineStr">
        <is>
          <t>+</t>
        </is>
      </c>
      <c r="S197" t="inlineStr">
        <is>
          <t>否</t>
        </is>
      </c>
      <c r="T197" t="inlineStr">
        <is>
          <t>来源原始清单（未分配）</t>
        </is>
      </c>
      <c r="U197" t="inlineStr">
        <is>
          <t>SRC-RAW</t>
        </is>
      </c>
      <c r="V197" t="inlineStr">
        <is>
          <t>已审查</t>
        </is>
      </c>
      <c r="W197" t="inlineStr">
        <is>
          <t>否</t>
        </is>
      </c>
      <c r="X197" t="inlineStr">
        <is>
          <t>PR03 资本品 Tanks / Pipes / Stainless steel 0.17</t>
        </is>
      </c>
      <c r="Y197" t="inlineStr">
        <is>
          <t>2009 and 2010 measurement campaign (Gesan-Guiziou, personnal</t>
        </is>
      </c>
      <c r="Z197" t="inlineStr">
        <is>
          <t>CT-MCH-03E</t>
        </is>
      </c>
      <c r="AA197" t="inlineStr">
        <is>
          <t>直接报告</t>
        </is>
      </c>
      <c r="AB197" t="inlineStr">
        <is>
          <t>1天生产</t>
        </is>
      </c>
      <c r="AC197" t="inlineStr">
        <is>
          <t>1天生产</t>
        </is>
      </c>
    </row>
    <row r="198">
      <c r="A198" t="inlineStr">
        <is>
          <t>FL-MCH-03F</t>
        </is>
      </c>
      <c r="B198" t="inlineStr">
        <is>
          <t>PR03</t>
        </is>
      </c>
      <c r="C198" t="inlineStr">
        <is>
          <t>PR03 资本品 Pump / Engine / Copper</t>
        </is>
      </c>
      <c r="D198" t="inlineStr">
        <is>
          <t>物理流</t>
        </is>
      </c>
      <c r="E198" t="inlineStr">
        <is>
          <t>输入</t>
        </is>
      </c>
      <c r="G198" t="inlineStr">
        <is>
          <t>PR03</t>
        </is>
      </c>
      <c r="H198" t="inlineStr">
        <is>
          <t>physical_material</t>
        </is>
      </c>
      <c r="I198" t="n">
        <v>0.0017</v>
      </c>
      <c r="J198" t="inlineStr">
        <is>
          <t>kg/d</t>
        </is>
      </c>
      <c r="K198" t="inlineStr">
        <is>
          <t>1天</t>
        </is>
      </c>
      <c r="P198" t="n">
        <v>0.0017</v>
      </c>
      <c r="Q198" t="inlineStr">
        <is>
          <t>kg/d</t>
        </is>
      </c>
      <c r="R198" t="inlineStr">
        <is>
          <t>+</t>
        </is>
      </c>
      <c r="S198" t="inlineStr">
        <is>
          <t>否</t>
        </is>
      </c>
      <c r="T198" t="inlineStr">
        <is>
          <t>来源原始清单（未分配）</t>
        </is>
      </c>
      <c r="U198" t="inlineStr">
        <is>
          <t>SRC-RAW</t>
        </is>
      </c>
      <c r="V198" t="inlineStr">
        <is>
          <t>已审查</t>
        </is>
      </c>
      <c r="W198" t="inlineStr">
        <is>
          <t>否</t>
        </is>
      </c>
      <c r="X198" t="inlineStr">
        <is>
          <t>PR03 资本品 Pump / Engine / Copper 0.0017</t>
        </is>
      </c>
      <c r="Y198" t="inlineStr">
        <is>
          <t>2009 and 2010 measurement campaign (Gesan-Guiziou, personnal</t>
        </is>
      </c>
      <c r="Z198" t="inlineStr">
        <is>
          <t>CT-MCH-03F</t>
        </is>
      </c>
      <c r="AA198" t="inlineStr">
        <is>
          <t>直接报告</t>
        </is>
      </c>
      <c r="AB198" t="inlineStr">
        <is>
          <t>1天生产</t>
        </is>
      </c>
      <c r="AC198" t="inlineStr">
        <is>
          <t>1天生产</t>
        </is>
      </c>
    </row>
    <row r="199">
      <c r="A199" t="inlineStr">
        <is>
          <t>FL-MCH-03G</t>
        </is>
      </c>
      <c r="B199" t="inlineStr">
        <is>
          <t>PR03</t>
        </is>
      </c>
      <c r="C199" t="inlineStr">
        <is>
          <t>PR03 资本品 Pump / Aluminium</t>
        </is>
      </c>
      <c r="D199" t="inlineStr">
        <is>
          <t>物理流</t>
        </is>
      </c>
      <c r="E199" t="inlineStr">
        <is>
          <t>输入</t>
        </is>
      </c>
      <c r="G199" t="inlineStr">
        <is>
          <t>PR03</t>
        </is>
      </c>
      <c r="H199" t="inlineStr">
        <is>
          <t>physical_material</t>
        </is>
      </c>
      <c r="I199" t="n">
        <v>0.00329</v>
      </c>
      <c r="J199" t="inlineStr">
        <is>
          <t>kg/d</t>
        </is>
      </c>
      <c r="K199" t="inlineStr">
        <is>
          <t>1天</t>
        </is>
      </c>
      <c r="P199" t="n">
        <v>0.00329</v>
      </c>
      <c r="Q199" t="inlineStr">
        <is>
          <t>kg/d</t>
        </is>
      </c>
      <c r="R199" t="inlineStr">
        <is>
          <t>+</t>
        </is>
      </c>
      <c r="S199" t="inlineStr">
        <is>
          <t>否</t>
        </is>
      </c>
      <c r="T199" t="inlineStr">
        <is>
          <t>来源原始清单（未分配）</t>
        </is>
      </c>
      <c r="U199" t="inlineStr">
        <is>
          <t>SRC-RAW</t>
        </is>
      </c>
      <c r="V199" t="inlineStr">
        <is>
          <t>已审查</t>
        </is>
      </c>
      <c r="W199" t="inlineStr">
        <is>
          <t>否</t>
        </is>
      </c>
      <c r="X199" t="inlineStr">
        <is>
          <t>PR03 资本品 Pump / Aluminium 0.00329</t>
        </is>
      </c>
      <c r="Y199" t="inlineStr">
        <is>
          <t>2009 and 2010 measurement campaign (Gesan-Guiziou, personnal</t>
        </is>
      </c>
      <c r="Z199" t="inlineStr">
        <is>
          <t>CT-MCH-03G</t>
        </is>
      </c>
      <c r="AA199" t="inlineStr">
        <is>
          <t>直接报告</t>
        </is>
      </c>
      <c r="AB199" t="inlineStr">
        <is>
          <t>1天生产</t>
        </is>
      </c>
      <c r="AC199" t="inlineStr">
        <is>
          <t>1天生产</t>
        </is>
      </c>
    </row>
    <row r="200">
      <c r="A200" t="inlineStr">
        <is>
          <t>FL-MCH-04A</t>
        </is>
      </c>
      <c r="B200" t="inlineStr">
        <is>
          <t>PR04</t>
        </is>
      </c>
      <c r="C200" t="inlineStr">
        <is>
          <t>PR04 资本品 Plate heat exchanger / Structure / Stainless steel</t>
        </is>
      </c>
      <c r="D200" t="inlineStr">
        <is>
          <t>物理流</t>
        </is>
      </c>
      <c r="E200" t="inlineStr">
        <is>
          <t>输入</t>
        </is>
      </c>
      <c r="G200" t="inlineStr">
        <is>
          <t>PR04</t>
        </is>
      </c>
      <c r="H200" t="inlineStr">
        <is>
          <t>physical_material</t>
        </is>
      </c>
      <c r="I200" t="n">
        <v>0.4</v>
      </c>
      <c r="J200" t="inlineStr">
        <is>
          <t>kg/d</t>
        </is>
      </c>
      <c r="K200" t="inlineStr">
        <is>
          <t>1天</t>
        </is>
      </c>
      <c r="P200" t="n">
        <v>0.4</v>
      </c>
      <c r="Q200" t="inlineStr">
        <is>
          <t>kg/d</t>
        </is>
      </c>
      <c r="R200" t="inlineStr">
        <is>
          <t>+</t>
        </is>
      </c>
      <c r="S200" t="inlineStr">
        <is>
          <t>否</t>
        </is>
      </c>
      <c r="T200" t="inlineStr">
        <is>
          <t>来源原始清单（未分配）</t>
        </is>
      </c>
      <c r="U200" t="inlineStr">
        <is>
          <t>SRC-RAW</t>
        </is>
      </c>
      <c r="V200" t="inlineStr">
        <is>
          <t>已审查</t>
        </is>
      </c>
      <c r="W200" t="inlineStr">
        <is>
          <t>否</t>
        </is>
      </c>
      <c r="X200" t="inlineStr">
        <is>
          <t>PR04 资本品 Plate heat exchanger / Structure / Stainless steel 0.4</t>
        </is>
      </c>
      <c r="Y200" t="inlineStr">
        <is>
          <t>2009 and 2010 measurement campaign (Gesan-Guiziou, personnal</t>
        </is>
      </c>
      <c r="Z200" t="inlineStr">
        <is>
          <t>CT-MCH-04A</t>
        </is>
      </c>
      <c r="AA200" t="inlineStr">
        <is>
          <t>直接报告</t>
        </is>
      </c>
      <c r="AB200" t="inlineStr">
        <is>
          <t>1天生产</t>
        </is>
      </c>
      <c r="AC200" t="inlineStr">
        <is>
          <t>1天生产</t>
        </is>
      </c>
    </row>
    <row r="201">
      <c r="A201" t="inlineStr">
        <is>
          <t>FL-MCH-04B</t>
        </is>
      </c>
      <c r="B201" t="inlineStr">
        <is>
          <t>PR04</t>
        </is>
      </c>
      <c r="C201" t="inlineStr">
        <is>
          <t>PR04 资本品 Plate heat exchanger / Pipes / Stainless steel</t>
        </is>
      </c>
      <c r="D201" t="inlineStr">
        <is>
          <t>物理流</t>
        </is>
      </c>
      <c r="E201" t="inlineStr">
        <is>
          <t>输入</t>
        </is>
      </c>
      <c r="G201" t="inlineStr">
        <is>
          <t>PR04</t>
        </is>
      </c>
      <c r="H201" t="inlineStr">
        <is>
          <t>physical_material</t>
        </is>
      </c>
      <c r="I201" t="n">
        <v>0.14</v>
      </c>
      <c r="J201" t="inlineStr">
        <is>
          <t>kg/d</t>
        </is>
      </c>
      <c r="K201" t="inlineStr">
        <is>
          <t>1天</t>
        </is>
      </c>
      <c r="P201" t="n">
        <v>0.14</v>
      </c>
      <c r="Q201" t="inlineStr">
        <is>
          <t>kg/d</t>
        </is>
      </c>
      <c r="R201" t="inlineStr">
        <is>
          <t>+</t>
        </is>
      </c>
      <c r="S201" t="inlineStr">
        <is>
          <t>否</t>
        </is>
      </c>
      <c r="T201" t="inlineStr">
        <is>
          <t>来源原始清单（未分配）</t>
        </is>
      </c>
      <c r="U201" t="inlineStr">
        <is>
          <t>SRC-RAW</t>
        </is>
      </c>
      <c r="V201" t="inlineStr">
        <is>
          <t>已审查</t>
        </is>
      </c>
      <c r="W201" t="inlineStr">
        <is>
          <t>否</t>
        </is>
      </c>
      <c r="X201" t="inlineStr">
        <is>
          <t>PR04 资本品 Plate heat exchanger / Pipes / Stainless steel 0.14</t>
        </is>
      </c>
      <c r="Y201" t="inlineStr">
        <is>
          <t>设备按天摊销材料量</t>
        </is>
      </c>
      <c r="Z201" t="inlineStr">
        <is>
          <t>CT-MCH-04B</t>
        </is>
      </c>
      <c r="AA201" t="inlineStr">
        <is>
          <t>直接报告</t>
        </is>
      </c>
      <c r="AB201" t="inlineStr">
        <is>
          <t>1天生产</t>
        </is>
      </c>
      <c r="AC201" t="inlineStr">
        <is>
          <t>1天生产</t>
        </is>
      </c>
    </row>
    <row r="202">
      <c r="A202" t="inlineStr">
        <is>
          <t>FL-MCH-04C</t>
        </is>
      </c>
      <c r="B202" t="inlineStr">
        <is>
          <t>PR04</t>
        </is>
      </c>
      <c r="C202" t="inlineStr">
        <is>
          <t>PR04 资本品 Plate heat exchanger / chamber / Stainless steel</t>
        </is>
      </c>
      <c r="D202" t="inlineStr">
        <is>
          <t>物理流</t>
        </is>
      </c>
      <c r="E202" t="inlineStr">
        <is>
          <t>输入</t>
        </is>
      </c>
      <c r="G202" t="inlineStr">
        <is>
          <t>PR04</t>
        </is>
      </c>
      <c r="H202" t="inlineStr">
        <is>
          <t>physical_material</t>
        </is>
      </c>
      <c r="I202" t="n">
        <v>0.17</v>
      </c>
      <c r="J202" t="inlineStr">
        <is>
          <t>kg/d</t>
        </is>
      </c>
      <c r="K202" t="inlineStr">
        <is>
          <t>1天</t>
        </is>
      </c>
      <c r="P202" t="n">
        <v>0.17</v>
      </c>
      <c r="Q202" t="inlineStr">
        <is>
          <t>kg/d</t>
        </is>
      </c>
      <c r="R202" t="inlineStr">
        <is>
          <t>+</t>
        </is>
      </c>
      <c r="S202" t="inlineStr">
        <is>
          <t>否</t>
        </is>
      </c>
      <c r="T202" t="inlineStr">
        <is>
          <t>来源原始清单（未分配）</t>
        </is>
      </c>
      <c r="U202" t="inlineStr">
        <is>
          <t>SRC-RAW</t>
        </is>
      </c>
      <c r="V202" t="inlineStr">
        <is>
          <t>已审查</t>
        </is>
      </c>
      <c r="W202" t="inlineStr">
        <is>
          <t>否</t>
        </is>
      </c>
      <c r="X202" t="inlineStr">
        <is>
          <t>PR04 资本品 Plate heat exchanger / chamber / Stainless steel 0.17</t>
        </is>
      </c>
      <c r="Y202" t="inlineStr">
        <is>
          <t>设备按天摊销材料量</t>
        </is>
      </c>
      <c r="Z202" t="inlineStr">
        <is>
          <t>CT-MCH-04C</t>
        </is>
      </c>
      <c r="AA202" t="inlineStr">
        <is>
          <t>直接报告</t>
        </is>
      </c>
      <c r="AB202" t="inlineStr">
        <is>
          <t>1天生产</t>
        </is>
      </c>
      <c r="AC202" t="inlineStr">
        <is>
          <t>1天生产</t>
        </is>
      </c>
    </row>
    <row r="203">
      <c r="A203" t="inlineStr">
        <is>
          <t>FL-MCH-04D</t>
        </is>
      </c>
      <c r="B203" t="inlineStr">
        <is>
          <t>PR04</t>
        </is>
      </c>
      <c r="C203" t="inlineStr">
        <is>
          <t>PR04 资本品 Plate heat exchanger / Rings / synthetic rubber</t>
        </is>
      </c>
      <c r="D203" t="inlineStr">
        <is>
          <t>物理流</t>
        </is>
      </c>
      <c r="E203" t="inlineStr">
        <is>
          <t>输入</t>
        </is>
      </c>
      <c r="G203" t="inlineStr">
        <is>
          <t>PR04</t>
        </is>
      </c>
      <c r="H203" t="inlineStr">
        <is>
          <t>physical_material</t>
        </is>
      </c>
      <c r="I203" t="n">
        <v>0.12</v>
      </c>
      <c r="J203" t="inlineStr">
        <is>
          <t>kg/d</t>
        </is>
      </c>
      <c r="K203" t="inlineStr">
        <is>
          <t>1天</t>
        </is>
      </c>
      <c r="P203" t="n">
        <v>0.12</v>
      </c>
      <c r="Q203" t="inlineStr">
        <is>
          <t>kg/d</t>
        </is>
      </c>
      <c r="R203" t="inlineStr">
        <is>
          <t>+</t>
        </is>
      </c>
      <c r="S203" t="inlineStr">
        <is>
          <t>否</t>
        </is>
      </c>
      <c r="T203" t="inlineStr">
        <is>
          <t>来源原始清单（未分配）</t>
        </is>
      </c>
      <c r="U203" t="inlineStr">
        <is>
          <t>SRC-RAW</t>
        </is>
      </c>
      <c r="V203" t="inlineStr">
        <is>
          <t>已审查</t>
        </is>
      </c>
      <c r="W203" t="inlineStr">
        <is>
          <t>否</t>
        </is>
      </c>
      <c r="X203" t="inlineStr">
        <is>
          <t>PR04 资本品 Plate heat exchanger / Rings / synthetic rubber 0.12</t>
        </is>
      </c>
      <c r="Y203" t="inlineStr">
        <is>
          <t>设备按天摊销材料量</t>
        </is>
      </c>
      <c r="Z203" t="inlineStr">
        <is>
          <t>CT-MCH-04D</t>
        </is>
      </c>
      <c r="AA203" t="inlineStr">
        <is>
          <t>直接报告</t>
        </is>
      </c>
      <c r="AB203" t="inlineStr">
        <is>
          <t>1天生产</t>
        </is>
      </c>
      <c r="AC203" t="inlineStr">
        <is>
          <t>1天生产</t>
        </is>
      </c>
    </row>
    <row r="204">
      <c r="A204" t="inlineStr">
        <is>
          <t>FL-MCH-04E</t>
        </is>
      </c>
      <c r="B204" t="inlineStr">
        <is>
          <t>PR04</t>
        </is>
      </c>
      <c r="C204" t="inlineStr">
        <is>
          <t>PR04 资本品 Tanks / Tanks / stainless steel</t>
        </is>
      </c>
      <c r="D204" t="inlineStr">
        <is>
          <t>物理流</t>
        </is>
      </c>
      <c r="E204" t="inlineStr">
        <is>
          <t>输入</t>
        </is>
      </c>
      <c r="G204" t="inlineStr">
        <is>
          <t>PR04</t>
        </is>
      </c>
      <c r="H204" t="inlineStr">
        <is>
          <t>physical_material</t>
        </is>
      </c>
      <c r="I204" t="n">
        <v>3.5</v>
      </c>
      <c r="J204" t="inlineStr">
        <is>
          <t>kg/d</t>
        </is>
      </c>
      <c r="K204" t="inlineStr">
        <is>
          <t>1天</t>
        </is>
      </c>
      <c r="P204" t="n">
        <v>3.5</v>
      </c>
      <c r="Q204" t="inlineStr">
        <is>
          <t>kg/d</t>
        </is>
      </c>
      <c r="R204" t="inlineStr">
        <is>
          <t>+</t>
        </is>
      </c>
      <c r="S204" t="inlineStr">
        <is>
          <t>否</t>
        </is>
      </c>
      <c r="T204" t="inlineStr">
        <is>
          <t>来源原始清单（未分配）</t>
        </is>
      </c>
      <c r="U204" t="inlineStr">
        <is>
          <t>SRC-RAW</t>
        </is>
      </c>
      <c r="V204" t="inlineStr">
        <is>
          <t>已审查</t>
        </is>
      </c>
      <c r="W204" t="inlineStr">
        <is>
          <t>否</t>
        </is>
      </c>
      <c r="X204" t="inlineStr">
        <is>
          <t>PR04 资本品 Tanks / Tanks / stainless steel 3.5</t>
        </is>
      </c>
      <c r="Y204" t="inlineStr">
        <is>
          <t>Gésan-Guiziou et al. (2019)</t>
        </is>
      </c>
      <c r="Z204" t="inlineStr">
        <is>
          <t>CT-MCH-04E</t>
        </is>
      </c>
      <c r="AA204" t="inlineStr">
        <is>
          <t>直接报告</t>
        </is>
      </c>
      <c r="AB204" t="inlineStr">
        <is>
          <t>1天生产</t>
        </is>
      </c>
      <c r="AC204" t="inlineStr">
        <is>
          <t>1天生产</t>
        </is>
      </c>
    </row>
    <row r="205">
      <c r="A205" t="inlineStr">
        <is>
          <t>FL-MCH-04F</t>
        </is>
      </c>
      <c r="B205" t="inlineStr">
        <is>
          <t>PR04</t>
        </is>
      </c>
      <c r="C205" t="inlineStr">
        <is>
          <t>PR04 资本品 Tanks / Pipes / stainless steel</t>
        </is>
      </c>
      <c r="D205" t="inlineStr">
        <is>
          <t>物理流</t>
        </is>
      </c>
      <c r="E205" t="inlineStr">
        <is>
          <t>输入</t>
        </is>
      </c>
      <c r="G205" t="inlineStr">
        <is>
          <t>PR04</t>
        </is>
      </c>
      <c r="H205" t="inlineStr">
        <is>
          <t>physical_material</t>
        </is>
      </c>
      <c r="I205" t="n">
        <v>0.87</v>
      </c>
      <c r="J205" t="inlineStr">
        <is>
          <t>kg/d</t>
        </is>
      </c>
      <c r="K205" t="inlineStr">
        <is>
          <t>1天</t>
        </is>
      </c>
      <c r="P205" t="n">
        <v>0.87</v>
      </c>
      <c r="Q205" t="inlineStr">
        <is>
          <t>kg/d</t>
        </is>
      </c>
      <c r="R205" t="inlineStr">
        <is>
          <t>+</t>
        </is>
      </c>
      <c r="S205" t="inlineStr">
        <is>
          <t>否</t>
        </is>
      </c>
      <c r="T205" t="inlineStr">
        <is>
          <t>来源原始清单（未分配）</t>
        </is>
      </c>
      <c r="U205" t="inlineStr">
        <is>
          <t>SRC-RAW</t>
        </is>
      </c>
      <c r="V205" t="inlineStr">
        <is>
          <t>已审查</t>
        </is>
      </c>
      <c r="W205" t="inlineStr">
        <is>
          <t>否</t>
        </is>
      </c>
      <c r="X205" t="inlineStr">
        <is>
          <t>PR04 资本品 Tanks / Pipes / stainless steel 0.87</t>
        </is>
      </c>
      <c r="Y205" t="inlineStr">
        <is>
          <t>设备按天摊销材料量</t>
        </is>
      </c>
      <c r="Z205" t="inlineStr">
        <is>
          <t>CT-MCH-04F</t>
        </is>
      </c>
      <c r="AA205" t="inlineStr">
        <is>
          <t>直接报告</t>
        </is>
      </c>
      <c r="AB205" t="inlineStr">
        <is>
          <t>1天生产</t>
        </is>
      </c>
      <c r="AC205" t="inlineStr">
        <is>
          <t>1天生产</t>
        </is>
      </c>
    </row>
    <row r="206">
      <c r="A206" t="inlineStr">
        <is>
          <t>FL-MCH-04G</t>
        </is>
      </c>
      <c r="B206" t="inlineStr">
        <is>
          <t>PR04</t>
        </is>
      </c>
      <c r="C206" t="inlineStr">
        <is>
          <t>PR04 资本品 Pumps / engine / copper</t>
        </is>
      </c>
      <c r="D206" t="inlineStr">
        <is>
          <t>物理流</t>
        </is>
      </c>
      <c r="E206" t="inlineStr">
        <is>
          <t>输入</t>
        </is>
      </c>
      <c r="G206" t="inlineStr">
        <is>
          <t>PR04</t>
        </is>
      </c>
      <c r="H206" t="inlineStr">
        <is>
          <t>physical_material</t>
        </is>
      </c>
      <c r="I206" t="n">
        <v>0.0409</v>
      </c>
      <c r="J206" t="inlineStr">
        <is>
          <t>kg/d</t>
        </is>
      </c>
      <c r="K206" t="inlineStr">
        <is>
          <t>1天</t>
        </is>
      </c>
      <c r="P206" t="n">
        <v>0.0409</v>
      </c>
      <c r="Q206" t="inlineStr">
        <is>
          <t>kg/d</t>
        </is>
      </c>
      <c r="R206" t="inlineStr">
        <is>
          <t>+</t>
        </is>
      </c>
      <c r="S206" t="inlineStr">
        <is>
          <t>否</t>
        </is>
      </c>
      <c r="T206" t="inlineStr">
        <is>
          <t>来源原始清单（未分配）</t>
        </is>
      </c>
      <c r="U206" t="inlineStr">
        <is>
          <t>SRC-RAW</t>
        </is>
      </c>
      <c r="V206" t="inlineStr">
        <is>
          <t>已审查</t>
        </is>
      </c>
      <c r="W206" t="inlineStr">
        <is>
          <t>否</t>
        </is>
      </c>
      <c r="X206" t="inlineStr">
        <is>
          <t>PR04 资本品 Pumps / engine / copper 0.0409</t>
        </is>
      </c>
      <c r="Y206" t="inlineStr">
        <is>
          <t>Table 2  in Gésan-Guiziou et al. (2019) minus 2_skimming</t>
        </is>
      </c>
      <c r="Z206" t="inlineStr">
        <is>
          <t>CT-MCH-04G</t>
        </is>
      </c>
      <c r="AA206" t="inlineStr">
        <is>
          <t>直接报告</t>
        </is>
      </c>
      <c r="AB206" t="inlineStr">
        <is>
          <t>1天生产</t>
        </is>
      </c>
      <c r="AC206" t="inlineStr">
        <is>
          <t>1天生产</t>
        </is>
      </c>
    </row>
    <row r="207">
      <c r="A207" t="inlineStr">
        <is>
          <t>FL-MCH-04H</t>
        </is>
      </c>
      <c r="B207" t="inlineStr">
        <is>
          <t>PR04</t>
        </is>
      </c>
      <c r="C207" t="inlineStr">
        <is>
          <t>PR04 资本品 Pumps / Aluminium</t>
        </is>
      </c>
      <c r="D207" t="inlineStr">
        <is>
          <t>物理流</t>
        </is>
      </c>
      <c r="E207" t="inlineStr">
        <is>
          <t>输入</t>
        </is>
      </c>
      <c r="G207" t="inlineStr">
        <is>
          <t>PR04</t>
        </is>
      </c>
      <c r="H207" t="inlineStr">
        <is>
          <t>physical_material</t>
        </is>
      </c>
      <c r="I207" t="n">
        <v>0.10671</v>
      </c>
      <c r="J207" t="inlineStr">
        <is>
          <t>kg/d</t>
        </is>
      </c>
      <c r="K207" t="inlineStr">
        <is>
          <t>1天</t>
        </is>
      </c>
      <c r="P207" t="n">
        <v>0.10671</v>
      </c>
      <c r="Q207" t="inlineStr">
        <is>
          <t>kg/d</t>
        </is>
      </c>
      <c r="R207" t="inlineStr">
        <is>
          <t>+</t>
        </is>
      </c>
      <c r="S207" t="inlineStr">
        <is>
          <t>否</t>
        </is>
      </c>
      <c r="T207" t="inlineStr">
        <is>
          <t>来源原始清单（未分配）</t>
        </is>
      </c>
      <c r="U207" t="inlineStr">
        <is>
          <t>SRC-RAW</t>
        </is>
      </c>
      <c r="V207" t="inlineStr">
        <is>
          <t>已审查</t>
        </is>
      </c>
      <c r="W207" t="inlineStr">
        <is>
          <t>否</t>
        </is>
      </c>
      <c r="X207" t="inlineStr">
        <is>
          <t>PR04 资本品 Pumps / Aluminium 0.10671</t>
        </is>
      </c>
      <c r="Y207" t="inlineStr">
        <is>
          <t>设备按天摊销材料量</t>
        </is>
      </c>
      <c r="Z207" t="inlineStr">
        <is>
          <t>CT-MCH-04H</t>
        </is>
      </c>
      <c r="AA207" t="inlineStr">
        <is>
          <t>直接报告</t>
        </is>
      </c>
      <c r="AB207" t="inlineStr">
        <is>
          <t>1天生产</t>
        </is>
      </c>
      <c r="AC207" t="inlineStr">
        <is>
          <t>1天生产</t>
        </is>
      </c>
    </row>
    <row r="208">
      <c r="A208" t="inlineStr">
        <is>
          <t>FL-MCH-05A</t>
        </is>
      </c>
      <c r="B208" t="inlineStr">
        <is>
          <t>PR05</t>
        </is>
      </c>
      <c r="C208" t="inlineStr">
        <is>
          <t>PR05 资本品 Microfiltration module / Membrane carter / stainless steel</t>
        </is>
      </c>
      <c r="D208" t="inlineStr">
        <is>
          <t>物理流</t>
        </is>
      </c>
      <c r="E208" t="inlineStr">
        <is>
          <t>输入</t>
        </is>
      </c>
      <c r="G208" t="inlineStr">
        <is>
          <t>PR05</t>
        </is>
      </c>
      <c r="H208" t="inlineStr">
        <is>
          <t>physical_material</t>
        </is>
      </c>
      <c r="I208" t="n">
        <v>1.12</v>
      </c>
      <c r="J208" t="inlineStr">
        <is>
          <t>kg/d</t>
        </is>
      </c>
      <c r="K208" t="inlineStr">
        <is>
          <t>1天</t>
        </is>
      </c>
      <c r="P208" t="n">
        <v>1.12</v>
      </c>
      <c r="Q208" t="inlineStr">
        <is>
          <t>kg/d</t>
        </is>
      </c>
      <c r="R208" t="inlineStr">
        <is>
          <t>+</t>
        </is>
      </c>
      <c r="S208" t="inlineStr">
        <is>
          <t>否</t>
        </is>
      </c>
      <c r="T208" t="inlineStr">
        <is>
          <t>来源原始清单（未分配）</t>
        </is>
      </c>
      <c r="U208" t="inlineStr">
        <is>
          <t>SRC-RAW</t>
        </is>
      </c>
      <c r="V208" t="inlineStr">
        <is>
          <t>已审查</t>
        </is>
      </c>
      <c r="W208" t="inlineStr">
        <is>
          <t>否</t>
        </is>
      </c>
      <c r="X208" t="inlineStr">
        <is>
          <t>PR05 资本品 Microfiltration module / Membrane carter / stainless steel 1.12</t>
        </is>
      </c>
      <c r="Y208" t="inlineStr">
        <is>
          <t>2009 and 2010 measurement campaign (Gesan-Guiziou, personnal</t>
        </is>
      </c>
      <c r="Z208" t="inlineStr">
        <is>
          <t>CT-MCH-05A</t>
        </is>
      </c>
      <c r="AA208" t="inlineStr">
        <is>
          <t>直接报告</t>
        </is>
      </c>
      <c r="AB208" t="inlineStr">
        <is>
          <t>1天生产</t>
        </is>
      </c>
      <c r="AC208" t="inlineStr">
        <is>
          <t>1天生产</t>
        </is>
      </c>
    </row>
    <row r="209">
      <c r="A209" t="inlineStr">
        <is>
          <t>FL-MCH-05B</t>
        </is>
      </c>
      <c r="B209" t="inlineStr">
        <is>
          <t>PR05</t>
        </is>
      </c>
      <c r="C209" t="inlineStr">
        <is>
          <t>PR05 资本品 Microfiltration module / Ceramic membranes / Alumine</t>
        </is>
      </c>
      <c r="D209" t="inlineStr">
        <is>
          <t>物理流</t>
        </is>
      </c>
      <c r="E209" t="inlineStr">
        <is>
          <t>输入</t>
        </is>
      </c>
      <c r="G209" t="inlineStr">
        <is>
          <t>PR05</t>
        </is>
      </c>
      <c r="H209" t="inlineStr">
        <is>
          <t>physical_material</t>
        </is>
      </c>
      <c r="I209" t="n">
        <v>1.08</v>
      </c>
      <c r="J209" t="inlineStr">
        <is>
          <t>kg/d</t>
        </is>
      </c>
      <c r="K209" t="inlineStr">
        <is>
          <t>1天</t>
        </is>
      </c>
      <c r="P209" t="n">
        <v>1.08</v>
      </c>
      <c r="Q209" t="inlineStr">
        <is>
          <t>kg/d</t>
        </is>
      </c>
      <c r="R209" t="inlineStr">
        <is>
          <t>+</t>
        </is>
      </c>
      <c r="S209" t="inlineStr">
        <is>
          <t>否</t>
        </is>
      </c>
      <c r="T209" t="inlineStr">
        <is>
          <t>来源原始清单（未分配）</t>
        </is>
      </c>
      <c r="U209" t="inlineStr">
        <is>
          <t>SRC-RAW</t>
        </is>
      </c>
      <c r="V209" t="inlineStr">
        <is>
          <t>已审查</t>
        </is>
      </c>
      <c r="W209" t="inlineStr">
        <is>
          <t>否</t>
        </is>
      </c>
      <c r="X209" t="inlineStr">
        <is>
          <t>PR05 资本品 Microfiltration module / Ceramic membranes / Alumine 1.08</t>
        </is>
      </c>
      <c r="Y209" t="inlineStr">
        <is>
          <t>设备按天摊销材料量</t>
        </is>
      </c>
      <c r="Z209" t="inlineStr">
        <is>
          <t>CT-MCH-05B</t>
        </is>
      </c>
      <c r="AA209" t="inlineStr">
        <is>
          <t>直接报告</t>
        </is>
      </c>
      <c r="AB209" t="inlineStr">
        <is>
          <t>1天生产</t>
        </is>
      </c>
      <c r="AC209" t="inlineStr">
        <is>
          <t>1天生产</t>
        </is>
      </c>
    </row>
    <row r="210">
      <c r="A210" t="inlineStr">
        <is>
          <t>FL-MCH-05C</t>
        </is>
      </c>
      <c r="B210" t="inlineStr">
        <is>
          <t>PR05</t>
        </is>
      </c>
      <c r="C210" t="inlineStr">
        <is>
          <t>PR05 资本品 Microfiltration module / Pumps / cast iron</t>
        </is>
      </c>
      <c r="D210" t="inlineStr">
        <is>
          <t>物理流</t>
        </is>
      </c>
      <c r="E210" t="inlineStr">
        <is>
          <t>输入</t>
        </is>
      </c>
      <c r="G210" t="inlineStr">
        <is>
          <t>PR05</t>
        </is>
      </c>
      <c r="H210" t="inlineStr">
        <is>
          <t>physical_material</t>
        </is>
      </c>
      <c r="I210" t="n">
        <v>0.47</v>
      </c>
      <c r="J210" t="inlineStr">
        <is>
          <t>kg/d</t>
        </is>
      </c>
      <c r="K210" t="inlineStr">
        <is>
          <t>1天</t>
        </is>
      </c>
      <c r="P210" t="n">
        <v>0.47</v>
      </c>
      <c r="Q210" t="inlineStr">
        <is>
          <t>kg/d</t>
        </is>
      </c>
      <c r="R210" t="inlineStr">
        <is>
          <t>+</t>
        </is>
      </c>
      <c r="S210" t="inlineStr">
        <is>
          <t>否</t>
        </is>
      </c>
      <c r="T210" t="inlineStr">
        <is>
          <t>来源原始清单（未分配）</t>
        </is>
      </c>
      <c r="U210" t="inlineStr">
        <is>
          <t>SRC-RAW</t>
        </is>
      </c>
      <c r="V210" t="inlineStr">
        <is>
          <t>已审查</t>
        </is>
      </c>
      <c r="W210" t="inlineStr">
        <is>
          <t>否</t>
        </is>
      </c>
      <c r="X210" t="inlineStr">
        <is>
          <t>PR05 资本品 Microfiltration module / Pumps / cast iron 0.47</t>
        </is>
      </c>
      <c r="Y210" t="inlineStr">
        <is>
          <t>设备按天摊销材料量</t>
        </is>
      </c>
      <c r="Z210" t="inlineStr">
        <is>
          <t>CT-MCH-05C</t>
        </is>
      </c>
      <c r="AA210" t="inlineStr">
        <is>
          <t>直接报告</t>
        </is>
      </c>
      <c r="AB210" t="inlineStr">
        <is>
          <t>1天生产</t>
        </is>
      </c>
      <c r="AC210" t="inlineStr">
        <is>
          <t>1天生产</t>
        </is>
      </c>
    </row>
    <row r="211">
      <c r="A211" t="inlineStr">
        <is>
          <t>FL-MCH-05D</t>
        </is>
      </c>
      <c r="B211" t="inlineStr">
        <is>
          <t>PR05</t>
        </is>
      </c>
      <c r="C211" t="inlineStr">
        <is>
          <t>PR05 资本品 Microfiltration module / Aluminium</t>
        </is>
      </c>
      <c r="D211" t="inlineStr">
        <is>
          <t>物理流</t>
        </is>
      </c>
      <c r="E211" t="inlineStr">
        <is>
          <t>输入</t>
        </is>
      </c>
      <c r="G211" t="inlineStr">
        <is>
          <t>PR05</t>
        </is>
      </c>
      <c r="H211" t="inlineStr">
        <is>
          <t>physical_material</t>
        </is>
      </c>
      <c r="I211" t="n">
        <v>0.16</v>
      </c>
      <c r="J211" t="inlineStr">
        <is>
          <t>kg/d</t>
        </is>
      </c>
      <c r="K211" t="inlineStr">
        <is>
          <t>1天</t>
        </is>
      </c>
      <c r="P211" t="n">
        <v>0.16</v>
      </c>
      <c r="Q211" t="inlineStr">
        <is>
          <t>kg/d</t>
        </is>
      </c>
      <c r="R211" t="inlineStr">
        <is>
          <t>+</t>
        </is>
      </c>
      <c r="S211" t="inlineStr">
        <is>
          <t>否</t>
        </is>
      </c>
      <c r="T211" t="inlineStr">
        <is>
          <t>来源原始清单（未分配）</t>
        </is>
      </c>
      <c r="U211" t="inlineStr">
        <is>
          <t>SRC-RAW</t>
        </is>
      </c>
      <c r="V211" t="inlineStr">
        <is>
          <t>已审查</t>
        </is>
      </c>
      <c r="W211" t="inlineStr">
        <is>
          <t>否</t>
        </is>
      </c>
      <c r="X211" t="inlineStr">
        <is>
          <t>PR05 资本品 Microfiltration module / Aluminium 0.16</t>
        </is>
      </c>
      <c r="Y211" t="inlineStr">
        <is>
          <t>设备按天摊销材料量</t>
        </is>
      </c>
      <c r="Z211" t="inlineStr">
        <is>
          <t>CT-MCH-05D</t>
        </is>
      </c>
      <c r="AA211" t="inlineStr">
        <is>
          <t>直接报告</t>
        </is>
      </c>
      <c r="AB211" t="inlineStr">
        <is>
          <t>1天生产</t>
        </is>
      </c>
      <c r="AC211" t="inlineStr">
        <is>
          <t>1天生产</t>
        </is>
      </c>
    </row>
    <row r="212">
      <c r="A212" t="inlineStr">
        <is>
          <t>FL-MCH-05E</t>
        </is>
      </c>
      <c r="B212" t="inlineStr">
        <is>
          <t>PR05</t>
        </is>
      </c>
      <c r="C212" t="inlineStr">
        <is>
          <t>PR05 资本品 Microfiltration module / copper</t>
        </is>
      </c>
      <c r="D212" t="inlineStr">
        <is>
          <t>物理流</t>
        </is>
      </c>
      <c r="E212" t="inlineStr">
        <is>
          <t>输入</t>
        </is>
      </c>
      <c r="G212" t="inlineStr">
        <is>
          <t>PR05</t>
        </is>
      </c>
      <c r="H212" t="inlineStr">
        <is>
          <t>physical_material</t>
        </is>
      </c>
      <c r="I212" t="n">
        <v>0.35</v>
      </c>
      <c r="J212" t="inlineStr">
        <is>
          <t>kg/d</t>
        </is>
      </c>
      <c r="K212" t="inlineStr">
        <is>
          <t>1天</t>
        </is>
      </c>
      <c r="P212" t="n">
        <v>0.35</v>
      </c>
      <c r="Q212" t="inlineStr">
        <is>
          <t>kg/d</t>
        </is>
      </c>
      <c r="R212" t="inlineStr">
        <is>
          <t>+</t>
        </is>
      </c>
      <c r="S212" t="inlineStr">
        <is>
          <t>否</t>
        </is>
      </c>
      <c r="T212" t="inlineStr">
        <is>
          <t>来源原始清单（未分配）</t>
        </is>
      </c>
      <c r="U212" t="inlineStr">
        <is>
          <t>SRC-RAW</t>
        </is>
      </c>
      <c r="V212" t="inlineStr">
        <is>
          <t>已审查</t>
        </is>
      </c>
      <c r="W212" t="inlineStr">
        <is>
          <t>否</t>
        </is>
      </c>
      <c r="X212" t="inlineStr">
        <is>
          <t>PR05 资本品 Microfiltration module / copper 0.35</t>
        </is>
      </c>
      <c r="Y212" t="inlineStr">
        <is>
          <t>设备按天摊销材料量</t>
        </is>
      </c>
      <c r="Z212" t="inlineStr">
        <is>
          <t>CT-MCH-05E</t>
        </is>
      </c>
      <c r="AA212" t="inlineStr">
        <is>
          <t>直接报告</t>
        </is>
      </c>
      <c r="AB212" t="inlineStr">
        <is>
          <t>1天生产</t>
        </is>
      </c>
      <c r="AC212" t="inlineStr">
        <is>
          <t>1天生产</t>
        </is>
      </c>
    </row>
    <row r="213">
      <c r="A213" t="inlineStr">
        <is>
          <t>FL-MCH-05F</t>
        </is>
      </c>
      <c r="B213" t="inlineStr">
        <is>
          <t>PR05</t>
        </is>
      </c>
      <c r="C213" t="inlineStr">
        <is>
          <t>PR05 资本品 Microfiltration module / Polypropylene</t>
        </is>
      </c>
      <c r="D213" t="inlineStr">
        <is>
          <t>物理流</t>
        </is>
      </c>
      <c r="E213" t="inlineStr">
        <is>
          <t>输入</t>
        </is>
      </c>
      <c r="G213" t="inlineStr">
        <is>
          <t>PR05</t>
        </is>
      </c>
      <c r="H213" t="inlineStr">
        <is>
          <t>physical_material</t>
        </is>
      </c>
      <c r="I213" t="n">
        <v>0.003</v>
      </c>
      <c r="J213" t="inlineStr">
        <is>
          <t>kg/d</t>
        </is>
      </c>
      <c r="K213" t="inlineStr">
        <is>
          <t>1天</t>
        </is>
      </c>
      <c r="P213" t="n">
        <v>0.003</v>
      </c>
      <c r="Q213" t="inlineStr">
        <is>
          <t>kg/d</t>
        </is>
      </c>
      <c r="R213" t="inlineStr">
        <is>
          <t>+</t>
        </is>
      </c>
      <c r="S213" t="inlineStr">
        <is>
          <t>否</t>
        </is>
      </c>
      <c r="T213" t="inlineStr">
        <is>
          <t>来源原始清单（未分配）</t>
        </is>
      </c>
      <c r="U213" t="inlineStr">
        <is>
          <t>SRC-RAW</t>
        </is>
      </c>
      <c r="V213" t="inlineStr">
        <is>
          <t>已审查</t>
        </is>
      </c>
      <c r="W213" t="inlineStr">
        <is>
          <t>否</t>
        </is>
      </c>
      <c r="X213" t="inlineStr">
        <is>
          <t>PR05 资本品 Microfiltration module / Polypropylene 0.003</t>
        </is>
      </c>
      <c r="Y213" t="inlineStr">
        <is>
          <t>设备按天摊销材料量</t>
        </is>
      </c>
      <c r="Z213" t="inlineStr">
        <is>
          <t>CT-MCH-05F</t>
        </is>
      </c>
      <c r="AA213" t="inlineStr">
        <is>
          <t>直接报告</t>
        </is>
      </c>
      <c r="AB213" t="inlineStr">
        <is>
          <t>1天生产</t>
        </is>
      </c>
      <c r="AC213" t="inlineStr">
        <is>
          <t>1天生产</t>
        </is>
      </c>
    </row>
    <row r="214">
      <c r="A214" t="inlineStr">
        <is>
          <t>FL-MCH-05G</t>
        </is>
      </c>
      <c r="B214" t="inlineStr">
        <is>
          <t>PR05</t>
        </is>
      </c>
      <c r="C214" t="inlineStr">
        <is>
          <t>PR05 资本品 Microfiltration module / Rings / synthetic rubber</t>
        </is>
      </c>
      <c r="D214" t="inlineStr">
        <is>
          <t>物理流</t>
        </is>
      </c>
      <c r="E214" t="inlineStr">
        <is>
          <t>输入</t>
        </is>
      </c>
      <c r="G214" t="inlineStr">
        <is>
          <t>PR05</t>
        </is>
      </c>
      <c r="H214" t="inlineStr">
        <is>
          <t>physical_material</t>
        </is>
      </c>
      <c r="I214" t="n">
        <v>0.15</v>
      </c>
      <c r="J214" t="inlineStr">
        <is>
          <t>kg/d</t>
        </is>
      </c>
      <c r="K214" t="inlineStr">
        <is>
          <t>1天</t>
        </is>
      </c>
      <c r="P214" t="n">
        <v>0.15</v>
      </c>
      <c r="Q214" t="inlineStr">
        <is>
          <t>kg/d</t>
        </is>
      </c>
      <c r="R214" t="inlineStr">
        <is>
          <t>+</t>
        </is>
      </c>
      <c r="S214" t="inlineStr">
        <is>
          <t>否</t>
        </is>
      </c>
      <c r="T214" t="inlineStr">
        <is>
          <t>来源原始清单（未分配）</t>
        </is>
      </c>
      <c r="U214" t="inlineStr">
        <is>
          <t>SRC-RAW</t>
        </is>
      </c>
      <c r="V214" t="inlineStr">
        <is>
          <t>已审查</t>
        </is>
      </c>
      <c r="W214" t="inlineStr">
        <is>
          <t>否</t>
        </is>
      </c>
      <c r="X214" t="inlineStr">
        <is>
          <t>PR05 资本品 Microfiltration module / Rings / synthetic rubber 0.15</t>
        </is>
      </c>
      <c r="Y214" t="inlineStr">
        <is>
          <t>设备按天摊销材料量</t>
        </is>
      </c>
      <c r="Z214" t="inlineStr">
        <is>
          <t>CT-MCH-05G</t>
        </is>
      </c>
      <c r="AA214" t="inlineStr">
        <is>
          <t>直接报告</t>
        </is>
      </c>
      <c r="AB214" t="inlineStr">
        <is>
          <t>1天生产</t>
        </is>
      </c>
      <c r="AC214" t="inlineStr">
        <is>
          <t>1天生产</t>
        </is>
      </c>
    </row>
    <row r="215">
      <c r="A215" t="inlineStr">
        <is>
          <t>FL-MCH-05H</t>
        </is>
      </c>
      <c r="B215" t="inlineStr">
        <is>
          <t>PR05</t>
        </is>
      </c>
      <c r="C215" t="inlineStr">
        <is>
          <t>PR05 资本品 Microfiltration module / silicon carbide</t>
        </is>
      </c>
      <c r="D215" t="inlineStr">
        <is>
          <t>物理流</t>
        </is>
      </c>
      <c r="E215" t="inlineStr">
        <is>
          <t>输入</t>
        </is>
      </c>
      <c r="G215" t="inlineStr">
        <is>
          <t>PR05</t>
        </is>
      </c>
      <c r="H215" t="inlineStr">
        <is>
          <t>physical_material</t>
        </is>
      </c>
      <c r="I215" t="n">
        <v>0.004</v>
      </c>
      <c r="J215" t="inlineStr">
        <is>
          <t>kg/d</t>
        </is>
      </c>
      <c r="K215" t="inlineStr">
        <is>
          <t>1天</t>
        </is>
      </c>
      <c r="P215" t="n">
        <v>0.004</v>
      </c>
      <c r="Q215" t="inlineStr">
        <is>
          <t>kg/d</t>
        </is>
      </c>
      <c r="R215" t="inlineStr">
        <is>
          <t>+</t>
        </is>
      </c>
      <c r="S215" t="inlineStr">
        <is>
          <t>否</t>
        </is>
      </c>
      <c r="T215" t="inlineStr">
        <is>
          <t>来源原始清单（未分配）</t>
        </is>
      </c>
      <c r="U215" t="inlineStr">
        <is>
          <t>SRC-RAW</t>
        </is>
      </c>
      <c r="V215" t="inlineStr">
        <is>
          <t>已审查</t>
        </is>
      </c>
      <c r="W215" t="inlineStr">
        <is>
          <t>否</t>
        </is>
      </c>
      <c r="X215" t="inlineStr">
        <is>
          <t>PR05 资本品 Microfiltration module / silicon carbide 0.004</t>
        </is>
      </c>
      <c r="Y215" t="inlineStr">
        <is>
          <t>设备按天摊销材料量</t>
        </is>
      </c>
      <c r="Z215" t="inlineStr">
        <is>
          <t>CT-MCH-05H</t>
        </is>
      </c>
      <c r="AA215" t="inlineStr">
        <is>
          <t>直接报告</t>
        </is>
      </c>
      <c r="AB215" t="inlineStr">
        <is>
          <t>1天生产</t>
        </is>
      </c>
      <c r="AC215" t="inlineStr">
        <is>
          <t>1天生产</t>
        </is>
      </c>
    </row>
    <row r="216">
      <c r="A216" t="inlineStr">
        <is>
          <t>FL-MCH-05I</t>
        </is>
      </c>
      <c r="B216" t="inlineStr">
        <is>
          <t>PR05</t>
        </is>
      </c>
      <c r="C216" t="inlineStr">
        <is>
          <t>PR05 资本品 Microfiltration module / other parts / Silicone</t>
        </is>
      </c>
      <c r="D216" t="inlineStr">
        <is>
          <t>物理流</t>
        </is>
      </c>
      <c r="E216" t="inlineStr">
        <is>
          <t>输入</t>
        </is>
      </c>
      <c r="G216" t="inlineStr">
        <is>
          <t>PR05</t>
        </is>
      </c>
      <c r="H216" t="inlineStr">
        <is>
          <t>physical_material</t>
        </is>
      </c>
      <c r="I216" t="n">
        <v>0.011</v>
      </c>
      <c r="J216" t="inlineStr">
        <is>
          <t>kg/d</t>
        </is>
      </c>
      <c r="K216" t="inlineStr">
        <is>
          <t>1天</t>
        </is>
      </c>
      <c r="P216" t="n">
        <v>0.011</v>
      </c>
      <c r="Q216" t="inlineStr">
        <is>
          <t>kg/d</t>
        </is>
      </c>
      <c r="R216" t="inlineStr">
        <is>
          <t>+</t>
        </is>
      </c>
      <c r="S216" t="inlineStr">
        <is>
          <t>否</t>
        </is>
      </c>
      <c r="T216" t="inlineStr">
        <is>
          <t>来源原始清单（未分配）</t>
        </is>
      </c>
      <c r="U216" t="inlineStr">
        <is>
          <t>SRC-RAW</t>
        </is>
      </c>
      <c r="V216" t="inlineStr">
        <is>
          <t>已审查</t>
        </is>
      </c>
      <c r="W216" t="inlineStr">
        <is>
          <t>否</t>
        </is>
      </c>
      <c r="X216" t="inlineStr">
        <is>
          <t>PR05 资本品 Microfiltration module / other parts / Silicone 0.011</t>
        </is>
      </c>
      <c r="Y216" t="inlineStr">
        <is>
          <t>设备按天摊销材料量</t>
        </is>
      </c>
      <c r="Z216" t="inlineStr">
        <is>
          <t>CT-MCH-05I</t>
        </is>
      </c>
      <c r="AA216" t="inlineStr">
        <is>
          <t>直接报告</t>
        </is>
      </c>
      <c r="AB216" t="inlineStr">
        <is>
          <t>1天生产</t>
        </is>
      </c>
      <c r="AC216" t="inlineStr">
        <is>
          <t>1天生产</t>
        </is>
      </c>
    </row>
    <row r="217">
      <c r="A217" t="inlineStr">
        <is>
          <t>FL-MCH-05J</t>
        </is>
      </c>
      <c r="B217" t="inlineStr">
        <is>
          <t>PR05</t>
        </is>
      </c>
      <c r="C217" t="inlineStr">
        <is>
          <t>PR05 资本品 Pump to heating / engine / copper</t>
        </is>
      </c>
      <c r="D217" t="inlineStr">
        <is>
          <t>物理流</t>
        </is>
      </c>
      <c r="E217" t="inlineStr">
        <is>
          <t>输入</t>
        </is>
      </c>
      <c r="G217" t="inlineStr">
        <is>
          <t>PR05</t>
        </is>
      </c>
      <c r="H217" t="inlineStr">
        <is>
          <t>physical_material</t>
        </is>
      </c>
      <c r="I217" t="n">
        <v>0.00678</v>
      </c>
      <c r="J217" t="inlineStr">
        <is>
          <t>kg/d</t>
        </is>
      </c>
      <c r="K217" t="inlineStr">
        <is>
          <t>1天</t>
        </is>
      </c>
      <c r="P217" t="n">
        <v>0.00678</v>
      </c>
      <c r="Q217" t="inlineStr">
        <is>
          <t>kg/d</t>
        </is>
      </c>
      <c r="R217" t="inlineStr">
        <is>
          <t>+</t>
        </is>
      </c>
      <c r="S217" t="inlineStr">
        <is>
          <t>否</t>
        </is>
      </c>
      <c r="T217" t="inlineStr">
        <is>
          <t>来源原始清单（未分配）</t>
        </is>
      </c>
      <c r="U217" t="inlineStr">
        <is>
          <t>SRC-RAW</t>
        </is>
      </c>
      <c r="V217" t="inlineStr">
        <is>
          <t>已审查</t>
        </is>
      </c>
      <c r="W217" t="inlineStr">
        <is>
          <t>否</t>
        </is>
      </c>
      <c r="X217" t="inlineStr">
        <is>
          <t>PR05 资本品 Pump to heating / engine / copper 0.00678</t>
        </is>
      </c>
      <c r="Y217" t="inlineStr">
        <is>
          <t>Gésan-Guiziou et al. (2019)</t>
        </is>
      </c>
      <c r="Z217" t="inlineStr">
        <is>
          <t>CT-MCH-05J</t>
        </is>
      </c>
      <c r="AA217" t="inlineStr">
        <is>
          <t>直接报告</t>
        </is>
      </c>
      <c r="AB217" t="inlineStr">
        <is>
          <t>1天生产</t>
        </is>
      </c>
      <c r="AC217" t="inlineStr">
        <is>
          <t>1天生产</t>
        </is>
      </c>
    </row>
    <row r="218">
      <c r="A218" t="inlineStr">
        <is>
          <t>FL-MCH-05K</t>
        </is>
      </c>
      <c r="B218" t="inlineStr">
        <is>
          <t>PR05</t>
        </is>
      </c>
      <c r="C218" t="inlineStr">
        <is>
          <t>PR05 资本品 Pump to heating / Aluminium</t>
        </is>
      </c>
      <c r="D218" t="inlineStr">
        <is>
          <t>物理流</t>
        </is>
      </c>
      <c r="E218" t="inlineStr">
        <is>
          <t>输入</t>
        </is>
      </c>
      <c r="G218" t="inlineStr">
        <is>
          <t>PR05</t>
        </is>
      </c>
      <c r="H218" t="inlineStr">
        <is>
          <t>physical_material</t>
        </is>
      </c>
      <c r="I218" t="n">
        <v>0.0132</v>
      </c>
      <c r="J218" t="inlineStr">
        <is>
          <t>kg/d</t>
        </is>
      </c>
      <c r="K218" t="inlineStr">
        <is>
          <t>1天</t>
        </is>
      </c>
      <c r="P218" t="n">
        <v>0.0132</v>
      </c>
      <c r="Q218" t="inlineStr">
        <is>
          <t>kg/d</t>
        </is>
      </c>
      <c r="R218" t="inlineStr">
        <is>
          <t>+</t>
        </is>
      </c>
      <c r="S218" t="inlineStr">
        <is>
          <t>否</t>
        </is>
      </c>
      <c r="T218" t="inlineStr">
        <is>
          <t>来源原始清单（未分配）</t>
        </is>
      </c>
      <c r="U218" t="inlineStr">
        <is>
          <t>SRC-RAW</t>
        </is>
      </c>
      <c r="V218" t="inlineStr">
        <is>
          <t>已审查</t>
        </is>
      </c>
      <c r="W218" t="inlineStr">
        <is>
          <t>否</t>
        </is>
      </c>
      <c r="X218" t="inlineStr">
        <is>
          <t>PR05 资本品 Pump to heating / Aluminium 0.0132</t>
        </is>
      </c>
      <c r="Y218" t="inlineStr">
        <is>
          <t>设备按天摊销材料量</t>
        </is>
      </c>
      <c r="Z218" t="inlineStr">
        <is>
          <t>CT-MCH-05K</t>
        </is>
      </c>
      <c r="AA218" t="inlineStr">
        <is>
          <t>直接报告</t>
        </is>
      </c>
      <c r="AB218" t="inlineStr">
        <is>
          <t>1天生产</t>
        </is>
      </c>
      <c r="AC218" t="inlineStr">
        <is>
          <t>1天生产</t>
        </is>
      </c>
    </row>
    <row r="219">
      <c r="A219" t="inlineStr">
        <is>
          <t>FL-MCH-05L</t>
        </is>
      </c>
      <c r="B219" t="inlineStr">
        <is>
          <t>PR05</t>
        </is>
      </c>
      <c r="C219" t="inlineStr">
        <is>
          <t>PR05 资本品 plate heat exchanger / Structure / stainless steel</t>
        </is>
      </c>
      <c r="D219" t="inlineStr">
        <is>
          <t>物理流</t>
        </is>
      </c>
      <c r="E219" t="inlineStr">
        <is>
          <t>输入</t>
        </is>
      </c>
      <c r="G219" t="inlineStr">
        <is>
          <t>PR05</t>
        </is>
      </c>
      <c r="H219" t="inlineStr">
        <is>
          <t>physical_material</t>
        </is>
      </c>
      <c r="I219" t="n">
        <v>0.152</v>
      </c>
      <c r="J219" t="inlineStr">
        <is>
          <t>kg/d</t>
        </is>
      </c>
      <c r="K219" t="inlineStr">
        <is>
          <t>1天</t>
        </is>
      </c>
      <c r="P219" t="n">
        <v>0.152</v>
      </c>
      <c r="Q219" t="inlineStr">
        <is>
          <t>kg/d</t>
        </is>
      </c>
      <c r="R219" t="inlineStr">
        <is>
          <t>+</t>
        </is>
      </c>
      <c r="S219" t="inlineStr">
        <is>
          <t>否</t>
        </is>
      </c>
      <c r="T219" t="inlineStr">
        <is>
          <t>来源原始清单（未分配）</t>
        </is>
      </c>
      <c r="U219" t="inlineStr">
        <is>
          <t>SRC-RAW</t>
        </is>
      </c>
      <c r="V219" t="inlineStr">
        <is>
          <t>已审查</t>
        </is>
      </c>
      <c r="W219" t="inlineStr">
        <is>
          <t>否</t>
        </is>
      </c>
      <c r="X219" t="inlineStr">
        <is>
          <t>PR05 资本品 plate heat exchanger / Structure / stainless steel 0.152</t>
        </is>
      </c>
      <c r="Y219" t="inlineStr">
        <is>
          <t>Gésan-Guiziou et al. (2019)</t>
        </is>
      </c>
      <c r="Z219" t="inlineStr">
        <is>
          <t>CT-MCH-05L</t>
        </is>
      </c>
      <c r="AA219" t="inlineStr">
        <is>
          <t>直接报告</t>
        </is>
      </c>
      <c r="AB219" t="inlineStr">
        <is>
          <t>1天生产</t>
        </is>
      </c>
      <c r="AC219" t="inlineStr">
        <is>
          <t>1天生产</t>
        </is>
      </c>
    </row>
    <row r="220">
      <c r="A220" t="inlineStr">
        <is>
          <t>FL-MCH-05M</t>
        </is>
      </c>
      <c r="B220" t="inlineStr">
        <is>
          <t>PR05</t>
        </is>
      </c>
      <c r="C220" t="inlineStr">
        <is>
          <t>PR05 资本品 plate heat exchanger / rings / synthetic rubber</t>
        </is>
      </c>
      <c r="D220" t="inlineStr">
        <is>
          <t>物理流</t>
        </is>
      </c>
      <c r="E220" t="inlineStr">
        <is>
          <t>输入</t>
        </is>
      </c>
      <c r="G220" t="inlineStr">
        <is>
          <t>PR05</t>
        </is>
      </c>
      <c r="H220" t="inlineStr">
        <is>
          <t>physical_material</t>
        </is>
      </c>
      <c r="I220" t="n">
        <v>0.035</v>
      </c>
      <c r="J220" t="inlineStr">
        <is>
          <t>kg/d</t>
        </is>
      </c>
      <c r="K220" t="inlineStr">
        <is>
          <t>1天</t>
        </is>
      </c>
      <c r="P220" t="n">
        <v>0.035</v>
      </c>
      <c r="Q220" t="inlineStr">
        <is>
          <t>kg/d</t>
        </is>
      </c>
      <c r="R220" t="inlineStr">
        <is>
          <t>+</t>
        </is>
      </c>
      <c r="S220" t="inlineStr">
        <is>
          <t>否</t>
        </is>
      </c>
      <c r="T220" t="inlineStr">
        <is>
          <t>来源原始清单（未分配）</t>
        </is>
      </c>
      <c r="U220" t="inlineStr">
        <is>
          <t>SRC-RAW</t>
        </is>
      </c>
      <c r="V220" t="inlineStr">
        <is>
          <t>已审查</t>
        </is>
      </c>
      <c r="W220" t="inlineStr">
        <is>
          <t>否</t>
        </is>
      </c>
      <c r="X220" t="inlineStr">
        <is>
          <t>PR05 资本品 plate heat exchanger / rings / synthetic rubber 0.035</t>
        </is>
      </c>
      <c r="Y220" t="inlineStr">
        <is>
          <t>设备按天摊销材料量</t>
        </is>
      </c>
      <c r="Z220" t="inlineStr">
        <is>
          <t>CT-MCH-05M</t>
        </is>
      </c>
      <c r="AA220" t="inlineStr">
        <is>
          <t>直接报告</t>
        </is>
      </c>
      <c r="AB220" t="inlineStr">
        <is>
          <t>1天生产</t>
        </is>
      </c>
      <c r="AC220" t="inlineStr">
        <is>
          <t>1天生产</t>
        </is>
      </c>
    </row>
    <row r="221">
      <c r="A221" t="inlineStr">
        <is>
          <t>FL-MCH-06A</t>
        </is>
      </c>
      <c r="B221" t="inlineStr">
        <is>
          <t>PR06</t>
        </is>
      </c>
      <c r="C221" t="inlineStr">
        <is>
          <t>PR06 资本品 Plate heat exchanger / Structure / stainless steel</t>
        </is>
      </c>
      <c r="D221" t="inlineStr">
        <is>
          <t>物理流</t>
        </is>
      </c>
      <c r="E221" t="inlineStr">
        <is>
          <t>输入</t>
        </is>
      </c>
      <c r="G221" t="inlineStr">
        <is>
          <t>PR06</t>
        </is>
      </c>
      <c r="H221" t="inlineStr">
        <is>
          <t>physical_material</t>
        </is>
      </c>
      <c r="I221" t="n">
        <v>0.12</v>
      </c>
      <c r="J221" t="inlineStr">
        <is>
          <t>kg/d</t>
        </is>
      </c>
      <c r="K221" t="inlineStr">
        <is>
          <t>1天</t>
        </is>
      </c>
      <c r="P221" t="n">
        <v>0.12</v>
      </c>
      <c r="Q221" t="inlineStr">
        <is>
          <t>kg/d</t>
        </is>
      </c>
      <c r="R221" t="inlineStr">
        <is>
          <t>+</t>
        </is>
      </c>
      <c r="S221" t="inlineStr">
        <is>
          <t>否</t>
        </is>
      </c>
      <c r="T221" t="inlineStr">
        <is>
          <t>来源原始清单（未分配）</t>
        </is>
      </c>
      <c r="U221" t="inlineStr">
        <is>
          <t>SRC-RAW</t>
        </is>
      </c>
      <c r="V221" t="inlineStr">
        <is>
          <t>已审查</t>
        </is>
      </c>
      <c r="W221" t="inlineStr">
        <is>
          <t>否</t>
        </is>
      </c>
      <c r="X221" t="inlineStr">
        <is>
          <t>PR06 资本品 Plate heat exchanger / Structure / stainless steel 0.12</t>
        </is>
      </c>
      <c r="Y221" t="inlineStr">
        <is>
          <t>2009 and 2010 measurement campaign (Gesan-Guiziou, personnal</t>
        </is>
      </c>
      <c r="Z221" t="inlineStr">
        <is>
          <t>CT-MCH-06A</t>
        </is>
      </c>
      <c r="AA221" t="inlineStr">
        <is>
          <t>直接报告</t>
        </is>
      </c>
      <c r="AB221" t="inlineStr">
        <is>
          <t>1天生产</t>
        </is>
      </c>
      <c r="AC221" t="inlineStr">
        <is>
          <t>1天生产</t>
        </is>
      </c>
    </row>
    <row r="222">
      <c r="A222" t="inlineStr">
        <is>
          <t>FL-MCH-06B</t>
        </is>
      </c>
      <c r="B222" t="inlineStr">
        <is>
          <t>PR06</t>
        </is>
      </c>
      <c r="C222" t="inlineStr">
        <is>
          <t>PR06 资本品 Plate heat exchanger / pipes / stainless steel</t>
        </is>
      </c>
      <c r="D222" t="inlineStr">
        <is>
          <t>物理流</t>
        </is>
      </c>
      <c r="E222" t="inlineStr">
        <is>
          <t>输入</t>
        </is>
      </c>
      <c r="G222" t="inlineStr">
        <is>
          <t>PR06</t>
        </is>
      </c>
      <c r="H222" t="inlineStr">
        <is>
          <t>physical_material</t>
        </is>
      </c>
      <c r="I222" t="n">
        <v>0.03</v>
      </c>
      <c r="J222" t="inlineStr">
        <is>
          <t>kg/d</t>
        </is>
      </c>
      <c r="K222" t="inlineStr">
        <is>
          <t>1天</t>
        </is>
      </c>
      <c r="P222" t="n">
        <v>0.03</v>
      </c>
      <c r="Q222" t="inlineStr">
        <is>
          <t>kg/d</t>
        </is>
      </c>
      <c r="R222" t="inlineStr">
        <is>
          <t>+</t>
        </is>
      </c>
      <c r="S222" t="inlineStr">
        <is>
          <t>否</t>
        </is>
      </c>
      <c r="T222" t="inlineStr">
        <is>
          <t>来源原始清单（未分配）</t>
        </is>
      </c>
      <c r="U222" t="inlineStr">
        <is>
          <t>SRC-RAW</t>
        </is>
      </c>
      <c r="V222" t="inlineStr">
        <is>
          <t>已审查</t>
        </is>
      </c>
      <c r="W222" t="inlineStr">
        <is>
          <t>否</t>
        </is>
      </c>
      <c r="X222" t="inlineStr">
        <is>
          <t>PR06 资本品 Plate heat exchanger / pipes / stainless steel 0.03</t>
        </is>
      </c>
      <c r="Y222" t="inlineStr">
        <is>
          <t>2009 and 2010 measurement campaign (Gesan-Guiziou, personnal</t>
        </is>
      </c>
      <c r="Z222" t="inlineStr">
        <is>
          <t>CT-MCH-06B</t>
        </is>
      </c>
      <c r="AA222" t="inlineStr">
        <is>
          <t>直接报告</t>
        </is>
      </c>
      <c r="AB222" t="inlineStr">
        <is>
          <t>1天生产</t>
        </is>
      </c>
      <c r="AC222" t="inlineStr">
        <is>
          <t>1天生产</t>
        </is>
      </c>
    </row>
    <row r="223">
      <c r="A223" t="inlineStr">
        <is>
          <t>FL-MCH-06C</t>
        </is>
      </c>
      <c r="B223" t="inlineStr">
        <is>
          <t>PR06</t>
        </is>
      </c>
      <c r="C223" t="inlineStr">
        <is>
          <t>PR06 资本品 Plate heat exchanger / rings / synthetic rubber</t>
        </is>
      </c>
      <c r="D223" t="inlineStr">
        <is>
          <t>物理流</t>
        </is>
      </c>
      <c r="E223" t="inlineStr">
        <is>
          <t>输入</t>
        </is>
      </c>
      <c r="G223" t="inlineStr">
        <is>
          <t>PR06</t>
        </is>
      </c>
      <c r="H223" t="inlineStr">
        <is>
          <t>physical_material</t>
        </is>
      </c>
      <c r="I223" t="n">
        <v>0.03</v>
      </c>
      <c r="J223" t="inlineStr">
        <is>
          <t>kg/d</t>
        </is>
      </c>
      <c r="K223" t="inlineStr">
        <is>
          <t>1天</t>
        </is>
      </c>
      <c r="P223" t="n">
        <v>0.03</v>
      </c>
      <c r="Q223" t="inlineStr">
        <is>
          <t>kg/d</t>
        </is>
      </c>
      <c r="R223" t="inlineStr">
        <is>
          <t>+</t>
        </is>
      </c>
      <c r="S223" t="inlineStr">
        <is>
          <t>否</t>
        </is>
      </c>
      <c r="T223" t="inlineStr">
        <is>
          <t>来源原始清单（未分配）</t>
        </is>
      </c>
      <c r="U223" t="inlineStr">
        <is>
          <t>SRC-RAW</t>
        </is>
      </c>
      <c r="V223" t="inlineStr">
        <is>
          <t>已审查</t>
        </is>
      </c>
      <c r="W223" t="inlineStr">
        <is>
          <t>否</t>
        </is>
      </c>
      <c r="X223" t="inlineStr">
        <is>
          <t>PR06 资本品 Plate heat exchanger / rings / synthetic rubber 0.03</t>
        </is>
      </c>
      <c r="Y223" t="inlineStr">
        <is>
          <t>2009 and 2010 measurement campaign (Gesan-Guiziou, personnal</t>
        </is>
      </c>
      <c r="Z223" t="inlineStr">
        <is>
          <t>CT-MCH-06C</t>
        </is>
      </c>
      <c r="AA223" t="inlineStr">
        <is>
          <t>直接报告</t>
        </is>
      </c>
      <c r="AB223" t="inlineStr">
        <is>
          <t>1天生产</t>
        </is>
      </c>
      <c r="AC223" t="inlineStr">
        <is>
          <t>1天生产</t>
        </is>
      </c>
    </row>
    <row r="224">
      <c r="A224" t="inlineStr">
        <is>
          <t>FL-MCH-06D</t>
        </is>
      </c>
      <c r="B224" t="inlineStr">
        <is>
          <t>PR06</t>
        </is>
      </c>
      <c r="C224" t="inlineStr">
        <is>
          <t>PR06 资本品 Tanks / tanks / stainless steel</t>
        </is>
      </c>
      <c r="D224" t="inlineStr">
        <is>
          <t>物理流</t>
        </is>
      </c>
      <c r="E224" t="inlineStr">
        <is>
          <t>输入</t>
        </is>
      </c>
      <c r="G224" t="inlineStr">
        <is>
          <t>PR06</t>
        </is>
      </c>
      <c r="H224" t="inlineStr">
        <is>
          <t>physical_material</t>
        </is>
      </c>
      <c r="I224" t="n">
        <v>2.08</v>
      </c>
      <c r="J224" t="inlineStr">
        <is>
          <t>kg/d</t>
        </is>
      </c>
      <c r="K224" t="inlineStr">
        <is>
          <t>1天</t>
        </is>
      </c>
      <c r="P224" t="n">
        <v>2.08</v>
      </c>
      <c r="Q224" t="inlineStr">
        <is>
          <t>kg/d</t>
        </is>
      </c>
      <c r="R224" t="inlineStr">
        <is>
          <t>+</t>
        </is>
      </c>
      <c r="S224" t="inlineStr">
        <is>
          <t>否</t>
        </is>
      </c>
      <c r="T224" t="inlineStr">
        <is>
          <t>来源原始清单（未分配）</t>
        </is>
      </c>
      <c r="U224" t="inlineStr">
        <is>
          <t>SRC-RAW</t>
        </is>
      </c>
      <c r="V224" t="inlineStr">
        <is>
          <t>已审查</t>
        </is>
      </c>
      <c r="W224" t="inlineStr">
        <is>
          <t>否</t>
        </is>
      </c>
      <c r="X224" t="inlineStr">
        <is>
          <t>PR06 资本品 Tanks / tanks / stainless steel 2.08</t>
        </is>
      </c>
      <c r="Y224" t="inlineStr">
        <is>
          <t>2009 and 2010 measurement campaign (Gesan-Guiziou, personnal</t>
        </is>
      </c>
      <c r="Z224" t="inlineStr">
        <is>
          <t>CT-MCH-06D</t>
        </is>
      </c>
      <c r="AA224" t="inlineStr">
        <is>
          <t>直接报告</t>
        </is>
      </c>
      <c r="AB224" t="inlineStr">
        <is>
          <t>1天生产</t>
        </is>
      </c>
      <c r="AC224" t="inlineStr">
        <is>
          <t>1天生产</t>
        </is>
      </c>
    </row>
    <row r="225">
      <c r="A225" t="inlineStr">
        <is>
          <t>FL-MCH-06E</t>
        </is>
      </c>
      <c r="B225" t="inlineStr">
        <is>
          <t>PR06</t>
        </is>
      </c>
      <c r="C225" t="inlineStr">
        <is>
          <t>PR06 资本品 Tanks / pipes / stainless steel</t>
        </is>
      </c>
      <c r="D225" t="inlineStr">
        <is>
          <t>物理流</t>
        </is>
      </c>
      <c r="E225" t="inlineStr">
        <is>
          <t>输入</t>
        </is>
      </c>
      <c r="G225" t="inlineStr">
        <is>
          <t>PR06</t>
        </is>
      </c>
      <c r="H225" t="inlineStr">
        <is>
          <t>physical_material</t>
        </is>
      </c>
      <c r="I225" t="n">
        <v>0.52</v>
      </c>
      <c r="J225" t="inlineStr">
        <is>
          <t>kg/d</t>
        </is>
      </c>
      <c r="K225" t="inlineStr">
        <is>
          <t>1天</t>
        </is>
      </c>
      <c r="P225" t="n">
        <v>0.52</v>
      </c>
      <c r="Q225" t="inlineStr">
        <is>
          <t>kg/d</t>
        </is>
      </c>
      <c r="R225" t="inlineStr">
        <is>
          <t>+</t>
        </is>
      </c>
      <c r="S225" t="inlineStr">
        <is>
          <t>否</t>
        </is>
      </c>
      <c r="T225" t="inlineStr">
        <is>
          <t>来源原始清单（未分配）</t>
        </is>
      </c>
      <c r="U225" t="inlineStr">
        <is>
          <t>SRC-RAW</t>
        </is>
      </c>
      <c r="V225" t="inlineStr">
        <is>
          <t>已审查</t>
        </is>
      </c>
      <c r="W225" t="inlineStr">
        <is>
          <t>否</t>
        </is>
      </c>
      <c r="X225" t="inlineStr">
        <is>
          <t>PR06 资本品 Tanks / pipes / stainless steel 0.52</t>
        </is>
      </c>
      <c r="Y225" t="inlineStr">
        <is>
          <t>2009 and 2010 measurement campaign (Gesan-Guiziou, personnal</t>
        </is>
      </c>
      <c r="Z225" t="inlineStr">
        <is>
          <t>CT-MCH-06E</t>
        </is>
      </c>
      <c r="AA225" t="inlineStr">
        <is>
          <t>直接报告</t>
        </is>
      </c>
      <c r="AB225" t="inlineStr">
        <is>
          <t>1天生产</t>
        </is>
      </c>
      <c r="AC225" t="inlineStr">
        <is>
          <t>1天生产</t>
        </is>
      </c>
    </row>
    <row r="226">
      <c r="A226" t="inlineStr">
        <is>
          <t>FL-MCH-07A</t>
        </is>
      </c>
      <c r="B226" t="inlineStr">
        <is>
          <t>PR07</t>
        </is>
      </c>
      <c r="C226" t="inlineStr">
        <is>
          <t>PR07 资本品 Tanks / tanks / stainless steel</t>
        </is>
      </c>
      <c r="D226" t="inlineStr">
        <is>
          <t>物理流</t>
        </is>
      </c>
      <c r="E226" t="inlineStr">
        <is>
          <t>输入</t>
        </is>
      </c>
      <c r="G226" t="inlineStr">
        <is>
          <t>PR07</t>
        </is>
      </c>
      <c r="H226" t="inlineStr">
        <is>
          <t>physical_material</t>
        </is>
      </c>
      <c r="I226" t="n">
        <v>1.73</v>
      </c>
      <c r="J226" t="inlineStr">
        <is>
          <t>kg/d</t>
        </is>
      </c>
      <c r="K226" t="inlineStr">
        <is>
          <t>1天</t>
        </is>
      </c>
      <c r="P226" t="n">
        <v>1.73</v>
      </c>
      <c r="Q226" t="inlineStr">
        <is>
          <t>kg/d</t>
        </is>
      </c>
      <c r="R226" t="inlineStr">
        <is>
          <t>+</t>
        </is>
      </c>
      <c r="S226" t="inlineStr">
        <is>
          <t>否</t>
        </is>
      </c>
      <c r="T226" t="inlineStr">
        <is>
          <t>来源原始清单（未分配）</t>
        </is>
      </c>
      <c r="U226" t="inlineStr">
        <is>
          <t>SRC-RAW</t>
        </is>
      </c>
      <c r="V226" t="inlineStr">
        <is>
          <t>已审查</t>
        </is>
      </c>
      <c r="W226" t="inlineStr">
        <is>
          <t>否</t>
        </is>
      </c>
      <c r="X226" t="inlineStr">
        <is>
          <t>PR07 资本品 Tanks / tanks / stainless steel 1.73</t>
        </is>
      </c>
      <c r="Y226" t="inlineStr">
        <is>
          <t>2009 and 2010 measurement campaign (Gesan-Guiziou, personnal</t>
        </is>
      </c>
      <c r="Z226" t="inlineStr">
        <is>
          <t>CT-MCH-07A</t>
        </is>
      </c>
      <c r="AA226" t="inlineStr">
        <is>
          <t>直接报告</t>
        </is>
      </c>
      <c r="AB226" t="inlineStr">
        <is>
          <t>1天生产</t>
        </is>
      </c>
      <c r="AC226" t="inlineStr">
        <is>
          <t>1天生产</t>
        </is>
      </c>
    </row>
    <row r="227">
      <c r="A227" t="inlineStr">
        <is>
          <t>FL-MCH-07B</t>
        </is>
      </c>
      <c r="B227" t="inlineStr">
        <is>
          <t>PR07</t>
        </is>
      </c>
      <c r="C227" t="inlineStr">
        <is>
          <t>PR07 资本品 Tanks / pipes / stainless steel</t>
        </is>
      </c>
      <c r="D227" t="inlineStr">
        <is>
          <t>物理流</t>
        </is>
      </c>
      <c r="E227" t="inlineStr">
        <is>
          <t>输入</t>
        </is>
      </c>
      <c r="G227" t="inlineStr">
        <is>
          <t>PR07</t>
        </is>
      </c>
      <c r="H227" t="inlineStr">
        <is>
          <t>physical_material</t>
        </is>
      </c>
      <c r="I227" t="n">
        <v>0.43</v>
      </c>
      <c r="J227" t="inlineStr">
        <is>
          <t>kg/d</t>
        </is>
      </c>
      <c r="K227" t="inlineStr">
        <is>
          <t>1天</t>
        </is>
      </c>
      <c r="P227" t="n">
        <v>0.43</v>
      </c>
      <c r="Q227" t="inlineStr">
        <is>
          <t>kg/d</t>
        </is>
      </c>
      <c r="R227" t="inlineStr">
        <is>
          <t>+</t>
        </is>
      </c>
      <c r="S227" t="inlineStr">
        <is>
          <t>否</t>
        </is>
      </c>
      <c r="T227" t="inlineStr">
        <is>
          <t>来源原始清单（未分配）</t>
        </is>
      </c>
      <c r="U227" t="inlineStr">
        <is>
          <t>SRC-RAW</t>
        </is>
      </c>
      <c r="V227" t="inlineStr">
        <is>
          <t>已审查</t>
        </is>
      </c>
      <c r="W227" t="inlineStr">
        <is>
          <t>否</t>
        </is>
      </c>
      <c r="X227" t="inlineStr">
        <is>
          <t>PR07 资本品 Tanks / pipes / stainless steel 0.43</t>
        </is>
      </c>
      <c r="Y227" t="inlineStr">
        <is>
          <t>2009 and 2010 measurement campaign (Gesan-Guiziou, personnal</t>
        </is>
      </c>
      <c r="Z227" t="inlineStr">
        <is>
          <t>CT-MCH-07B</t>
        </is>
      </c>
      <c r="AA227" t="inlineStr">
        <is>
          <t>直接报告</t>
        </is>
      </c>
      <c r="AB227" t="inlineStr">
        <is>
          <t>1天生产</t>
        </is>
      </c>
      <c r="AC227" t="inlineStr">
        <is>
          <t>1天生产</t>
        </is>
      </c>
    </row>
    <row r="228">
      <c r="A228" t="inlineStr">
        <is>
          <t>FL-MCH-07C</t>
        </is>
      </c>
      <c r="B228" t="inlineStr">
        <is>
          <t>PR07</t>
        </is>
      </c>
      <c r="C228" t="inlineStr">
        <is>
          <t>PR07 资本品 Pumps / engine / copper</t>
        </is>
      </c>
      <c r="D228" t="inlineStr">
        <is>
          <t>物理流</t>
        </is>
      </c>
      <c r="E228" t="inlineStr">
        <is>
          <t>输入</t>
        </is>
      </c>
      <c r="G228" t="inlineStr">
        <is>
          <t>PR07</t>
        </is>
      </c>
      <c r="H228" t="inlineStr">
        <is>
          <t>physical_material</t>
        </is>
      </c>
      <c r="I228" t="n">
        <v>0.00294</v>
      </c>
      <c r="J228" t="inlineStr">
        <is>
          <t>kg/d</t>
        </is>
      </c>
      <c r="K228" t="inlineStr">
        <is>
          <t>1天</t>
        </is>
      </c>
      <c r="P228" t="n">
        <v>0.00294</v>
      </c>
      <c r="Q228" t="inlineStr">
        <is>
          <t>kg/d</t>
        </is>
      </c>
      <c r="R228" t="inlineStr">
        <is>
          <t>+</t>
        </is>
      </c>
      <c r="S228" t="inlineStr">
        <is>
          <t>否</t>
        </is>
      </c>
      <c r="T228" t="inlineStr">
        <is>
          <t>来源原始清单（未分配）</t>
        </is>
      </c>
      <c r="U228" t="inlineStr">
        <is>
          <t>SRC-RAW</t>
        </is>
      </c>
      <c r="V228" t="inlineStr">
        <is>
          <t>已审查</t>
        </is>
      </c>
      <c r="W228" t="inlineStr">
        <is>
          <t>否</t>
        </is>
      </c>
      <c r="X228" t="inlineStr">
        <is>
          <t>PR07 资本品 Pumps / engine / copper 0.00294</t>
        </is>
      </c>
      <c r="Y228" t="inlineStr">
        <is>
          <t>2009 and 2010 measurement campaign (Gesan-Guiziou, personnal</t>
        </is>
      </c>
      <c r="Z228" t="inlineStr">
        <is>
          <t>CT-MCH-07C</t>
        </is>
      </c>
      <c r="AA228" t="inlineStr">
        <is>
          <t>直接报告</t>
        </is>
      </c>
      <c r="AB228" t="inlineStr">
        <is>
          <t>1天生产</t>
        </is>
      </c>
      <c r="AC228" t="inlineStr">
        <is>
          <t>1天生产</t>
        </is>
      </c>
    </row>
    <row r="229">
      <c r="A229" t="inlineStr">
        <is>
          <t>FL-MCH-07D</t>
        </is>
      </c>
      <c r="B229" t="inlineStr">
        <is>
          <t>PR07</t>
        </is>
      </c>
      <c r="C229" t="inlineStr">
        <is>
          <t>PR07 资本品 Pumps / Aluminium</t>
        </is>
      </c>
      <c r="D229" t="inlineStr">
        <is>
          <t>物理流</t>
        </is>
      </c>
      <c r="E229" t="inlineStr">
        <is>
          <t>输入</t>
        </is>
      </c>
      <c r="G229" t="inlineStr">
        <is>
          <t>PR07</t>
        </is>
      </c>
      <c r="H229" t="inlineStr">
        <is>
          <t>physical_material</t>
        </is>
      </c>
      <c r="I229" t="n">
        <v>0.00571</v>
      </c>
      <c r="J229" t="inlineStr">
        <is>
          <t>kg/d</t>
        </is>
      </c>
      <c r="K229" t="inlineStr">
        <is>
          <t>1天</t>
        </is>
      </c>
      <c r="P229" t="n">
        <v>0.00571</v>
      </c>
      <c r="Q229" t="inlineStr">
        <is>
          <t>kg/d</t>
        </is>
      </c>
      <c r="R229" t="inlineStr">
        <is>
          <t>+</t>
        </is>
      </c>
      <c r="S229" t="inlineStr">
        <is>
          <t>否</t>
        </is>
      </c>
      <c r="T229" t="inlineStr">
        <is>
          <t>来源原始清单（未分配）</t>
        </is>
      </c>
      <c r="U229" t="inlineStr">
        <is>
          <t>SRC-RAW</t>
        </is>
      </c>
      <c r="V229" t="inlineStr">
        <is>
          <t>已审查</t>
        </is>
      </c>
      <c r="W229" t="inlineStr">
        <is>
          <t>否</t>
        </is>
      </c>
      <c r="X229" t="inlineStr">
        <is>
          <t>PR07 资本品 Pumps / Aluminium 0.00571</t>
        </is>
      </c>
      <c r="Y229" t="inlineStr">
        <is>
          <t>2009 and 2010 measurement campaign (Gesan-Guiziou, personnal</t>
        </is>
      </c>
      <c r="Z229" t="inlineStr">
        <is>
          <t>CT-MCH-07D</t>
        </is>
      </c>
      <c r="AA229" t="inlineStr">
        <is>
          <t>直接报告</t>
        </is>
      </c>
      <c r="AB229" t="inlineStr">
        <is>
          <t>1天生产</t>
        </is>
      </c>
      <c r="AC229" t="inlineStr">
        <is>
          <t>1天生产</t>
        </is>
      </c>
    </row>
    <row r="230">
      <c r="A230" t="inlineStr">
        <is>
          <t>FL-MCH-08A</t>
        </is>
      </c>
      <c r="B230" t="inlineStr">
        <is>
          <t>PR08</t>
        </is>
      </c>
      <c r="C230" t="inlineStr">
        <is>
          <t>PR08 资本品 Installation d'ultrafiltration / organic membrane / Polyethe</t>
        </is>
      </c>
      <c r="D230" t="inlineStr">
        <is>
          <t>物理流</t>
        </is>
      </c>
      <c r="E230" t="inlineStr">
        <is>
          <t>输入</t>
        </is>
      </c>
      <c r="G230" t="inlineStr">
        <is>
          <t>PR08</t>
        </is>
      </c>
      <c r="H230" t="inlineStr">
        <is>
          <t>physical_material</t>
        </is>
      </c>
      <c r="I230" t="n">
        <v>0.38</v>
      </c>
      <c r="J230" t="inlineStr">
        <is>
          <t>kg/d</t>
        </is>
      </c>
      <c r="K230" t="inlineStr">
        <is>
          <t>1天</t>
        </is>
      </c>
      <c r="P230" t="n">
        <v>0.38</v>
      </c>
      <c r="Q230" t="inlineStr">
        <is>
          <t>kg/d</t>
        </is>
      </c>
      <c r="R230" t="inlineStr">
        <is>
          <t>+</t>
        </is>
      </c>
      <c r="S230" t="inlineStr">
        <is>
          <t>否</t>
        </is>
      </c>
      <c r="T230" t="inlineStr">
        <is>
          <t>来源原始清单（未分配）</t>
        </is>
      </c>
      <c r="U230" t="inlineStr">
        <is>
          <t>SRC-RAW</t>
        </is>
      </c>
      <c r="V230" t="inlineStr">
        <is>
          <t>已审查</t>
        </is>
      </c>
      <c r="W230" t="inlineStr">
        <is>
          <t>否</t>
        </is>
      </c>
      <c r="X230" t="inlineStr">
        <is>
          <t>PR08 资本品 Installation d'ultrafiltration / organic membrane / Polyethe 0.38</t>
        </is>
      </c>
      <c r="Y230" t="inlineStr">
        <is>
          <t>for ultrafiltration</t>
        </is>
      </c>
      <c r="Z230" t="inlineStr">
        <is>
          <t>CT-MCH-08A</t>
        </is>
      </c>
      <c r="AA230" t="inlineStr">
        <is>
          <t>直接报告</t>
        </is>
      </c>
      <c r="AB230" t="inlineStr">
        <is>
          <t>1天生产</t>
        </is>
      </c>
      <c r="AC230" t="inlineStr">
        <is>
          <t>1天生产</t>
        </is>
      </c>
    </row>
    <row r="231">
      <c r="A231" t="inlineStr">
        <is>
          <t>FL-MCH-08B</t>
        </is>
      </c>
      <c r="B231" t="inlineStr">
        <is>
          <t>PR08</t>
        </is>
      </c>
      <c r="C231" t="inlineStr">
        <is>
          <t>PR08 资本品 Installation d'ultrafiltration / Polyamide</t>
        </is>
      </c>
      <c r="D231" t="inlineStr">
        <is>
          <t>物理流</t>
        </is>
      </c>
      <c r="E231" t="inlineStr">
        <is>
          <t>输入</t>
        </is>
      </c>
      <c r="G231" t="inlineStr">
        <is>
          <t>PR08</t>
        </is>
      </c>
      <c r="H231" t="inlineStr">
        <is>
          <t>physical_material</t>
        </is>
      </c>
      <c r="I231" t="n">
        <v>0</v>
      </c>
      <c r="J231" t="inlineStr">
        <is>
          <t>kg/d</t>
        </is>
      </c>
      <c r="K231" t="inlineStr">
        <is>
          <t>1天</t>
        </is>
      </c>
      <c r="P231" t="n">
        <v>0</v>
      </c>
      <c r="Q231" t="inlineStr">
        <is>
          <t>kg/d</t>
        </is>
      </c>
      <c r="R231" t="inlineStr">
        <is>
          <t>+</t>
        </is>
      </c>
      <c r="S231" t="inlineStr">
        <is>
          <t>否</t>
        </is>
      </c>
      <c r="T231" t="inlineStr">
        <is>
          <t>来源原始清单（未分配）</t>
        </is>
      </c>
      <c r="U231" t="inlineStr">
        <is>
          <t>SRC-RAW</t>
        </is>
      </c>
      <c r="V231" t="inlineStr">
        <is>
          <t>已审查</t>
        </is>
      </c>
      <c r="W231" t="inlineStr">
        <is>
          <t>否</t>
        </is>
      </c>
      <c r="X231" t="inlineStr">
        <is>
          <t>PR08 资本品 Installation d'ultrafiltration / Polyamide 0.0</t>
        </is>
      </c>
      <c r="Y231" t="inlineStr">
        <is>
          <t>for reverse osmosis</t>
        </is>
      </c>
      <c r="Z231" t="inlineStr">
        <is>
          <t>CT-MCH-08B</t>
        </is>
      </c>
      <c r="AA231" t="inlineStr">
        <is>
          <t>直接报告</t>
        </is>
      </c>
      <c r="AB231" t="inlineStr">
        <is>
          <t>1天生产</t>
        </is>
      </c>
      <c r="AC231" t="inlineStr">
        <is>
          <t>1天生产</t>
        </is>
      </c>
    </row>
    <row r="232">
      <c r="A232" t="inlineStr">
        <is>
          <t>FL-MCH-08C</t>
        </is>
      </c>
      <c r="B232" t="inlineStr">
        <is>
          <t>PR08</t>
        </is>
      </c>
      <c r="C232" t="inlineStr">
        <is>
          <t>PR08 资本品 Installation d'ultrafiltration / Polyester</t>
        </is>
      </c>
      <c r="D232" t="inlineStr">
        <is>
          <t>物理流</t>
        </is>
      </c>
      <c r="E232" t="inlineStr">
        <is>
          <t>输入</t>
        </is>
      </c>
      <c r="G232" t="inlineStr">
        <is>
          <t>PR08</t>
        </is>
      </c>
      <c r="H232" t="inlineStr">
        <is>
          <t>physical_material</t>
        </is>
      </c>
      <c r="I232" t="n">
        <v>0.2</v>
      </c>
      <c r="J232" t="inlineStr">
        <is>
          <t>kg/d</t>
        </is>
      </c>
      <c r="K232" t="inlineStr">
        <is>
          <t>1天</t>
        </is>
      </c>
      <c r="P232" t="n">
        <v>0.2</v>
      </c>
      <c r="Q232" t="inlineStr">
        <is>
          <t>kg/d</t>
        </is>
      </c>
      <c r="R232" t="inlineStr">
        <is>
          <t>+</t>
        </is>
      </c>
      <c r="S232" t="inlineStr">
        <is>
          <t>否</t>
        </is>
      </c>
      <c r="T232" t="inlineStr">
        <is>
          <t>来源原始清单（未分配）</t>
        </is>
      </c>
      <c r="U232" t="inlineStr">
        <is>
          <t>SRC-RAW</t>
        </is>
      </c>
      <c r="V232" t="inlineStr">
        <is>
          <t>已审查</t>
        </is>
      </c>
      <c r="W232" t="inlineStr">
        <is>
          <t>否</t>
        </is>
      </c>
      <c r="X232" t="inlineStr">
        <is>
          <t>PR08 资本品 Installation d'ultrafiltration / Polyester 0.2</t>
        </is>
      </c>
      <c r="Y232" t="inlineStr">
        <is>
          <t>membrane support</t>
        </is>
      </c>
      <c r="Z232" t="inlineStr">
        <is>
          <t>CT-MCH-08C</t>
        </is>
      </c>
      <c r="AA232" t="inlineStr">
        <is>
          <t>直接报告</t>
        </is>
      </c>
      <c r="AB232" t="inlineStr">
        <is>
          <t>1天生产</t>
        </is>
      </c>
      <c r="AC232" t="inlineStr">
        <is>
          <t>1天生产</t>
        </is>
      </c>
    </row>
    <row r="233">
      <c r="A233" t="inlineStr">
        <is>
          <t>FL-MCH-08D</t>
        </is>
      </c>
      <c r="B233" t="inlineStr">
        <is>
          <t>PR08</t>
        </is>
      </c>
      <c r="C233" t="inlineStr">
        <is>
          <t>PR08 资本品 Installation d'ultrafiltration / Polypropylene</t>
        </is>
      </c>
      <c r="D233" t="inlineStr">
        <is>
          <t>物理流</t>
        </is>
      </c>
      <c r="E233" t="inlineStr">
        <is>
          <t>输入</t>
        </is>
      </c>
      <c r="G233" t="inlineStr">
        <is>
          <t>PR08</t>
        </is>
      </c>
      <c r="H233" t="inlineStr">
        <is>
          <t>physical_material</t>
        </is>
      </c>
      <c r="I233" t="n">
        <v>0.38</v>
      </c>
      <c r="J233" t="inlineStr">
        <is>
          <t>kg/d</t>
        </is>
      </c>
      <c r="K233" t="inlineStr">
        <is>
          <t>1天</t>
        </is>
      </c>
      <c r="P233" t="n">
        <v>0.38</v>
      </c>
      <c r="Q233" t="inlineStr">
        <is>
          <t>kg/d</t>
        </is>
      </c>
      <c r="R233" t="inlineStr">
        <is>
          <t>+</t>
        </is>
      </c>
      <c r="S233" t="inlineStr">
        <is>
          <t>否</t>
        </is>
      </c>
      <c r="T233" t="inlineStr">
        <is>
          <t>来源原始清单（未分配）</t>
        </is>
      </c>
      <c r="U233" t="inlineStr">
        <is>
          <t>SRC-RAW</t>
        </is>
      </c>
      <c r="V233" t="inlineStr">
        <is>
          <t>已审查</t>
        </is>
      </c>
      <c r="W233" t="inlineStr">
        <is>
          <t>否</t>
        </is>
      </c>
      <c r="X233" t="inlineStr">
        <is>
          <t>PR08 资本品 Installation d'ultrafiltration / Polypropylene 0.38</t>
        </is>
      </c>
      <c r="Y233" t="inlineStr">
        <is>
          <t>spacer grid</t>
        </is>
      </c>
      <c r="Z233" t="inlineStr">
        <is>
          <t>CT-MCH-08D</t>
        </is>
      </c>
      <c r="AA233" t="inlineStr">
        <is>
          <t>直接报告</t>
        </is>
      </c>
      <c r="AB233" t="inlineStr">
        <is>
          <t>1天生产</t>
        </is>
      </c>
      <c r="AC233" t="inlineStr">
        <is>
          <t>1天生产</t>
        </is>
      </c>
    </row>
    <row r="234">
      <c r="A234" t="inlineStr">
        <is>
          <t>FL-MCH-08E</t>
        </is>
      </c>
      <c r="B234" t="inlineStr">
        <is>
          <t>PR08</t>
        </is>
      </c>
      <c r="C234" t="inlineStr">
        <is>
          <t>PR08 资本品 Installation d'ultrafiltration / glu</t>
        </is>
      </c>
      <c r="D234" t="inlineStr">
        <is>
          <t>物理流</t>
        </is>
      </c>
      <c r="E234" t="inlineStr">
        <is>
          <t>输入</t>
        </is>
      </c>
      <c r="G234" t="inlineStr">
        <is>
          <t>PR08</t>
        </is>
      </c>
      <c r="H234" t="inlineStr">
        <is>
          <t>physical_material</t>
        </is>
      </c>
      <c r="I234" t="n">
        <v>0.18</v>
      </c>
      <c r="J234" t="inlineStr">
        <is>
          <t>kg/d</t>
        </is>
      </c>
      <c r="K234" t="inlineStr">
        <is>
          <t>1天</t>
        </is>
      </c>
      <c r="P234" t="n">
        <v>0.18</v>
      </c>
      <c r="Q234" t="inlineStr">
        <is>
          <t>kg/d</t>
        </is>
      </c>
      <c r="R234" t="inlineStr">
        <is>
          <t>+</t>
        </is>
      </c>
      <c r="S234" t="inlineStr">
        <is>
          <t>否</t>
        </is>
      </c>
      <c r="T234" t="inlineStr">
        <is>
          <t>来源原始清单（未分配）</t>
        </is>
      </c>
      <c r="U234" t="inlineStr">
        <is>
          <t>SRC-RAW</t>
        </is>
      </c>
      <c r="V234" t="inlineStr">
        <is>
          <t>已审查</t>
        </is>
      </c>
      <c r="W234" t="inlineStr">
        <is>
          <t>否</t>
        </is>
      </c>
      <c r="X234" t="inlineStr">
        <is>
          <t>PR08 资本品 Installation d'ultrafiltration / glu 0.18</t>
        </is>
      </c>
      <c r="Y234" t="inlineStr">
        <is>
          <t>设备按天摊销材料量</t>
        </is>
      </c>
      <c r="Z234" t="inlineStr">
        <is>
          <t>CT-MCH-08E</t>
        </is>
      </c>
      <c r="AA234" t="inlineStr">
        <is>
          <t>直接报告</t>
        </is>
      </c>
      <c r="AB234" t="inlineStr">
        <is>
          <t>1天生产</t>
        </is>
      </c>
      <c r="AC234" t="inlineStr">
        <is>
          <t>1天生产</t>
        </is>
      </c>
    </row>
    <row r="235">
      <c r="A235" t="inlineStr">
        <is>
          <t>FL-MCH-08F</t>
        </is>
      </c>
      <c r="B235" t="inlineStr">
        <is>
          <t>PR08</t>
        </is>
      </c>
      <c r="C235" t="inlineStr">
        <is>
          <t>PR08 资本品 Installation d'ultrafiltration / PET</t>
        </is>
      </c>
      <c r="D235" t="inlineStr">
        <is>
          <t>物理流</t>
        </is>
      </c>
      <c r="E235" t="inlineStr">
        <is>
          <t>输入</t>
        </is>
      </c>
      <c r="G235" t="inlineStr">
        <is>
          <t>PR08</t>
        </is>
      </c>
      <c r="H235" t="inlineStr">
        <is>
          <t>physical_material</t>
        </is>
      </c>
      <c r="I235" t="n">
        <v>0.27</v>
      </c>
      <c r="J235" t="inlineStr">
        <is>
          <t>kg/d</t>
        </is>
      </c>
      <c r="K235" t="inlineStr">
        <is>
          <t>1天</t>
        </is>
      </c>
      <c r="P235" t="n">
        <v>0.27</v>
      </c>
      <c r="Q235" t="inlineStr">
        <is>
          <t>kg/d</t>
        </is>
      </c>
      <c r="R235" t="inlineStr">
        <is>
          <t>+</t>
        </is>
      </c>
      <c r="S235" t="inlineStr">
        <is>
          <t>否</t>
        </is>
      </c>
      <c r="T235" t="inlineStr">
        <is>
          <t>来源原始清单（未分配）</t>
        </is>
      </c>
      <c r="U235" t="inlineStr">
        <is>
          <t>SRC-RAW</t>
        </is>
      </c>
      <c r="V235" t="inlineStr">
        <is>
          <t>已审查</t>
        </is>
      </c>
      <c r="W235" t="inlineStr">
        <is>
          <t>否</t>
        </is>
      </c>
      <c r="X235" t="inlineStr">
        <is>
          <t>PR08 资本品 Installation d'ultrafiltration / PET 0.27</t>
        </is>
      </c>
      <c r="Y235" t="inlineStr">
        <is>
          <t>设备按天摊销材料量</t>
        </is>
      </c>
      <c r="Z235" t="inlineStr">
        <is>
          <t>CT-MCH-08F</t>
        </is>
      </c>
      <c r="AA235" t="inlineStr">
        <is>
          <t>直接报告</t>
        </is>
      </c>
      <c r="AB235" t="inlineStr">
        <is>
          <t>1天生产</t>
        </is>
      </c>
      <c r="AC235" t="inlineStr">
        <is>
          <t>1天生产</t>
        </is>
      </c>
    </row>
    <row r="236">
      <c r="A236" t="inlineStr">
        <is>
          <t>FL-MCH-08G</t>
        </is>
      </c>
      <c r="B236" t="inlineStr">
        <is>
          <t>PR08</t>
        </is>
      </c>
      <c r="C236" t="inlineStr">
        <is>
          <t>PR08 资本品 Installation d'ultrafiltration / membrane carter / stainless</t>
        </is>
      </c>
      <c r="D236" t="inlineStr">
        <is>
          <t>物理流</t>
        </is>
      </c>
      <c r="E236" t="inlineStr">
        <is>
          <t>输入</t>
        </is>
      </c>
      <c r="G236" t="inlineStr">
        <is>
          <t>PR08</t>
        </is>
      </c>
      <c r="H236" t="inlineStr">
        <is>
          <t>physical_material</t>
        </is>
      </c>
      <c r="I236" t="n">
        <v>0.89</v>
      </c>
      <c r="J236" t="inlineStr">
        <is>
          <t>kg/d</t>
        </is>
      </c>
      <c r="K236" t="inlineStr">
        <is>
          <t>1天</t>
        </is>
      </c>
      <c r="P236" t="n">
        <v>0.89</v>
      </c>
      <c r="Q236" t="inlineStr">
        <is>
          <t>kg/d</t>
        </is>
      </c>
      <c r="R236" t="inlineStr">
        <is>
          <t>+</t>
        </is>
      </c>
      <c r="S236" t="inlineStr">
        <is>
          <t>否</t>
        </is>
      </c>
      <c r="T236" t="inlineStr">
        <is>
          <t>来源原始清单（未分配）</t>
        </is>
      </c>
      <c r="U236" t="inlineStr">
        <is>
          <t>SRC-RAW</t>
        </is>
      </c>
      <c r="V236" t="inlineStr">
        <is>
          <t>已审查</t>
        </is>
      </c>
      <c r="W236" t="inlineStr">
        <is>
          <t>否</t>
        </is>
      </c>
      <c r="X236" t="inlineStr">
        <is>
          <t>PR08 资本品 Installation d'ultrafiltration / membrane carter / stainless 0.89</t>
        </is>
      </c>
      <c r="Y236" t="inlineStr">
        <is>
          <t>设备按天摊销材料量</t>
        </is>
      </c>
      <c r="Z236" t="inlineStr">
        <is>
          <t>CT-MCH-08G</t>
        </is>
      </c>
      <c r="AA236" t="inlineStr">
        <is>
          <t>直接报告</t>
        </is>
      </c>
      <c r="AB236" t="inlineStr">
        <is>
          <t>1天生产</t>
        </is>
      </c>
      <c r="AC236" t="inlineStr">
        <is>
          <t>1天生产</t>
        </is>
      </c>
    </row>
    <row r="237">
      <c r="A237" t="inlineStr">
        <is>
          <t>FL-MCH-08H</t>
        </is>
      </c>
      <c r="B237" t="inlineStr">
        <is>
          <t>PR08</t>
        </is>
      </c>
      <c r="C237" t="inlineStr">
        <is>
          <t>PR08 资本品 Installation d'ultrafiltration / pumps / Aluminium</t>
        </is>
      </c>
      <c r="D237" t="inlineStr">
        <is>
          <t>物理流</t>
        </is>
      </c>
      <c r="E237" t="inlineStr">
        <is>
          <t>输入</t>
        </is>
      </c>
      <c r="G237" t="inlineStr">
        <is>
          <t>PR08</t>
        </is>
      </c>
      <c r="H237" t="inlineStr">
        <is>
          <t>physical_material</t>
        </is>
      </c>
      <c r="I237" t="n">
        <v>0.28</v>
      </c>
      <c r="J237" t="inlineStr">
        <is>
          <t>kg/d</t>
        </is>
      </c>
      <c r="K237" t="inlineStr">
        <is>
          <t>1天</t>
        </is>
      </c>
      <c r="P237" t="n">
        <v>0.28</v>
      </c>
      <c r="Q237" t="inlineStr">
        <is>
          <t>kg/d</t>
        </is>
      </c>
      <c r="R237" t="inlineStr">
        <is>
          <t>+</t>
        </is>
      </c>
      <c r="S237" t="inlineStr">
        <is>
          <t>否</t>
        </is>
      </c>
      <c r="T237" t="inlineStr">
        <is>
          <t>来源原始清单（未分配）</t>
        </is>
      </c>
      <c r="U237" t="inlineStr">
        <is>
          <t>SRC-RAW</t>
        </is>
      </c>
      <c r="V237" t="inlineStr">
        <is>
          <t>已审查</t>
        </is>
      </c>
      <c r="W237" t="inlineStr">
        <is>
          <t>否</t>
        </is>
      </c>
      <c r="X237" t="inlineStr">
        <is>
          <t>PR08 资本品 Installation d'ultrafiltration / pumps / Aluminium 0.28</t>
        </is>
      </c>
      <c r="Y237" t="inlineStr">
        <is>
          <t>设备按天摊销材料量</t>
        </is>
      </c>
      <c r="Z237" t="inlineStr">
        <is>
          <t>CT-MCH-08H</t>
        </is>
      </c>
      <c r="AA237" t="inlineStr">
        <is>
          <t>直接报告</t>
        </is>
      </c>
      <c r="AB237" t="inlineStr">
        <is>
          <t>1天生产</t>
        </is>
      </c>
      <c r="AC237" t="inlineStr">
        <is>
          <t>1天生产</t>
        </is>
      </c>
    </row>
    <row r="238">
      <c r="A238" t="inlineStr">
        <is>
          <t>FL-MCH-08I</t>
        </is>
      </c>
      <c r="B238" t="inlineStr">
        <is>
          <t>PR08</t>
        </is>
      </c>
      <c r="C238" t="inlineStr">
        <is>
          <t>PR08 资本品 Installation d'ultrafiltration / copper</t>
        </is>
      </c>
      <c r="D238" t="inlineStr">
        <is>
          <t>物理流</t>
        </is>
      </c>
      <c r="E238" t="inlineStr">
        <is>
          <t>输入</t>
        </is>
      </c>
      <c r="G238" t="inlineStr">
        <is>
          <t>PR08</t>
        </is>
      </c>
      <c r="H238" t="inlineStr">
        <is>
          <t>physical_material</t>
        </is>
      </c>
      <c r="I238" t="n">
        <v>0.14</v>
      </c>
      <c r="J238" t="inlineStr">
        <is>
          <t>kg/d</t>
        </is>
      </c>
      <c r="K238" t="inlineStr">
        <is>
          <t>1天</t>
        </is>
      </c>
      <c r="P238" t="n">
        <v>0.14</v>
      </c>
      <c r="Q238" t="inlineStr">
        <is>
          <t>kg/d</t>
        </is>
      </c>
      <c r="R238" t="inlineStr">
        <is>
          <t>+</t>
        </is>
      </c>
      <c r="S238" t="inlineStr">
        <is>
          <t>否</t>
        </is>
      </c>
      <c r="T238" t="inlineStr">
        <is>
          <t>来源原始清单（未分配）</t>
        </is>
      </c>
      <c r="U238" t="inlineStr">
        <is>
          <t>SRC-RAW</t>
        </is>
      </c>
      <c r="V238" t="inlineStr">
        <is>
          <t>已审查</t>
        </is>
      </c>
      <c r="W238" t="inlineStr">
        <is>
          <t>否</t>
        </is>
      </c>
      <c r="X238" t="inlineStr">
        <is>
          <t>PR08 资本品 Installation d'ultrafiltration / copper 0.14</t>
        </is>
      </c>
      <c r="Y238" t="inlineStr">
        <is>
          <t>设备按天摊销材料量</t>
        </is>
      </c>
      <c r="Z238" t="inlineStr">
        <is>
          <t>CT-MCH-08I</t>
        </is>
      </c>
      <c r="AA238" t="inlineStr">
        <is>
          <t>直接报告</t>
        </is>
      </c>
      <c r="AB238" t="inlineStr">
        <is>
          <t>1天生产</t>
        </is>
      </c>
      <c r="AC238" t="inlineStr">
        <is>
          <t>1天生产</t>
        </is>
      </c>
    </row>
    <row r="239">
      <c r="A239" t="inlineStr">
        <is>
          <t>FL-MCH-08J</t>
        </is>
      </c>
      <c r="B239" t="inlineStr">
        <is>
          <t>PR08</t>
        </is>
      </c>
      <c r="C239" t="inlineStr">
        <is>
          <t>PR08 资本品 Installation d'ultrafiltration / Polypropylene</t>
        </is>
      </c>
      <c r="D239" t="inlineStr">
        <is>
          <t>物理流</t>
        </is>
      </c>
      <c r="E239" t="inlineStr">
        <is>
          <t>输入</t>
        </is>
      </c>
      <c r="G239" t="inlineStr">
        <is>
          <t>PR08</t>
        </is>
      </c>
      <c r="H239" t="inlineStr">
        <is>
          <t>physical_material</t>
        </is>
      </c>
      <c r="I239" t="n">
        <v>0.002</v>
      </c>
      <c r="J239" t="inlineStr">
        <is>
          <t>kg/d</t>
        </is>
      </c>
      <c r="K239" t="inlineStr">
        <is>
          <t>1天</t>
        </is>
      </c>
      <c r="P239" t="n">
        <v>0.002</v>
      </c>
      <c r="Q239" t="inlineStr">
        <is>
          <t>kg/d</t>
        </is>
      </c>
      <c r="R239" t="inlineStr">
        <is>
          <t>+</t>
        </is>
      </c>
      <c r="S239" t="inlineStr">
        <is>
          <t>否</t>
        </is>
      </c>
      <c r="T239" t="inlineStr">
        <is>
          <t>来源原始清单（未分配）</t>
        </is>
      </c>
      <c r="U239" t="inlineStr">
        <is>
          <t>SRC-RAW</t>
        </is>
      </c>
      <c r="V239" t="inlineStr">
        <is>
          <t>已审查</t>
        </is>
      </c>
      <c r="W239" t="inlineStr">
        <is>
          <t>否</t>
        </is>
      </c>
      <c r="X239" t="inlineStr">
        <is>
          <t>PR08 资本品 Installation d'ultrafiltration / Polypropylene 0.002</t>
        </is>
      </c>
      <c r="Y239" t="inlineStr">
        <is>
          <t>设备按天摊销材料量</t>
        </is>
      </c>
      <c r="Z239" t="inlineStr">
        <is>
          <t>CT-MCH-08J</t>
        </is>
      </c>
      <c r="AA239" t="inlineStr">
        <is>
          <t>直接报告</t>
        </is>
      </c>
      <c r="AB239" t="inlineStr">
        <is>
          <t>1天生产</t>
        </is>
      </c>
      <c r="AC239" t="inlineStr">
        <is>
          <t>1天生产</t>
        </is>
      </c>
    </row>
    <row r="240">
      <c r="A240" t="inlineStr">
        <is>
          <t>FL-MCH-08K</t>
        </is>
      </c>
      <c r="B240" t="inlineStr">
        <is>
          <t>PR08</t>
        </is>
      </c>
      <c r="C240" t="inlineStr">
        <is>
          <t>PR08 资本品 Installation d'ultrafiltration / rings / EPDM</t>
        </is>
      </c>
      <c r="D240" t="inlineStr">
        <is>
          <t>物理流</t>
        </is>
      </c>
      <c r="E240" t="inlineStr">
        <is>
          <t>输入</t>
        </is>
      </c>
      <c r="G240" t="inlineStr">
        <is>
          <t>PR08</t>
        </is>
      </c>
      <c r="H240" t="inlineStr">
        <is>
          <t>physical_material</t>
        </is>
      </c>
      <c r="I240" t="n">
        <v>0.1</v>
      </c>
      <c r="J240" t="inlineStr">
        <is>
          <t>kg/d</t>
        </is>
      </c>
      <c r="K240" t="inlineStr">
        <is>
          <t>1天</t>
        </is>
      </c>
      <c r="P240" t="n">
        <v>0.1</v>
      </c>
      <c r="Q240" t="inlineStr">
        <is>
          <t>kg/d</t>
        </is>
      </c>
      <c r="R240" t="inlineStr">
        <is>
          <t>+</t>
        </is>
      </c>
      <c r="S240" t="inlineStr">
        <is>
          <t>否</t>
        </is>
      </c>
      <c r="T240" t="inlineStr">
        <is>
          <t>来源原始清单（未分配）</t>
        </is>
      </c>
      <c r="U240" t="inlineStr">
        <is>
          <t>SRC-RAW</t>
        </is>
      </c>
      <c r="V240" t="inlineStr">
        <is>
          <t>已审查</t>
        </is>
      </c>
      <c r="W240" t="inlineStr">
        <is>
          <t>否</t>
        </is>
      </c>
      <c r="X240" t="inlineStr">
        <is>
          <t>PR08 资本品 Installation d'ultrafiltration / rings / EPDM 0.1</t>
        </is>
      </c>
      <c r="Y240" t="inlineStr">
        <is>
          <t>设备按天摊销材料量</t>
        </is>
      </c>
      <c r="Z240" t="inlineStr">
        <is>
          <t>CT-MCH-08K</t>
        </is>
      </c>
      <c r="AA240" t="inlineStr">
        <is>
          <t>直接报告</t>
        </is>
      </c>
      <c r="AB240" t="inlineStr">
        <is>
          <t>1天生产</t>
        </is>
      </c>
      <c r="AC240" t="inlineStr">
        <is>
          <t>1天生产</t>
        </is>
      </c>
    </row>
    <row r="241">
      <c r="A241" t="inlineStr">
        <is>
          <t>FL-MCH-08L</t>
        </is>
      </c>
      <c r="B241" t="inlineStr">
        <is>
          <t>PR08</t>
        </is>
      </c>
      <c r="C241" t="inlineStr">
        <is>
          <t>PR08 资本品 Installation d'ultrafiltration / silicon carbide</t>
        </is>
      </c>
      <c r="D241" t="inlineStr">
        <is>
          <t>物理流</t>
        </is>
      </c>
      <c r="E241" t="inlineStr">
        <is>
          <t>输入</t>
        </is>
      </c>
      <c r="G241" t="inlineStr">
        <is>
          <t>PR08</t>
        </is>
      </c>
      <c r="H241" t="inlineStr">
        <is>
          <t>physical_material</t>
        </is>
      </c>
      <c r="I241" t="n">
        <v>0.002</v>
      </c>
      <c r="J241" t="inlineStr">
        <is>
          <t>kg/d</t>
        </is>
      </c>
      <c r="K241" t="inlineStr">
        <is>
          <t>1天</t>
        </is>
      </c>
      <c r="P241" t="n">
        <v>0.002</v>
      </c>
      <c r="Q241" t="inlineStr">
        <is>
          <t>kg/d</t>
        </is>
      </c>
      <c r="R241" t="inlineStr">
        <is>
          <t>+</t>
        </is>
      </c>
      <c r="S241" t="inlineStr">
        <is>
          <t>否</t>
        </is>
      </c>
      <c r="T241" t="inlineStr">
        <is>
          <t>来源原始清单（未分配）</t>
        </is>
      </c>
      <c r="U241" t="inlineStr">
        <is>
          <t>SRC-RAW</t>
        </is>
      </c>
      <c r="V241" t="inlineStr">
        <is>
          <t>已审查</t>
        </is>
      </c>
      <c r="W241" t="inlineStr">
        <is>
          <t>否</t>
        </is>
      </c>
      <c r="X241" t="inlineStr">
        <is>
          <t>PR08 资本品 Installation d'ultrafiltration / silicon carbide 0.002</t>
        </is>
      </c>
      <c r="Y241" t="inlineStr">
        <is>
          <t>设备按天摊销材料量</t>
        </is>
      </c>
      <c r="Z241" t="inlineStr">
        <is>
          <t>CT-MCH-08L</t>
        </is>
      </c>
      <c r="AA241" t="inlineStr">
        <is>
          <t>直接报告</t>
        </is>
      </c>
      <c r="AB241" t="inlineStr">
        <is>
          <t>1天生产</t>
        </is>
      </c>
      <c r="AC241" t="inlineStr">
        <is>
          <t>1天生产</t>
        </is>
      </c>
    </row>
    <row r="242">
      <c r="A242" t="inlineStr">
        <is>
          <t>FL-MCH-09A</t>
        </is>
      </c>
      <c r="B242" t="inlineStr">
        <is>
          <t>PR09</t>
        </is>
      </c>
      <c r="C242" t="inlineStr">
        <is>
          <t>PR09 资本品 cooling and storage of UF whey concentrate / rings / synthet</t>
        </is>
      </c>
      <c r="D242" t="inlineStr">
        <is>
          <t>物理流</t>
        </is>
      </c>
      <c r="E242" t="inlineStr">
        <is>
          <t>输入</t>
        </is>
      </c>
      <c r="G242" t="inlineStr">
        <is>
          <t>PR09</t>
        </is>
      </c>
      <c r="H242" t="inlineStr">
        <is>
          <t>physical_material</t>
        </is>
      </c>
      <c r="I242" t="n">
        <v>0.006</v>
      </c>
      <c r="J242" t="inlineStr">
        <is>
          <t>kg/d</t>
        </is>
      </c>
      <c r="K242" t="inlineStr">
        <is>
          <t>1天</t>
        </is>
      </c>
      <c r="P242" t="n">
        <v>0.006</v>
      </c>
      <c r="Q242" t="inlineStr">
        <is>
          <t>kg/d</t>
        </is>
      </c>
      <c r="R242" t="inlineStr">
        <is>
          <t>+</t>
        </is>
      </c>
      <c r="S242" t="inlineStr">
        <is>
          <t>否</t>
        </is>
      </c>
      <c r="T242" t="inlineStr">
        <is>
          <t>来源原始清单（未分配）</t>
        </is>
      </c>
      <c r="U242" t="inlineStr">
        <is>
          <t>SRC-RAW</t>
        </is>
      </c>
      <c r="V242" t="inlineStr">
        <is>
          <t>已审查</t>
        </is>
      </c>
      <c r="W242" t="inlineStr">
        <is>
          <t>否</t>
        </is>
      </c>
      <c r="X242" t="inlineStr">
        <is>
          <t>PR09 资本品 cooling and storage of UF whey concentrate / rings / synthet 0.006</t>
        </is>
      </c>
      <c r="Y242" t="inlineStr">
        <is>
          <t>Gésan-Guiziou et al. (2019)</t>
        </is>
      </c>
      <c r="Z242" t="inlineStr">
        <is>
          <t>CT-MCH-09A</t>
        </is>
      </c>
      <c r="AA242" t="inlineStr">
        <is>
          <t>直接报告</t>
        </is>
      </c>
      <c r="AB242" t="inlineStr">
        <is>
          <t>1天生产</t>
        </is>
      </c>
      <c r="AC242" t="inlineStr">
        <is>
          <t>1天生产</t>
        </is>
      </c>
    </row>
    <row r="243">
      <c r="A243" t="inlineStr">
        <is>
          <t>FL-MCH-09B</t>
        </is>
      </c>
      <c r="B243" t="inlineStr">
        <is>
          <t>PR09</t>
        </is>
      </c>
      <c r="C243" t="inlineStr">
        <is>
          <t>PR09 资本品 cooling and storage of UF whey concentrate / structure / sta</t>
        </is>
      </c>
      <c r="D243" t="inlineStr">
        <is>
          <t>物理流</t>
        </is>
      </c>
      <c r="E243" t="inlineStr">
        <is>
          <t>输入</t>
        </is>
      </c>
      <c r="G243" t="inlineStr">
        <is>
          <t>PR09</t>
        </is>
      </c>
      <c r="H243" t="inlineStr">
        <is>
          <t>physical_material</t>
        </is>
      </c>
      <c r="I243" t="n">
        <v>0.385</v>
      </c>
      <c r="J243" t="inlineStr">
        <is>
          <t>kg/d</t>
        </is>
      </c>
      <c r="K243" t="inlineStr">
        <is>
          <t>1天</t>
        </is>
      </c>
      <c r="P243" t="n">
        <v>0.385</v>
      </c>
      <c r="Q243" t="inlineStr">
        <is>
          <t>kg/d</t>
        </is>
      </c>
      <c r="R243" t="inlineStr">
        <is>
          <t>+</t>
        </is>
      </c>
      <c r="S243" t="inlineStr">
        <is>
          <t>否</t>
        </is>
      </c>
      <c r="T243" t="inlineStr">
        <is>
          <t>来源原始清单（未分配）</t>
        </is>
      </c>
      <c r="U243" t="inlineStr">
        <is>
          <t>SRC-RAW</t>
        </is>
      </c>
      <c r="V243" t="inlineStr">
        <is>
          <t>已审查</t>
        </is>
      </c>
      <c r="W243" t="inlineStr">
        <is>
          <t>否</t>
        </is>
      </c>
      <c r="X243" t="inlineStr">
        <is>
          <t>PR09 资本品 cooling and storage of UF whey concentrate / structure / sta 0.385</t>
        </is>
      </c>
      <c r="Y243" t="inlineStr">
        <is>
          <t>Gésan-Guiziou et al. (2019)</t>
        </is>
      </c>
      <c r="Z243" t="inlineStr">
        <is>
          <t>CT-MCH-09B</t>
        </is>
      </c>
      <c r="AA243" t="inlineStr">
        <is>
          <t>直接报告</t>
        </is>
      </c>
      <c r="AB243" t="inlineStr">
        <is>
          <t>1天生产</t>
        </is>
      </c>
      <c r="AC243" t="inlineStr">
        <is>
          <t>1天生产</t>
        </is>
      </c>
    </row>
    <row r="244">
      <c r="A244" t="inlineStr">
        <is>
          <t>FL-MCH-10A</t>
        </is>
      </c>
      <c r="B244" t="inlineStr">
        <is>
          <t>PR10</t>
        </is>
      </c>
      <c r="C244" t="inlineStr">
        <is>
          <t>PR10 资本品 Transport and transfert / pumps / stainless steel</t>
        </is>
      </c>
      <c r="D244" t="inlineStr">
        <is>
          <t>物理流</t>
        </is>
      </c>
      <c r="E244" t="inlineStr">
        <is>
          <t>输入</t>
        </is>
      </c>
      <c r="G244" t="inlineStr">
        <is>
          <t>PR10</t>
        </is>
      </c>
      <c r="H244" t="inlineStr">
        <is>
          <t>physical_material</t>
        </is>
      </c>
      <c r="I244" t="n">
        <v>0.118</v>
      </c>
      <c r="J244" t="inlineStr">
        <is>
          <t>kg/d</t>
        </is>
      </c>
      <c r="K244" t="inlineStr">
        <is>
          <t>1天</t>
        </is>
      </c>
      <c r="P244" t="n">
        <v>0.118</v>
      </c>
      <c r="Q244" t="inlineStr">
        <is>
          <t>kg/d</t>
        </is>
      </c>
      <c r="R244" t="inlineStr">
        <is>
          <t>+</t>
        </is>
      </c>
      <c r="S244" t="inlineStr">
        <is>
          <t>否</t>
        </is>
      </c>
      <c r="T244" t="inlineStr">
        <is>
          <t>来源原始清单（未分配）</t>
        </is>
      </c>
      <c r="U244" t="inlineStr">
        <is>
          <t>SRC-RAW</t>
        </is>
      </c>
      <c r="V244" t="inlineStr">
        <is>
          <t>已审查</t>
        </is>
      </c>
      <c r="W244" t="inlineStr">
        <is>
          <t>否</t>
        </is>
      </c>
      <c r="X244" t="inlineStr">
        <is>
          <t>PR10 资本品 Transport and transfert / pumps / stainless steel 0.118</t>
        </is>
      </c>
      <c r="Y244" t="inlineStr">
        <is>
          <t>truck as background data (from databases)</t>
        </is>
      </c>
      <c r="Z244" t="inlineStr">
        <is>
          <t>CT-MCH-10A</t>
        </is>
      </c>
      <c r="AA244" t="inlineStr">
        <is>
          <t>直接报告</t>
        </is>
      </c>
      <c r="AB244" t="inlineStr">
        <is>
          <t>1天生产</t>
        </is>
      </c>
      <c r="AC244" t="inlineStr">
        <is>
          <t>1天生产</t>
        </is>
      </c>
    </row>
    <row r="245">
      <c r="A245" t="inlineStr">
        <is>
          <t>FL-MCH-10B</t>
        </is>
      </c>
      <c r="B245" t="inlineStr">
        <is>
          <t>PR10</t>
        </is>
      </c>
      <c r="C245" t="inlineStr">
        <is>
          <t>PR10 资本品 Transport and transfert / copper</t>
        </is>
      </c>
      <c r="D245" t="inlineStr">
        <is>
          <t>物理流</t>
        </is>
      </c>
      <c r="E245" t="inlineStr">
        <is>
          <t>输入</t>
        </is>
      </c>
      <c r="G245" t="inlineStr">
        <is>
          <t>PR10</t>
        </is>
      </c>
      <c r="H245" t="inlineStr">
        <is>
          <t>physical_material</t>
        </is>
      </c>
      <c r="I245" t="n">
        <v>0.00291</v>
      </c>
      <c r="J245" t="inlineStr">
        <is>
          <t>kg/d</t>
        </is>
      </c>
      <c r="K245" t="inlineStr">
        <is>
          <t>1天</t>
        </is>
      </c>
      <c r="P245" t="n">
        <v>0.00291</v>
      </c>
      <c r="Q245" t="inlineStr">
        <is>
          <t>kg/d</t>
        </is>
      </c>
      <c r="R245" t="inlineStr">
        <is>
          <t>+</t>
        </is>
      </c>
      <c r="S245" t="inlineStr">
        <is>
          <t>否</t>
        </is>
      </c>
      <c r="T245" t="inlineStr">
        <is>
          <t>来源原始清单（未分配）</t>
        </is>
      </c>
      <c r="U245" t="inlineStr">
        <is>
          <t>SRC-RAW</t>
        </is>
      </c>
      <c r="V245" t="inlineStr">
        <is>
          <t>已审查</t>
        </is>
      </c>
      <c r="W245" t="inlineStr">
        <is>
          <t>否</t>
        </is>
      </c>
      <c r="X245" t="inlineStr">
        <is>
          <t>PR10 资本品 Transport and transfert / copper 0.00291</t>
        </is>
      </c>
      <c r="Y245" t="inlineStr">
        <is>
          <t>Gésan-Guiziou et al. (2019)</t>
        </is>
      </c>
      <c r="Z245" t="inlineStr">
        <is>
          <t>CT-MCH-10B</t>
        </is>
      </c>
      <c r="AA245" t="inlineStr">
        <is>
          <t>直接报告</t>
        </is>
      </c>
      <c r="AB245" t="inlineStr">
        <is>
          <t>1天生产</t>
        </is>
      </c>
      <c r="AC245" t="inlineStr">
        <is>
          <t>1天生产</t>
        </is>
      </c>
    </row>
    <row r="246">
      <c r="A246" t="inlineStr">
        <is>
          <t>FL-MCH-10C</t>
        </is>
      </c>
      <c r="B246" t="inlineStr">
        <is>
          <t>PR10</t>
        </is>
      </c>
      <c r="C246" t="inlineStr">
        <is>
          <t>PR10 资本品 Transport and transfert / Aluminium</t>
        </is>
      </c>
      <c r="D246" t="inlineStr">
        <is>
          <t>物理流</t>
        </is>
      </c>
      <c r="E246" t="inlineStr">
        <is>
          <t>输入</t>
        </is>
      </c>
      <c r="G246" t="inlineStr">
        <is>
          <t>PR10</t>
        </is>
      </c>
      <c r="H246" t="inlineStr">
        <is>
          <t>physical_material</t>
        </is>
      </c>
      <c r="I246" t="n">
        <v>0.00564</v>
      </c>
      <c r="J246" t="inlineStr">
        <is>
          <t>kg/d</t>
        </is>
      </c>
      <c r="K246" t="inlineStr">
        <is>
          <t>1天</t>
        </is>
      </c>
      <c r="P246" t="n">
        <v>0.00564</v>
      </c>
      <c r="Q246" t="inlineStr">
        <is>
          <t>kg/d</t>
        </is>
      </c>
      <c r="R246" t="inlineStr">
        <is>
          <t>+</t>
        </is>
      </c>
      <c r="S246" t="inlineStr">
        <is>
          <t>否</t>
        </is>
      </c>
      <c r="T246" t="inlineStr">
        <is>
          <t>来源原始清单（未分配）</t>
        </is>
      </c>
      <c r="U246" t="inlineStr">
        <is>
          <t>SRC-RAW</t>
        </is>
      </c>
      <c r="V246" t="inlineStr">
        <is>
          <t>已审查</t>
        </is>
      </c>
      <c r="W246" t="inlineStr">
        <is>
          <t>否</t>
        </is>
      </c>
      <c r="X246" t="inlineStr">
        <is>
          <t>PR10 资本品 Transport and transfert / Aluminium 0.00564</t>
        </is>
      </c>
      <c r="Y246" t="inlineStr">
        <is>
          <t>Gésan-Guiziou et al. (2019)</t>
        </is>
      </c>
      <c r="Z246" t="inlineStr">
        <is>
          <t>CT-MCH-10C</t>
        </is>
      </c>
      <c r="AA246" t="inlineStr">
        <is>
          <t>直接报告</t>
        </is>
      </c>
      <c r="AB246" t="inlineStr">
        <is>
          <t>1天生产</t>
        </is>
      </c>
      <c r="AC246" t="inlineStr">
        <is>
          <t>1天生产</t>
        </is>
      </c>
    </row>
    <row r="247">
      <c r="A247" t="inlineStr">
        <is>
          <t>FL-MCH-11A</t>
        </is>
      </c>
      <c r="B247" t="inlineStr">
        <is>
          <t>PR11</t>
        </is>
      </c>
      <c r="C247" t="inlineStr">
        <is>
          <t>PR11 资本品 Installation d'Osmose Inverse / organic membrane / Polyether</t>
        </is>
      </c>
      <c r="D247" t="inlineStr">
        <is>
          <t>物理流</t>
        </is>
      </c>
      <c r="E247" t="inlineStr">
        <is>
          <t>输入</t>
        </is>
      </c>
      <c r="G247" t="inlineStr">
        <is>
          <t>PR11</t>
        </is>
      </c>
      <c r="H247" t="inlineStr">
        <is>
          <t>physical_material</t>
        </is>
      </c>
      <c r="I247" t="n">
        <v>0</v>
      </c>
      <c r="J247" t="inlineStr">
        <is>
          <t>kg/d</t>
        </is>
      </c>
      <c r="K247" t="inlineStr">
        <is>
          <t>1天</t>
        </is>
      </c>
      <c r="P247" t="n">
        <v>0</v>
      </c>
      <c r="Q247" t="inlineStr">
        <is>
          <t>kg/d</t>
        </is>
      </c>
      <c r="R247" t="inlineStr">
        <is>
          <t>+</t>
        </is>
      </c>
      <c r="S247" t="inlineStr">
        <is>
          <t>否</t>
        </is>
      </c>
      <c r="T247" t="inlineStr">
        <is>
          <t>来源原始清单（未分配）</t>
        </is>
      </c>
      <c r="U247" t="inlineStr">
        <is>
          <t>SRC-RAW</t>
        </is>
      </c>
      <c r="V247" t="inlineStr">
        <is>
          <t>已审查</t>
        </is>
      </c>
      <c r="W247" t="inlineStr">
        <is>
          <t>否</t>
        </is>
      </c>
      <c r="X247" t="inlineStr">
        <is>
          <t>PR11 资本品 Installation d'Osmose Inverse / organic membrane / Polyether 0.0</t>
        </is>
      </c>
      <c r="Y247" t="inlineStr">
        <is>
          <t>for ultrafiltration</t>
        </is>
      </c>
      <c r="Z247" t="inlineStr">
        <is>
          <t>CT-MCH-11A</t>
        </is>
      </c>
      <c r="AA247" t="inlineStr">
        <is>
          <t>直接报告</t>
        </is>
      </c>
      <c r="AB247" t="inlineStr">
        <is>
          <t>1天生产</t>
        </is>
      </c>
      <c r="AC247" t="inlineStr">
        <is>
          <t>1天生产</t>
        </is>
      </c>
    </row>
    <row r="248">
      <c r="A248" t="inlineStr">
        <is>
          <t>FL-MCH-11B</t>
        </is>
      </c>
      <c r="B248" t="inlineStr">
        <is>
          <t>PR11</t>
        </is>
      </c>
      <c r="C248" t="inlineStr">
        <is>
          <t>PR11 资本品 Installation d'Osmose Inverse / Polyamide</t>
        </is>
      </c>
      <c r="D248" t="inlineStr">
        <is>
          <t>物理流</t>
        </is>
      </c>
      <c r="E248" t="inlineStr">
        <is>
          <t>输入</t>
        </is>
      </c>
      <c r="G248" t="inlineStr">
        <is>
          <t>PR11</t>
        </is>
      </c>
      <c r="H248" t="inlineStr">
        <is>
          <t>physical_material</t>
        </is>
      </c>
      <c r="I248" t="n">
        <v>0.15</v>
      </c>
      <c r="J248" t="inlineStr">
        <is>
          <t>kg/d</t>
        </is>
      </c>
      <c r="K248" t="inlineStr">
        <is>
          <t>1天</t>
        </is>
      </c>
      <c r="P248" t="n">
        <v>0.15</v>
      </c>
      <c r="Q248" t="inlineStr">
        <is>
          <t>kg/d</t>
        </is>
      </c>
      <c r="R248" t="inlineStr">
        <is>
          <t>+</t>
        </is>
      </c>
      <c r="S248" t="inlineStr">
        <is>
          <t>否</t>
        </is>
      </c>
      <c r="T248" t="inlineStr">
        <is>
          <t>来源原始清单（未分配）</t>
        </is>
      </c>
      <c r="U248" t="inlineStr">
        <is>
          <t>SRC-RAW</t>
        </is>
      </c>
      <c r="V248" t="inlineStr">
        <is>
          <t>已审查</t>
        </is>
      </c>
      <c r="W248" t="inlineStr">
        <is>
          <t>否</t>
        </is>
      </c>
      <c r="X248" t="inlineStr">
        <is>
          <t>PR11 资本品 Installation d'Osmose Inverse / Polyamide 0.15</t>
        </is>
      </c>
      <c r="Y248" t="inlineStr">
        <is>
          <t>for reverse osmosis</t>
        </is>
      </c>
      <c r="Z248" t="inlineStr">
        <is>
          <t>CT-MCH-11B</t>
        </is>
      </c>
      <c r="AA248" t="inlineStr">
        <is>
          <t>直接报告</t>
        </is>
      </c>
      <c r="AB248" t="inlineStr">
        <is>
          <t>1天生产</t>
        </is>
      </c>
      <c r="AC248" t="inlineStr">
        <is>
          <t>1天生产</t>
        </is>
      </c>
    </row>
    <row r="249">
      <c r="A249" t="inlineStr">
        <is>
          <t>FL-MCH-11C</t>
        </is>
      </c>
      <c r="B249" t="inlineStr">
        <is>
          <t>PR11</t>
        </is>
      </c>
      <c r="C249" t="inlineStr">
        <is>
          <t>PR11 资本品 Installation d'Osmose Inverse / Polyester</t>
        </is>
      </c>
      <c r="D249" t="inlineStr">
        <is>
          <t>物理流</t>
        </is>
      </c>
      <c r="E249" t="inlineStr">
        <is>
          <t>输入</t>
        </is>
      </c>
      <c r="G249" t="inlineStr">
        <is>
          <t>PR11</t>
        </is>
      </c>
      <c r="H249" t="inlineStr">
        <is>
          <t>physical_material</t>
        </is>
      </c>
      <c r="I249" t="n">
        <v>0.15</v>
      </c>
      <c r="J249" t="inlineStr">
        <is>
          <t>kg/d</t>
        </is>
      </c>
      <c r="K249" t="inlineStr">
        <is>
          <t>1天</t>
        </is>
      </c>
      <c r="P249" t="n">
        <v>0.15</v>
      </c>
      <c r="Q249" t="inlineStr">
        <is>
          <t>kg/d</t>
        </is>
      </c>
      <c r="R249" t="inlineStr">
        <is>
          <t>+</t>
        </is>
      </c>
      <c r="S249" t="inlineStr">
        <is>
          <t>否</t>
        </is>
      </c>
      <c r="T249" t="inlineStr">
        <is>
          <t>来源原始清单（未分配）</t>
        </is>
      </c>
      <c r="U249" t="inlineStr">
        <is>
          <t>SRC-RAW</t>
        </is>
      </c>
      <c r="V249" t="inlineStr">
        <is>
          <t>已审查</t>
        </is>
      </c>
      <c r="W249" t="inlineStr">
        <is>
          <t>否</t>
        </is>
      </c>
      <c r="X249" t="inlineStr">
        <is>
          <t>PR11 资本品 Installation d'Osmose Inverse / Polyester 0.15</t>
        </is>
      </c>
      <c r="Y249" t="inlineStr">
        <is>
          <t>membrane support</t>
        </is>
      </c>
      <c r="Z249" t="inlineStr">
        <is>
          <t>CT-MCH-11C</t>
        </is>
      </c>
      <c r="AA249" t="inlineStr">
        <is>
          <t>直接报告</t>
        </is>
      </c>
      <c r="AB249" t="inlineStr">
        <is>
          <t>1天生产</t>
        </is>
      </c>
      <c r="AC249" t="inlineStr">
        <is>
          <t>1天生产</t>
        </is>
      </c>
    </row>
    <row r="250">
      <c r="A250" t="inlineStr">
        <is>
          <t>FL-MCH-11D</t>
        </is>
      </c>
      <c r="B250" t="inlineStr">
        <is>
          <t>PR11</t>
        </is>
      </c>
      <c r="C250" t="inlineStr">
        <is>
          <t>PR11 资本品 Installation d'Osmose Inverse / Polypropylene</t>
        </is>
      </c>
      <c r="D250" t="inlineStr">
        <is>
          <t>物理流</t>
        </is>
      </c>
      <c r="E250" t="inlineStr">
        <is>
          <t>输入</t>
        </is>
      </c>
      <c r="G250" t="inlineStr">
        <is>
          <t>PR11</t>
        </is>
      </c>
      <c r="H250" t="inlineStr">
        <is>
          <t>physical_material</t>
        </is>
      </c>
      <c r="I250" t="n">
        <v>0.3</v>
      </c>
      <c r="J250" t="inlineStr">
        <is>
          <t>kg/d</t>
        </is>
      </c>
      <c r="K250" t="inlineStr">
        <is>
          <t>1天</t>
        </is>
      </c>
      <c r="P250" t="n">
        <v>0.3</v>
      </c>
      <c r="Q250" t="inlineStr">
        <is>
          <t>kg/d</t>
        </is>
      </c>
      <c r="R250" t="inlineStr">
        <is>
          <t>+</t>
        </is>
      </c>
      <c r="S250" t="inlineStr">
        <is>
          <t>否</t>
        </is>
      </c>
      <c r="T250" t="inlineStr">
        <is>
          <t>来源原始清单（未分配）</t>
        </is>
      </c>
      <c r="U250" t="inlineStr">
        <is>
          <t>SRC-RAW</t>
        </is>
      </c>
      <c r="V250" t="inlineStr">
        <is>
          <t>已审查</t>
        </is>
      </c>
      <c r="W250" t="inlineStr">
        <is>
          <t>否</t>
        </is>
      </c>
      <c r="X250" t="inlineStr">
        <is>
          <t>PR11 资本品 Installation d'Osmose Inverse / Polypropylene 0.3</t>
        </is>
      </c>
      <c r="Y250" t="inlineStr">
        <is>
          <t>spacer grid</t>
        </is>
      </c>
      <c r="Z250" t="inlineStr">
        <is>
          <t>CT-MCH-11D</t>
        </is>
      </c>
      <c r="AA250" t="inlineStr">
        <is>
          <t>直接报告</t>
        </is>
      </c>
      <c r="AB250" t="inlineStr">
        <is>
          <t>1天生产</t>
        </is>
      </c>
      <c r="AC250" t="inlineStr">
        <is>
          <t>1天生产</t>
        </is>
      </c>
    </row>
    <row r="251">
      <c r="A251" t="inlineStr">
        <is>
          <t>FL-MCH-11E</t>
        </is>
      </c>
      <c r="B251" t="inlineStr">
        <is>
          <t>PR11</t>
        </is>
      </c>
      <c r="C251" t="inlineStr">
        <is>
          <t>PR11 资本品 Installation d'Osmose Inverse / glu</t>
        </is>
      </c>
      <c r="D251" t="inlineStr">
        <is>
          <t>物理流</t>
        </is>
      </c>
      <c r="E251" t="inlineStr">
        <is>
          <t>输入</t>
        </is>
      </c>
      <c r="G251" t="inlineStr">
        <is>
          <t>PR11</t>
        </is>
      </c>
      <c r="H251" t="inlineStr">
        <is>
          <t>physical_material</t>
        </is>
      </c>
      <c r="I251" t="n">
        <v>0.14</v>
      </c>
      <c r="J251" t="inlineStr">
        <is>
          <t>kg/d</t>
        </is>
      </c>
      <c r="K251" t="inlineStr">
        <is>
          <t>1天</t>
        </is>
      </c>
      <c r="P251" t="n">
        <v>0.14</v>
      </c>
      <c r="Q251" t="inlineStr">
        <is>
          <t>kg/d</t>
        </is>
      </c>
      <c r="R251" t="inlineStr">
        <is>
          <t>+</t>
        </is>
      </c>
      <c r="S251" t="inlineStr">
        <is>
          <t>否</t>
        </is>
      </c>
      <c r="T251" t="inlineStr">
        <is>
          <t>来源原始清单（未分配）</t>
        </is>
      </c>
      <c r="U251" t="inlineStr">
        <is>
          <t>SRC-RAW</t>
        </is>
      </c>
      <c r="V251" t="inlineStr">
        <is>
          <t>已审查</t>
        </is>
      </c>
      <c r="W251" t="inlineStr">
        <is>
          <t>否</t>
        </is>
      </c>
      <c r="X251" t="inlineStr">
        <is>
          <t>PR11 资本品 Installation d'Osmose Inverse / glu 0.14</t>
        </is>
      </c>
      <c r="Y251" t="inlineStr">
        <is>
          <t>设备按天摊销材料量</t>
        </is>
      </c>
      <c r="Z251" t="inlineStr">
        <is>
          <t>CT-MCH-11E</t>
        </is>
      </c>
      <c r="AA251" t="inlineStr">
        <is>
          <t>直接报告</t>
        </is>
      </c>
      <c r="AB251" t="inlineStr">
        <is>
          <t>1天生产</t>
        </is>
      </c>
      <c r="AC251" t="inlineStr">
        <is>
          <t>1天生产</t>
        </is>
      </c>
    </row>
    <row r="252">
      <c r="A252" t="inlineStr">
        <is>
          <t>FL-MCH-11F</t>
        </is>
      </c>
      <c r="B252" t="inlineStr">
        <is>
          <t>PR11</t>
        </is>
      </c>
      <c r="C252" t="inlineStr">
        <is>
          <t>PR11 资本品 Installation d'Osmose Inverse / PET</t>
        </is>
      </c>
      <c r="D252" t="inlineStr">
        <is>
          <t>物理流</t>
        </is>
      </c>
      <c r="E252" t="inlineStr">
        <is>
          <t>输入</t>
        </is>
      </c>
      <c r="G252" t="inlineStr">
        <is>
          <t>PR11</t>
        </is>
      </c>
      <c r="H252" t="inlineStr">
        <is>
          <t>physical_material</t>
        </is>
      </c>
      <c r="I252" t="n">
        <v>0.21</v>
      </c>
      <c r="J252" t="inlineStr">
        <is>
          <t>kg/d</t>
        </is>
      </c>
      <c r="K252" t="inlineStr">
        <is>
          <t>1天</t>
        </is>
      </c>
      <c r="P252" t="n">
        <v>0.21</v>
      </c>
      <c r="Q252" t="inlineStr">
        <is>
          <t>kg/d</t>
        </is>
      </c>
      <c r="R252" t="inlineStr">
        <is>
          <t>+</t>
        </is>
      </c>
      <c r="S252" t="inlineStr">
        <is>
          <t>否</t>
        </is>
      </c>
      <c r="T252" t="inlineStr">
        <is>
          <t>来源原始清单（未分配）</t>
        </is>
      </c>
      <c r="U252" t="inlineStr">
        <is>
          <t>SRC-RAW</t>
        </is>
      </c>
      <c r="V252" t="inlineStr">
        <is>
          <t>已审查</t>
        </is>
      </c>
      <c r="W252" t="inlineStr">
        <is>
          <t>否</t>
        </is>
      </c>
      <c r="X252" t="inlineStr">
        <is>
          <t>PR11 资本品 Installation d'Osmose Inverse / PET 0.21</t>
        </is>
      </c>
      <c r="Y252" t="inlineStr">
        <is>
          <t>设备按天摊销材料量</t>
        </is>
      </c>
      <c r="Z252" t="inlineStr">
        <is>
          <t>CT-MCH-11F</t>
        </is>
      </c>
      <c r="AA252" t="inlineStr">
        <is>
          <t>直接报告</t>
        </is>
      </c>
      <c r="AB252" t="inlineStr">
        <is>
          <t>1天生产</t>
        </is>
      </c>
      <c r="AC252" t="inlineStr">
        <is>
          <t>1天生产</t>
        </is>
      </c>
    </row>
    <row r="253">
      <c r="A253" t="inlineStr">
        <is>
          <t>FL-MCH-11G</t>
        </is>
      </c>
      <c r="B253" t="inlineStr">
        <is>
          <t>PR11</t>
        </is>
      </c>
      <c r="C253" t="inlineStr">
        <is>
          <t xml:space="preserve">PR11 资本品 Installation d'Osmose Inverse / membrane carter / stainless </t>
        </is>
      </c>
      <c r="D253" t="inlineStr">
        <is>
          <t>物理流</t>
        </is>
      </c>
      <c r="E253" t="inlineStr">
        <is>
          <t>输入</t>
        </is>
      </c>
      <c r="G253" t="inlineStr">
        <is>
          <t>PR11</t>
        </is>
      </c>
      <c r="H253" t="inlineStr">
        <is>
          <t>physical_material</t>
        </is>
      </c>
      <c r="I253" t="n">
        <v>0.6899999999999999</v>
      </c>
      <c r="J253" t="inlineStr">
        <is>
          <t>kg/d</t>
        </is>
      </c>
      <c r="K253" t="inlineStr">
        <is>
          <t>1天</t>
        </is>
      </c>
      <c r="P253" t="n">
        <v>0.6899999999999999</v>
      </c>
      <c r="Q253" t="inlineStr">
        <is>
          <t>kg/d</t>
        </is>
      </c>
      <c r="R253" t="inlineStr">
        <is>
          <t>+</t>
        </is>
      </c>
      <c r="S253" t="inlineStr">
        <is>
          <t>否</t>
        </is>
      </c>
      <c r="T253" t="inlineStr">
        <is>
          <t>来源原始清单（未分配）</t>
        </is>
      </c>
      <c r="U253" t="inlineStr">
        <is>
          <t>SRC-RAW</t>
        </is>
      </c>
      <c r="V253" t="inlineStr">
        <is>
          <t>已审查</t>
        </is>
      </c>
      <c r="W253" t="inlineStr">
        <is>
          <t>否</t>
        </is>
      </c>
      <c r="X253" t="inlineStr">
        <is>
          <t>PR11 资本品 Installation d'Osmose Inverse / membrane carter / stainless  0.69</t>
        </is>
      </c>
      <c r="Y253" t="inlineStr">
        <is>
          <t>设备按天摊销材料量</t>
        </is>
      </c>
      <c r="Z253" t="inlineStr">
        <is>
          <t>CT-MCH-11G</t>
        </is>
      </c>
      <c r="AA253" t="inlineStr">
        <is>
          <t>直接报告</t>
        </is>
      </c>
      <c r="AB253" t="inlineStr">
        <is>
          <t>1天生产</t>
        </is>
      </c>
      <c r="AC253" t="inlineStr">
        <is>
          <t>1天生产</t>
        </is>
      </c>
    </row>
    <row r="254">
      <c r="A254" t="inlineStr">
        <is>
          <t>FL-MCH-11H</t>
        </is>
      </c>
      <c r="B254" t="inlineStr">
        <is>
          <t>PR11</t>
        </is>
      </c>
      <c r="C254" t="inlineStr">
        <is>
          <t>PR11 资本品 Installation d'Osmose Inverse / pumps / Aluminium</t>
        </is>
      </c>
      <c r="D254" t="inlineStr">
        <is>
          <t>物理流</t>
        </is>
      </c>
      <c r="E254" t="inlineStr">
        <is>
          <t>输入</t>
        </is>
      </c>
      <c r="G254" t="inlineStr">
        <is>
          <t>PR11</t>
        </is>
      </c>
      <c r="H254" t="inlineStr">
        <is>
          <t>physical_material</t>
        </is>
      </c>
      <c r="I254" t="n">
        <v>0.22</v>
      </c>
      <c r="J254" t="inlineStr">
        <is>
          <t>kg/d</t>
        </is>
      </c>
      <c r="K254" t="inlineStr">
        <is>
          <t>1天</t>
        </is>
      </c>
      <c r="P254" t="n">
        <v>0.22</v>
      </c>
      <c r="Q254" t="inlineStr">
        <is>
          <t>kg/d</t>
        </is>
      </c>
      <c r="R254" t="inlineStr">
        <is>
          <t>+</t>
        </is>
      </c>
      <c r="S254" t="inlineStr">
        <is>
          <t>否</t>
        </is>
      </c>
      <c r="T254" t="inlineStr">
        <is>
          <t>来源原始清单（未分配）</t>
        </is>
      </c>
      <c r="U254" t="inlineStr">
        <is>
          <t>SRC-RAW</t>
        </is>
      </c>
      <c r="V254" t="inlineStr">
        <is>
          <t>已审查</t>
        </is>
      </c>
      <c r="W254" t="inlineStr">
        <is>
          <t>否</t>
        </is>
      </c>
      <c r="X254" t="inlineStr">
        <is>
          <t>PR11 资本品 Installation d'Osmose Inverse / pumps / Aluminium 0.22</t>
        </is>
      </c>
      <c r="Y254" t="inlineStr">
        <is>
          <t>设备按天摊销材料量</t>
        </is>
      </c>
      <c r="Z254" t="inlineStr">
        <is>
          <t>CT-MCH-11H</t>
        </is>
      </c>
      <c r="AA254" t="inlineStr">
        <is>
          <t>直接报告</t>
        </is>
      </c>
      <c r="AB254" t="inlineStr">
        <is>
          <t>1天生产</t>
        </is>
      </c>
      <c r="AC254" t="inlineStr">
        <is>
          <t>1天生产</t>
        </is>
      </c>
    </row>
    <row r="255">
      <c r="A255" t="inlineStr">
        <is>
          <t>FL-MCH-11I</t>
        </is>
      </c>
      <c r="B255" t="inlineStr">
        <is>
          <t>PR11</t>
        </is>
      </c>
      <c r="C255" t="inlineStr">
        <is>
          <t>PR11 资本品 Installation d'Osmose Inverse / copper</t>
        </is>
      </c>
      <c r="D255" t="inlineStr">
        <is>
          <t>物理流</t>
        </is>
      </c>
      <c r="E255" t="inlineStr">
        <is>
          <t>输入</t>
        </is>
      </c>
      <c r="G255" t="inlineStr">
        <is>
          <t>PR11</t>
        </is>
      </c>
      <c r="H255" t="inlineStr">
        <is>
          <t>physical_material</t>
        </is>
      </c>
      <c r="I255" t="n">
        <v>0.11</v>
      </c>
      <c r="J255" t="inlineStr">
        <is>
          <t>kg/d</t>
        </is>
      </c>
      <c r="K255" t="inlineStr">
        <is>
          <t>1天</t>
        </is>
      </c>
      <c r="P255" t="n">
        <v>0.11</v>
      </c>
      <c r="Q255" t="inlineStr">
        <is>
          <t>kg/d</t>
        </is>
      </c>
      <c r="R255" t="inlineStr">
        <is>
          <t>+</t>
        </is>
      </c>
      <c r="S255" t="inlineStr">
        <is>
          <t>否</t>
        </is>
      </c>
      <c r="T255" t="inlineStr">
        <is>
          <t>来源原始清单（未分配）</t>
        </is>
      </c>
      <c r="U255" t="inlineStr">
        <is>
          <t>SRC-RAW</t>
        </is>
      </c>
      <c r="V255" t="inlineStr">
        <is>
          <t>已审查</t>
        </is>
      </c>
      <c r="W255" t="inlineStr">
        <is>
          <t>否</t>
        </is>
      </c>
      <c r="X255" t="inlineStr">
        <is>
          <t>PR11 资本品 Installation d'Osmose Inverse / copper 0.11</t>
        </is>
      </c>
      <c r="Y255" t="inlineStr">
        <is>
          <t>设备按天摊销材料量</t>
        </is>
      </c>
      <c r="Z255" t="inlineStr">
        <is>
          <t>CT-MCH-11I</t>
        </is>
      </c>
      <c r="AA255" t="inlineStr">
        <is>
          <t>直接报告</t>
        </is>
      </c>
      <c r="AB255" t="inlineStr">
        <is>
          <t>1天生产</t>
        </is>
      </c>
      <c r="AC255" t="inlineStr">
        <is>
          <t>1天生产</t>
        </is>
      </c>
    </row>
    <row r="256">
      <c r="A256" t="inlineStr">
        <is>
          <t>FL-MCH-11J</t>
        </is>
      </c>
      <c r="B256" t="inlineStr">
        <is>
          <t>PR11</t>
        </is>
      </c>
      <c r="C256" t="inlineStr">
        <is>
          <t>PR11 资本品 Installation d'Osmose Inverse / Polypropylene</t>
        </is>
      </c>
      <c r="D256" t="inlineStr">
        <is>
          <t>物理流</t>
        </is>
      </c>
      <c r="E256" t="inlineStr">
        <is>
          <t>输入</t>
        </is>
      </c>
      <c r="G256" t="inlineStr">
        <is>
          <t>PR11</t>
        </is>
      </c>
      <c r="H256" t="inlineStr">
        <is>
          <t>physical_material</t>
        </is>
      </c>
      <c r="I256" t="n">
        <v>0.002</v>
      </c>
      <c r="J256" t="inlineStr">
        <is>
          <t>kg/d</t>
        </is>
      </c>
      <c r="K256" t="inlineStr">
        <is>
          <t>1天</t>
        </is>
      </c>
      <c r="P256" t="n">
        <v>0.002</v>
      </c>
      <c r="Q256" t="inlineStr">
        <is>
          <t>kg/d</t>
        </is>
      </c>
      <c r="R256" t="inlineStr">
        <is>
          <t>+</t>
        </is>
      </c>
      <c r="S256" t="inlineStr">
        <is>
          <t>否</t>
        </is>
      </c>
      <c r="T256" t="inlineStr">
        <is>
          <t>来源原始清单（未分配）</t>
        </is>
      </c>
      <c r="U256" t="inlineStr">
        <is>
          <t>SRC-RAW</t>
        </is>
      </c>
      <c r="V256" t="inlineStr">
        <is>
          <t>已审查</t>
        </is>
      </c>
      <c r="W256" t="inlineStr">
        <is>
          <t>否</t>
        </is>
      </c>
      <c r="X256" t="inlineStr">
        <is>
          <t>PR11 资本品 Installation d'Osmose Inverse / Polypropylene 0.002</t>
        </is>
      </c>
      <c r="Y256" t="inlineStr">
        <is>
          <t>设备按天摊销材料量</t>
        </is>
      </c>
      <c r="Z256" t="inlineStr">
        <is>
          <t>CT-MCH-11J</t>
        </is>
      </c>
      <c r="AA256" t="inlineStr">
        <is>
          <t>直接报告</t>
        </is>
      </c>
      <c r="AB256" t="inlineStr">
        <is>
          <t>1天生产</t>
        </is>
      </c>
      <c r="AC256" t="inlineStr">
        <is>
          <t>1天生产</t>
        </is>
      </c>
    </row>
    <row r="257">
      <c r="A257" t="inlineStr">
        <is>
          <t>FL-MCH-11K</t>
        </is>
      </c>
      <c r="B257" t="inlineStr">
        <is>
          <t>PR11</t>
        </is>
      </c>
      <c r="C257" t="inlineStr">
        <is>
          <t>PR11 资本品 Installation d'Osmose Inverse / rings / EPDM</t>
        </is>
      </c>
      <c r="D257" t="inlineStr">
        <is>
          <t>物理流</t>
        </is>
      </c>
      <c r="E257" t="inlineStr">
        <is>
          <t>输入</t>
        </is>
      </c>
      <c r="G257" t="inlineStr">
        <is>
          <t>PR11</t>
        </is>
      </c>
      <c r="H257" t="inlineStr">
        <is>
          <t>physical_material</t>
        </is>
      </c>
      <c r="I257" t="n">
        <v>0.08</v>
      </c>
      <c r="J257" t="inlineStr">
        <is>
          <t>kg/d</t>
        </is>
      </c>
      <c r="K257" t="inlineStr">
        <is>
          <t>1天</t>
        </is>
      </c>
      <c r="P257" t="n">
        <v>0.08</v>
      </c>
      <c r="Q257" t="inlineStr">
        <is>
          <t>kg/d</t>
        </is>
      </c>
      <c r="R257" t="inlineStr">
        <is>
          <t>+</t>
        </is>
      </c>
      <c r="S257" t="inlineStr">
        <is>
          <t>否</t>
        </is>
      </c>
      <c r="T257" t="inlineStr">
        <is>
          <t>来源原始清单（未分配）</t>
        </is>
      </c>
      <c r="U257" t="inlineStr">
        <is>
          <t>SRC-RAW</t>
        </is>
      </c>
      <c r="V257" t="inlineStr">
        <is>
          <t>已审查</t>
        </is>
      </c>
      <c r="W257" t="inlineStr">
        <is>
          <t>否</t>
        </is>
      </c>
      <c r="X257" t="inlineStr">
        <is>
          <t>PR11 资本品 Installation d'Osmose Inverse / rings / EPDM 0.08</t>
        </is>
      </c>
      <c r="Y257" t="inlineStr">
        <is>
          <t>设备按天摊销材料量</t>
        </is>
      </c>
      <c r="Z257" t="inlineStr">
        <is>
          <t>CT-MCH-11K</t>
        </is>
      </c>
      <c r="AA257" t="inlineStr">
        <is>
          <t>直接报告</t>
        </is>
      </c>
      <c r="AB257" t="inlineStr">
        <is>
          <t>1天生产</t>
        </is>
      </c>
      <c r="AC257" t="inlineStr">
        <is>
          <t>1天生产</t>
        </is>
      </c>
    </row>
    <row r="258">
      <c r="A258" t="inlineStr">
        <is>
          <t>FL-MCH-11L</t>
        </is>
      </c>
      <c r="B258" t="inlineStr">
        <is>
          <t>PR11</t>
        </is>
      </c>
      <c r="C258" t="inlineStr">
        <is>
          <t>PR11 资本品 Installation d'Osmose Inverse / silicon carbide</t>
        </is>
      </c>
      <c r="D258" t="inlineStr">
        <is>
          <t>物理流</t>
        </is>
      </c>
      <c r="E258" t="inlineStr">
        <is>
          <t>输入</t>
        </is>
      </c>
      <c r="G258" t="inlineStr">
        <is>
          <t>PR11</t>
        </is>
      </c>
      <c r="H258" t="inlineStr">
        <is>
          <t>physical_material</t>
        </is>
      </c>
      <c r="I258" t="n">
        <v>0</v>
      </c>
      <c r="J258" t="inlineStr">
        <is>
          <t>kg/d</t>
        </is>
      </c>
      <c r="K258" t="inlineStr">
        <is>
          <t>1天</t>
        </is>
      </c>
      <c r="P258" t="n">
        <v>0</v>
      </c>
      <c r="Q258" t="inlineStr">
        <is>
          <t>kg/d</t>
        </is>
      </c>
      <c r="R258" t="inlineStr">
        <is>
          <t>+</t>
        </is>
      </c>
      <c r="S258" t="inlineStr">
        <is>
          <t>否</t>
        </is>
      </c>
      <c r="T258" t="inlineStr">
        <is>
          <t>来源原始清单（未分配）</t>
        </is>
      </c>
      <c r="U258" t="inlineStr">
        <is>
          <t>SRC-RAW</t>
        </is>
      </c>
      <c r="V258" t="inlineStr">
        <is>
          <t>已审查</t>
        </is>
      </c>
      <c r="W258" t="inlineStr">
        <is>
          <t>否</t>
        </is>
      </c>
      <c r="X258" t="inlineStr">
        <is>
          <t>PR11 资本品 Installation d'Osmose Inverse / silicon carbide 0.0</t>
        </is>
      </c>
      <c r="Y258" t="inlineStr">
        <is>
          <t>设备按天摊销材料量</t>
        </is>
      </c>
      <c r="Z258" t="inlineStr">
        <is>
          <t>CT-MCH-11L</t>
        </is>
      </c>
      <c r="AA258" t="inlineStr">
        <is>
          <t>直接报告</t>
        </is>
      </c>
      <c r="AB258" t="inlineStr">
        <is>
          <t>1天生产</t>
        </is>
      </c>
      <c r="AC258" t="inlineStr">
        <is>
          <t>1天生产</t>
        </is>
      </c>
    </row>
    <row r="259">
      <c r="A259" t="inlineStr">
        <is>
          <t>FL-MCH-12A</t>
        </is>
      </c>
      <c r="B259" t="inlineStr">
        <is>
          <t>PR12</t>
        </is>
      </c>
      <c r="C259" t="inlineStr">
        <is>
          <t>PR12 资本品 Tank / Structure / stainless steel</t>
        </is>
      </c>
      <c r="D259" t="inlineStr">
        <is>
          <t>物理流</t>
        </is>
      </c>
      <c r="E259" t="inlineStr">
        <is>
          <t>输入</t>
        </is>
      </c>
      <c r="G259" t="inlineStr">
        <is>
          <t>PR12</t>
        </is>
      </c>
      <c r="H259" t="inlineStr">
        <is>
          <t>physical_material</t>
        </is>
      </c>
      <c r="I259" t="n">
        <v>0.92</v>
      </c>
      <c r="J259" t="inlineStr">
        <is>
          <t>kg/d</t>
        </is>
      </c>
      <c r="K259" t="inlineStr">
        <is>
          <t>1天</t>
        </is>
      </c>
      <c r="P259" t="n">
        <v>0.92</v>
      </c>
      <c r="Q259" t="inlineStr">
        <is>
          <t>kg/d</t>
        </is>
      </c>
      <c r="R259" t="inlineStr">
        <is>
          <t>+</t>
        </is>
      </c>
      <c r="S259" t="inlineStr">
        <is>
          <t>否</t>
        </is>
      </c>
      <c r="T259" t="inlineStr">
        <is>
          <t>来源原始清单（未分配）</t>
        </is>
      </c>
      <c r="U259" t="inlineStr">
        <is>
          <t>SRC-RAW</t>
        </is>
      </c>
      <c r="V259" t="inlineStr">
        <is>
          <t>已审查</t>
        </is>
      </c>
      <c r="W259" t="inlineStr">
        <is>
          <t>否</t>
        </is>
      </c>
      <c r="X259" t="inlineStr">
        <is>
          <t>PR12 资本品 Tank / Structure / stainless steel 0.92</t>
        </is>
      </c>
      <c r="Y259" t="inlineStr">
        <is>
          <t>2009 and 2010 measurement campaign (Gesan-Guiziou, personnal</t>
        </is>
      </c>
      <c r="Z259" t="inlineStr">
        <is>
          <t>CT-MCH-12A</t>
        </is>
      </c>
      <c r="AA259" t="inlineStr">
        <is>
          <t>直接报告</t>
        </is>
      </c>
      <c r="AB259" t="inlineStr">
        <is>
          <t>1天生产</t>
        </is>
      </c>
      <c r="AC259" t="inlineStr">
        <is>
          <t>1天生产</t>
        </is>
      </c>
    </row>
    <row r="260">
      <c r="A260" t="inlineStr">
        <is>
          <t>FL-MCH-12B</t>
        </is>
      </c>
      <c r="B260" t="inlineStr">
        <is>
          <t>PR12</t>
        </is>
      </c>
      <c r="C260" t="inlineStr">
        <is>
          <t>PR12 资本品 Tank / rings / synthetic rubber</t>
        </is>
      </c>
      <c r="D260" t="inlineStr">
        <is>
          <t>物理流</t>
        </is>
      </c>
      <c r="E260" t="inlineStr">
        <is>
          <t>输入</t>
        </is>
      </c>
      <c r="G260" t="inlineStr">
        <is>
          <t>PR12</t>
        </is>
      </c>
      <c r="H260" t="inlineStr">
        <is>
          <t>physical_material</t>
        </is>
      </c>
      <c r="I260" t="n">
        <v>0.01</v>
      </c>
      <c r="J260" t="inlineStr">
        <is>
          <t>kg/d</t>
        </is>
      </c>
      <c r="K260" t="inlineStr">
        <is>
          <t>1天</t>
        </is>
      </c>
      <c r="P260" t="n">
        <v>0.01</v>
      </c>
      <c r="Q260" t="inlineStr">
        <is>
          <t>kg/d</t>
        </is>
      </c>
      <c r="R260" t="inlineStr">
        <is>
          <t>+</t>
        </is>
      </c>
      <c r="S260" t="inlineStr">
        <is>
          <t>否</t>
        </is>
      </c>
      <c r="T260" t="inlineStr">
        <is>
          <t>来源原始清单（未分配）</t>
        </is>
      </c>
      <c r="U260" t="inlineStr">
        <is>
          <t>SRC-RAW</t>
        </is>
      </c>
      <c r="V260" t="inlineStr">
        <is>
          <t>已审查</t>
        </is>
      </c>
      <c r="W260" t="inlineStr">
        <is>
          <t>否</t>
        </is>
      </c>
      <c r="X260" t="inlineStr">
        <is>
          <t>PR12 资本品 Tank / rings / synthetic rubber 0.01</t>
        </is>
      </c>
      <c r="Y260" t="inlineStr">
        <is>
          <t>2009 and 2010 measurement campaign (Gesan-Guiziou, personnal</t>
        </is>
      </c>
      <c r="Z260" t="inlineStr">
        <is>
          <t>CT-MCH-12B</t>
        </is>
      </c>
      <c r="AA260" t="inlineStr">
        <is>
          <t>直接报告</t>
        </is>
      </c>
      <c r="AB260" t="inlineStr">
        <is>
          <t>1天生产</t>
        </is>
      </c>
      <c r="AC260" t="inlineStr">
        <is>
          <t>1天生产</t>
        </is>
      </c>
    </row>
    <row r="261">
      <c r="A261" t="inlineStr">
        <is>
          <t>FL-WW-20</t>
        </is>
      </c>
      <c r="B261" t="inlineStr">
        <is>
          <t>PR20</t>
        </is>
      </c>
      <c r="C261" t="inlineStr">
        <is>
          <t>清洗废水（入污水站）</t>
        </is>
      </c>
      <c r="D261" t="inlineStr">
        <is>
          <t>物理流</t>
        </is>
      </c>
      <c r="E261" t="inlineStr">
        <is>
          <t>输入</t>
        </is>
      </c>
      <c r="G261" t="inlineStr">
        <is>
          <t>PR20</t>
        </is>
      </c>
      <c r="H261" t="inlineStr">
        <is>
          <t>physical_material</t>
        </is>
      </c>
      <c r="I261" t="n">
        <v>191.7</v>
      </c>
      <c r="J261" t="inlineStr">
        <is>
          <t>m3/d</t>
        </is>
      </c>
      <c r="K261" t="inlineStr">
        <is>
          <t>1天</t>
        </is>
      </c>
      <c r="P261" t="n">
        <v>191.7</v>
      </c>
      <c r="Q261" t="inlineStr">
        <is>
          <t>m3/d</t>
        </is>
      </c>
      <c r="R261" t="inlineStr">
        <is>
          <t>+</t>
        </is>
      </c>
      <c r="S261" t="inlineStr">
        <is>
          <t>否</t>
        </is>
      </c>
      <c r="T261" t="inlineStr">
        <is>
          <t>来源原始清单（未分配）</t>
        </is>
      </c>
      <c r="U261" t="inlineStr">
        <is>
          <t>SRC-RAW</t>
        </is>
      </c>
      <c r="V261" t="inlineStr">
        <is>
          <t>已审查</t>
        </is>
      </c>
      <c r="W261" t="inlineStr">
        <is>
          <t>是</t>
        </is>
      </c>
      <c r="X261" t="inlineStr">
        <is>
          <t>清洗废水（入污水站） 191.7</t>
        </is>
      </c>
      <c r="Y261" t="inlineStr">
        <is>
          <t>全链清洗废水；污水站参考流出水450 m³/d为proxy（Q-16）</t>
        </is>
      </c>
      <c r="Z261" t="inlineStr">
        <is>
          <t>CT-WW-20</t>
        </is>
      </c>
      <c r="AA261" t="inlineStr">
        <is>
          <t>直接报告</t>
        </is>
      </c>
      <c r="AB261" t="inlineStr">
        <is>
          <t>1天生产</t>
        </is>
      </c>
      <c r="AC261" t="inlineStr">
        <is>
          <t>1天生产</t>
        </is>
      </c>
    </row>
    <row r="262">
      <c r="A262" t="inlineStr">
        <is>
          <t>FL-FECL</t>
        </is>
      </c>
      <c r="B262" t="inlineStr">
        <is>
          <t>PR20</t>
        </is>
      </c>
      <c r="C262" t="inlineStr">
        <is>
          <t>FeCl（絮凝）</t>
        </is>
      </c>
      <c r="D262" t="inlineStr">
        <is>
          <t>物理流</t>
        </is>
      </c>
      <c r="E262" t="inlineStr">
        <is>
          <t>输入</t>
        </is>
      </c>
      <c r="G262" t="inlineStr">
        <is>
          <t>PR20</t>
        </is>
      </c>
      <c r="H262" t="inlineStr">
        <is>
          <t>physical_material</t>
        </is>
      </c>
      <c r="I262" t="n">
        <v>12</v>
      </c>
      <c r="J262" t="inlineStr">
        <is>
          <t>kg/d</t>
        </is>
      </c>
      <c r="K262" t="inlineStr">
        <is>
          <t>1天</t>
        </is>
      </c>
      <c r="P262" t="n">
        <v>12</v>
      </c>
      <c r="Q262" t="inlineStr">
        <is>
          <t>kg/d</t>
        </is>
      </c>
      <c r="R262" t="inlineStr">
        <is>
          <t>+</t>
        </is>
      </c>
      <c r="S262" t="inlineStr">
        <is>
          <t>否</t>
        </is>
      </c>
      <c r="T262" t="inlineStr">
        <is>
          <t>来源原始清单（未分配）</t>
        </is>
      </c>
      <c r="U262" t="inlineStr">
        <is>
          <t>SRC-RAW</t>
        </is>
      </c>
      <c r="V262" t="inlineStr">
        <is>
          <t>已审查</t>
        </is>
      </c>
      <c r="W262" t="inlineStr">
        <is>
          <t>是</t>
        </is>
      </c>
      <c r="X262" t="inlineStr">
        <is>
          <t>FeCl（絮凝） 12</t>
        </is>
      </c>
      <c r="Z262" t="inlineStr">
        <is>
          <t>CT-FECL</t>
        </is>
      </c>
      <c r="AA262" t="inlineStr">
        <is>
          <t>直接报告</t>
        </is>
      </c>
      <c r="AB262" t="inlineStr">
        <is>
          <t>1天生产</t>
        </is>
      </c>
      <c r="AC262" t="inlineStr">
        <is>
          <t>1天生产</t>
        </is>
      </c>
    </row>
    <row r="263">
      <c r="A263" t="inlineStr">
        <is>
          <t>FL-TEW-20</t>
        </is>
      </c>
      <c r="B263" t="inlineStr">
        <is>
          <t>PR20</t>
        </is>
      </c>
      <c r="C263" t="inlineStr">
        <is>
          <t>PR20 出水（proxy）</t>
        </is>
      </c>
      <c r="D263" t="inlineStr">
        <is>
          <t>环境交换</t>
        </is>
      </c>
      <c r="E263" t="inlineStr">
        <is>
          <t>输出</t>
        </is>
      </c>
      <c r="F263" t="inlineStr">
        <is>
          <t>PR20</t>
        </is>
      </c>
      <c r="H263" t="inlineStr">
        <is>
          <t>environment_exchange</t>
        </is>
      </c>
      <c r="I263" t="n">
        <v>450</v>
      </c>
      <c r="J263" t="inlineStr">
        <is>
          <t>m3/d</t>
        </is>
      </c>
      <c r="K263" t="inlineStr">
        <is>
          <t>1天</t>
        </is>
      </c>
      <c r="P263" t="n">
        <v>450</v>
      </c>
      <c r="Q263" t="inlineStr">
        <is>
          <t>m3/d</t>
        </is>
      </c>
      <c r="R263" t="inlineStr">
        <is>
          <t>+</t>
        </is>
      </c>
      <c r="S263" t="inlineStr">
        <is>
          <t>否</t>
        </is>
      </c>
      <c r="T263" t="inlineStr">
        <is>
          <t>来源原始清单（未分配）</t>
        </is>
      </c>
      <c r="U263" t="inlineStr">
        <is>
          <t>SRC-RAW</t>
        </is>
      </c>
      <c r="V263" t="inlineStr">
        <is>
          <t>已审查</t>
        </is>
      </c>
      <c r="W263" t="inlineStr">
        <is>
          <t>是</t>
        </is>
      </c>
      <c r="X263" t="inlineStr">
        <is>
          <t>PR20 出水（proxy） 450</t>
        </is>
      </c>
      <c r="Y263" t="inlineStr">
        <is>
          <t>20_STEP Outputs段</t>
        </is>
      </c>
      <c r="Z263" t="inlineStr">
        <is>
          <t>CT-TEW-20</t>
        </is>
      </c>
      <c r="AA263" t="inlineStr">
        <is>
          <t>直接报告</t>
        </is>
      </c>
      <c r="AB263" t="inlineStr">
        <is>
          <t>1天生产</t>
        </is>
      </c>
      <c r="AC263" t="inlineStr">
        <is>
          <t>1天生产</t>
        </is>
      </c>
    </row>
    <row r="264">
      <c r="A264" t="inlineStr">
        <is>
          <t>FL-TSS-20</t>
        </is>
      </c>
      <c r="B264" t="inlineStr">
        <is>
          <t>PR20</t>
        </is>
      </c>
      <c r="C264" t="inlineStr">
        <is>
          <t>PR20 出水TSS</t>
        </is>
      </c>
      <c r="D264" t="inlineStr">
        <is>
          <t>环境交换</t>
        </is>
      </c>
      <c r="E264" t="inlineStr">
        <is>
          <t>输出</t>
        </is>
      </c>
      <c r="F264" t="inlineStr">
        <is>
          <t>PR20</t>
        </is>
      </c>
      <c r="H264" t="inlineStr">
        <is>
          <t>environment_exchange</t>
        </is>
      </c>
      <c r="I264" t="n">
        <v>15.75</v>
      </c>
      <c r="J264" t="inlineStr">
        <is>
          <t>kg/d</t>
        </is>
      </c>
      <c r="K264" t="inlineStr">
        <is>
          <t>1天</t>
        </is>
      </c>
      <c r="P264" t="n">
        <v>15.75</v>
      </c>
      <c r="Q264" t="inlineStr">
        <is>
          <t>kg/d</t>
        </is>
      </c>
      <c r="R264" t="inlineStr">
        <is>
          <t>+</t>
        </is>
      </c>
      <c r="S264" t="inlineStr">
        <is>
          <t>否</t>
        </is>
      </c>
      <c r="T264" t="inlineStr">
        <is>
          <t>来源原始清单（未分配）</t>
        </is>
      </c>
      <c r="U264" t="inlineStr">
        <is>
          <t>SRC-RAW</t>
        </is>
      </c>
      <c r="V264" t="inlineStr">
        <is>
          <t>已审查</t>
        </is>
      </c>
      <c r="W264" t="inlineStr">
        <is>
          <t>是</t>
        </is>
      </c>
      <c r="X264" t="inlineStr">
        <is>
          <t>PR20 出水TSS 15.75</t>
        </is>
      </c>
      <c r="Y264" t="inlineStr">
        <is>
          <t>20_STEP Outputs段</t>
        </is>
      </c>
      <c r="Z264" t="inlineStr">
        <is>
          <t>CT-TSS-20</t>
        </is>
      </c>
      <c r="AA264" t="inlineStr">
        <is>
          <t>直接报告</t>
        </is>
      </c>
      <c r="AB264" t="inlineStr">
        <is>
          <t>1天生产</t>
        </is>
      </c>
      <c r="AC264" t="inlineStr">
        <is>
          <t>1天生产</t>
        </is>
      </c>
    </row>
    <row r="265">
      <c r="A265" t="inlineStr">
        <is>
          <t>FL-CODW-20</t>
        </is>
      </c>
      <c r="B265" t="inlineStr">
        <is>
          <t>PR20</t>
        </is>
      </c>
      <c r="C265" t="inlineStr">
        <is>
          <t>PR20 出水COD</t>
        </is>
      </c>
      <c r="D265" t="inlineStr">
        <is>
          <t>环境交换</t>
        </is>
      </c>
      <c r="E265" t="inlineStr">
        <is>
          <t>输出</t>
        </is>
      </c>
      <c r="F265" t="inlineStr">
        <is>
          <t>PR20</t>
        </is>
      </c>
      <c r="H265" t="inlineStr">
        <is>
          <t>environment_exchange</t>
        </is>
      </c>
      <c r="I265" t="n">
        <v>56.25</v>
      </c>
      <c r="J265" t="inlineStr">
        <is>
          <t>kg/d</t>
        </is>
      </c>
      <c r="K265" t="inlineStr">
        <is>
          <t>1天</t>
        </is>
      </c>
      <c r="P265" t="n">
        <v>56.25</v>
      </c>
      <c r="Q265" t="inlineStr">
        <is>
          <t>kg/d</t>
        </is>
      </c>
      <c r="R265" t="inlineStr">
        <is>
          <t>+</t>
        </is>
      </c>
      <c r="S265" t="inlineStr">
        <is>
          <t>否</t>
        </is>
      </c>
      <c r="T265" t="inlineStr">
        <is>
          <t>来源原始清单（未分配）</t>
        </is>
      </c>
      <c r="U265" t="inlineStr">
        <is>
          <t>SRC-RAW</t>
        </is>
      </c>
      <c r="V265" t="inlineStr">
        <is>
          <t>已审查</t>
        </is>
      </c>
      <c r="W265" t="inlineStr">
        <is>
          <t>是</t>
        </is>
      </c>
      <c r="X265" t="inlineStr">
        <is>
          <t>PR20 出水COD 56.25</t>
        </is>
      </c>
      <c r="Y265" t="inlineStr">
        <is>
          <t>20_STEP Outputs段</t>
        </is>
      </c>
      <c r="Z265" t="inlineStr">
        <is>
          <t>CT-CODW-20</t>
        </is>
      </c>
      <c r="AA265" t="inlineStr">
        <is>
          <t>直接报告</t>
        </is>
      </c>
      <c r="AB265" t="inlineStr">
        <is>
          <t>1天生产</t>
        </is>
      </c>
      <c r="AC265" t="inlineStr">
        <is>
          <t>1天生产</t>
        </is>
      </c>
    </row>
    <row r="266">
      <c r="A266" t="inlineStr">
        <is>
          <t>FL-BOD-20</t>
        </is>
      </c>
      <c r="B266" t="inlineStr">
        <is>
          <t>PR20</t>
        </is>
      </c>
      <c r="C266" t="inlineStr">
        <is>
          <t>PR20 出水BOD5</t>
        </is>
      </c>
      <c r="D266" t="inlineStr">
        <is>
          <t>环境交换</t>
        </is>
      </c>
      <c r="E266" t="inlineStr">
        <is>
          <t>输出</t>
        </is>
      </c>
      <c r="F266" t="inlineStr">
        <is>
          <t>PR20</t>
        </is>
      </c>
      <c r="H266" t="inlineStr">
        <is>
          <t>environment_exchange</t>
        </is>
      </c>
      <c r="I266" t="n">
        <v>16.2</v>
      </c>
      <c r="J266" t="inlineStr">
        <is>
          <t>kg/d</t>
        </is>
      </c>
      <c r="K266" t="inlineStr">
        <is>
          <t>1天</t>
        </is>
      </c>
      <c r="P266" t="n">
        <v>16.2</v>
      </c>
      <c r="Q266" t="inlineStr">
        <is>
          <t>kg/d</t>
        </is>
      </c>
      <c r="R266" t="inlineStr">
        <is>
          <t>+</t>
        </is>
      </c>
      <c r="S266" t="inlineStr">
        <is>
          <t>否</t>
        </is>
      </c>
      <c r="T266" t="inlineStr">
        <is>
          <t>来源原始清单（未分配）</t>
        </is>
      </c>
      <c r="U266" t="inlineStr">
        <is>
          <t>SRC-RAW</t>
        </is>
      </c>
      <c r="V266" t="inlineStr">
        <is>
          <t>已审查</t>
        </is>
      </c>
      <c r="W266" t="inlineStr">
        <is>
          <t>是</t>
        </is>
      </c>
      <c r="X266" t="inlineStr">
        <is>
          <t>PR20 出水BOD5 16.2</t>
        </is>
      </c>
      <c r="Y266" t="inlineStr">
        <is>
          <t>20_STEP Outputs段</t>
        </is>
      </c>
      <c r="Z266" t="inlineStr">
        <is>
          <t>CT-BOD-20</t>
        </is>
      </c>
      <c r="AA266" t="inlineStr">
        <is>
          <t>直接报告</t>
        </is>
      </c>
      <c r="AB266" t="inlineStr">
        <is>
          <t>1天生产</t>
        </is>
      </c>
      <c r="AC266" t="inlineStr">
        <is>
          <t>1天生产</t>
        </is>
      </c>
    </row>
    <row r="267">
      <c r="A267" t="inlineStr">
        <is>
          <t>FL-TN-20</t>
        </is>
      </c>
      <c r="B267" t="inlineStr">
        <is>
          <t>PR20</t>
        </is>
      </c>
      <c r="C267" t="inlineStr">
        <is>
          <t>PR20 出水TN</t>
        </is>
      </c>
      <c r="D267" t="inlineStr">
        <is>
          <t>环境交换</t>
        </is>
      </c>
      <c r="E267" t="inlineStr">
        <is>
          <t>输出</t>
        </is>
      </c>
      <c r="F267" t="inlineStr">
        <is>
          <t>PR20</t>
        </is>
      </c>
      <c r="H267" t="inlineStr">
        <is>
          <t>environment_exchange</t>
        </is>
      </c>
      <c r="I267" t="n">
        <v>2.25</v>
      </c>
      <c r="J267" t="inlineStr">
        <is>
          <t>kg/d</t>
        </is>
      </c>
      <c r="K267" t="inlineStr">
        <is>
          <t>1天</t>
        </is>
      </c>
      <c r="P267" t="n">
        <v>2.25</v>
      </c>
      <c r="Q267" t="inlineStr">
        <is>
          <t>kg/d</t>
        </is>
      </c>
      <c r="R267" t="inlineStr">
        <is>
          <t>+</t>
        </is>
      </c>
      <c r="S267" t="inlineStr">
        <is>
          <t>否</t>
        </is>
      </c>
      <c r="T267" t="inlineStr">
        <is>
          <t>来源原始清单（未分配）</t>
        </is>
      </c>
      <c r="U267" t="inlineStr">
        <is>
          <t>SRC-RAW</t>
        </is>
      </c>
      <c r="V267" t="inlineStr">
        <is>
          <t>已审查</t>
        </is>
      </c>
      <c r="W267" t="inlineStr">
        <is>
          <t>是</t>
        </is>
      </c>
      <c r="X267" t="inlineStr">
        <is>
          <t>PR20 出水TN 2.25</t>
        </is>
      </c>
      <c r="Y267" t="inlineStr">
        <is>
          <t>20_STEP Outputs段</t>
        </is>
      </c>
      <c r="Z267" t="inlineStr">
        <is>
          <t>CT-TN-20</t>
        </is>
      </c>
      <c r="AA267" t="inlineStr">
        <is>
          <t>直接报告</t>
        </is>
      </c>
      <c r="AB267" t="inlineStr">
        <is>
          <t>1天生产</t>
        </is>
      </c>
      <c r="AC267" t="inlineStr">
        <is>
          <t>1天生产</t>
        </is>
      </c>
    </row>
    <row r="268">
      <c r="A268" t="inlineStr">
        <is>
          <t>FL-TP-20</t>
        </is>
      </c>
      <c r="B268" t="inlineStr">
        <is>
          <t>PR20</t>
        </is>
      </c>
      <c r="C268" t="inlineStr">
        <is>
          <t>PR20 出水TP</t>
        </is>
      </c>
      <c r="D268" t="inlineStr">
        <is>
          <t>环境交换</t>
        </is>
      </c>
      <c r="E268" t="inlineStr">
        <is>
          <t>输出</t>
        </is>
      </c>
      <c r="F268" t="inlineStr">
        <is>
          <t>PR20</t>
        </is>
      </c>
      <c r="H268" t="inlineStr">
        <is>
          <t>environment_exchange</t>
        </is>
      </c>
      <c r="I268" t="n">
        <v>0.45</v>
      </c>
      <c r="J268" t="inlineStr">
        <is>
          <t>kg/d</t>
        </is>
      </c>
      <c r="K268" t="inlineStr">
        <is>
          <t>1天</t>
        </is>
      </c>
      <c r="P268" t="n">
        <v>0.45</v>
      </c>
      <c r="Q268" t="inlineStr">
        <is>
          <t>kg/d</t>
        </is>
      </c>
      <c r="R268" t="inlineStr">
        <is>
          <t>+</t>
        </is>
      </c>
      <c r="S268" t="inlineStr">
        <is>
          <t>否</t>
        </is>
      </c>
      <c r="T268" t="inlineStr">
        <is>
          <t>来源原始清单（未分配）</t>
        </is>
      </c>
      <c r="U268" t="inlineStr">
        <is>
          <t>SRC-RAW</t>
        </is>
      </c>
      <c r="V268" t="inlineStr">
        <is>
          <t>已审查</t>
        </is>
      </c>
      <c r="W268" t="inlineStr">
        <is>
          <t>是</t>
        </is>
      </c>
      <c r="X268" t="inlineStr">
        <is>
          <t>PR20 出水TP 0.45</t>
        </is>
      </c>
      <c r="Y268" t="inlineStr">
        <is>
          <t>20_STEP Outputs段</t>
        </is>
      </c>
      <c r="Z268" t="inlineStr">
        <is>
          <t>CT-TP-20</t>
        </is>
      </c>
      <c r="AA268" t="inlineStr">
        <is>
          <t>直接报告</t>
        </is>
      </c>
      <c r="AB268" t="inlineStr">
        <is>
          <t>1天生产</t>
        </is>
      </c>
      <c r="AC268" t="inlineStr">
        <is>
          <t>1天生产</t>
        </is>
      </c>
    </row>
    <row r="269">
      <c r="A269" t="inlineStr">
        <is>
          <t>FL-N2-20</t>
        </is>
      </c>
      <c r="B269" t="inlineStr">
        <is>
          <t>PR20</t>
        </is>
      </c>
      <c r="C269" t="inlineStr">
        <is>
          <t>PR20 排空气N2</t>
        </is>
      </c>
      <c r="D269" t="inlineStr">
        <is>
          <t>环境交换</t>
        </is>
      </c>
      <c r="E269" t="inlineStr">
        <is>
          <t>输出</t>
        </is>
      </c>
      <c r="F269" t="inlineStr">
        <is>
          <t>PR20</t>
        </is>
      </c>
      <c r="H269" t="inlineStr">
        <is>
          <t>environment_exchange</t>
        </is>
      </c>
      <c r="I269" t="n">
        <v>5.75</v>
      </c>
      <c r="J269" t="inlineStr">
        <is>
          <t>kg/d</t>
        </is>
      </c>
      <c r="K269" t="inlineStr">
        <is>
          <t>1天</t>
        </is>
      </c>
      <c r="P269" t="n">
        <v>5.75</v>
      </c>
      <c r="Q269" t="inlineStr">
        <is>
          <t>kg/d</t>
        </is>
      </c>
      <c r="R269" t="inlineStr">
        <is>
          <t>+</t>
        </is>
      </c>
      <c r="S269" t="inlineStr">
        <is>
          <t>否</t>
        </is>
      </c>
      <c r="T269" t="inlineStr">
        <is>
          <t>来源原始清单（未分配）</t>
        </is>
      </c>
      <c r="U269" t="inlineStr">
        <is>
          <t>SRC-RAW</t>
        </is>
      </c>
      <c r="V269" t="inlineStr">
        <is>
          <t>已审查</t>
        </is>
      </c>
      <c r="W269" t="inlineStr">
        <is>
          <t>是</t>
        </is>
      </c>
      <c r="X269" t="inlineStr">
        <is>
          <t>PR20 排空气N2 5.75</t>
        </is>
      </c>
      <c r="Y269" t="inlineStr">
        <is>
          <t>20_STEP Outputs段</t>
        </is>
      </c>
      <c r="Z269" t="inlineStr">
        <is>
          <t>CT-N2-20</t>
        </is>
      </c>
      <c r="AA269" t="inlineStr">
        <is>
          <t>直接报告</t>
        </is>
      </c>
      <c r="AB269" t="inlineStr">
        <is>
          <t>1天生产</t>
        </is>
      </c>
      <c r="AC269" t="inlineStr">
        <is>
          <t>1天生产</t>
        </is>
      </c>
    </row>
    <row r="270">
      <c r="A270" t="inlineStr">
        <is>
          <t>FL-SLN-20</t>
        </is>
      </c>
      <c r="B270" t="inlineStr">
        <is>
          <t>PR20</t>
        </is>
      </c>
      <c r="C270" t="inlineStr">
        <is>
          <t>PR20 污泥N</t>
        </is>
      </c>
      <c r="D270" t="inlineStr">
        <is>
          <t>环境交换</t>
        </is>
      </c>
      <c r="E270" t="inlineStr">
        <is>
          <t>输出</t>
        </is>
      </c>
      <c r="F270" t="inlineStr">
        <is>
          <t>PR20</t>
        </is>
      </c>
      <c r="H270" t="inlineStr">
        <is>
          <t>environment_exchange</t>
        </is>
      </c>
      <c r="I270" t="n">
        <v>12</v>
      </c>
      <c r="J270" t="inlineStr">
        <is>
          <t>kg/d</t>
        </is>
      </c>
      <c r="K270" t="inlineStr">
        <is>
          <t>1天</t>
        </is>
      </c>
      <c r="P270" t="n">
        <v>12</v>
      </c>
      <c r="Q270" t="inlineStr">
        <is>
          <t>kg/d</t>
        </is>
      </c>
      <c r="R270" t="inlineStr">
        <is>
          <t>+</t>
        </is>
      </c>
      <c r="S270" t="inlineStr">
        <is>
          <t>否</t>
        </is>
      </c>
      <c r="T270" t="inlineStr">
        <is>
          <t>来源原始清单（未分配）</t>
        </is>
      </c>
      <c r="U270" t="inlineStr">
        <is>
          <t>SRC-RAW</t>
        </is>
      </c>
      <c r="V270" t="inlineStr">
        <is>
          <t>已审查</t>
        </is>
      </c>
      <c r="W270" t="inlineStr">
        <is>
          <t>是</t>
        </is>
      </c>
      <c r="X270" t="inlineStr">
        <is>
          <t>PR20 污泥N 12</t>
        </is>
      </c>
      <c r="Y270" t="inlineStr">
        <is>
          <t>20_STEP Outputs段</t>
        </is>
      </c>
      <c r="Z270" t="inlineStr">
        <is>
          <t>CT-SLN-20</t>
        </is>
      </c>
      <c r="AA270" t="inlineStr">
        <is>
          <t>直接报告</t>
        </is>
      </c>
      <c r="AB270" t="inlineStr">
        <is>
          <t>1天生产</t>
        </is>
      </c>
      <c r="AC270" t="inlineStr">
        <is>
          <t>1天生产</t>
        </is>
      </c>
    </row>
    <row r="271">
      <c r="A271" t="inlineStr">
        <is>
          <t>FL-SLP-20</t>
        </is>
      </c>
      <c r="B271" t="inlineStr">
        <is>
          <t>PR20</t>
        </is>
      </c>
      <c r="C271" t="inlineStr">
        <is>
          <t>PR20 污泥P</t>
        </is>
      </c>
      <c r="D271" t="inlineStr">
        <is>
          <t>环境交换</t>
        </is>
      </c>
      <c r="E271" t="inlineStr">
        <is>
          <t>输出</t>
        </is>
      </c>
      <c r="F271" t="inlineStr">
        <is>
          <t>PR20</t>
        </is>
      </c>
      <c r="H271" t="inlineStr">
        <is>
          <t>environment_exchange</t>
        </is>
      </c>
      <c r="I271" t="n">
        <v>4.25</v>
      </c>
      <c r="J271" t="inlineStr">
        <is>
          <t>kg/d</t>
        </is>
      </c>
      <c r="K271" t="inlineStr">
        <is>
          <t>1天</t>
        </is>
      </c>
      <c r="P271" t="n">
        <v>4.25</v>
      </c>
      <c r="Q271" t="inlineStr">
        <is>
          <t>kg/d</t>
        </is>
      </c>
      <c r="R271" t="inlineStr">
        <is>
          <t>+</t>
        </is>
      </c>
      <c r="S271" t="inlineStr">
        <is>
          <t>否</t>
        </is>
      </c>
      <c r="T271" t="inlineStr">
        <is>
          <t>来源原始清单（未分配）</t>
        </is>
      </c>
      <c r="U271" t="inlineStr">
        <is>
          <t>SRC-RAW</t>
        </is>
      </c>
      <c r="V271" t="inlineStr">
        <is>
          <t>已审查</t>
        </is>
      </c>
      <c r="W271" t="inlineStr">
        <is>
          <t>是</t>
        </is>
      </c>
      <c r="X271" t="inlineStr">
        <is>
          <t>PR20 污泥P 4.25</t>
        </is>
      </c>
      <c r="Y271" t="inlineStr">
        <is>
          <t>20_STEP Outputs段</t>
        </is>
      </c>
      <c r="Z271" t="inlineStr">
        <is>
          <t>CT-SLP-20</t>
        </is>
      </c>
      <c r="AA271" t="inlineStr">
        <is>
          <t>直接报告</t>
        </is>
      </c>
      <c r="AB271" t="inlineStr">
        <is>
          <t>1天生产</t>
        </is>
      </c>
      <c r="AC271" t="inlineStr">
        <is>
          <t>1天生产</t>
        </is>
      </c>
    </row>
    <row r="272">
      <c r="A272" t="inlineStr">
        <is>
          <t>FL-SLFE-20</t>
        </is>
      </c>
      <c r="B272" t="inlineStr">
        <is>
          <t>PR20</t>
        </is>
      </c>
      <c r="C272" t="inlineStr">
        <is>
          <t>PR20 污泥Fe</t>
        </is>
      </c>
      <c r="D272" t="inlineStr">
        <is>
          <t>环境交换</t>
        </is>
      </c>
      <c r="E272" t="inlineStr">
        <is>
          <t>输出</t>
        </is>
      </c>
      <c r="F272" t="inlineStr">
        <is>
          <t>PR20</t>
        </is>
      </c>
      <c r="H272" t="inlineStr">
        <is>
          <t>environment_exchange</t>
        </is>
      </c>
      <c r="I272" t="n">
        <v>7.34</v>
      </c>
      <c r="J272" t="inlineStr">
        <is>
          <t>kg/d</t>
        </is>
      </c>
      <c r="K272" t="inlineStr">
        <is>
          <t>1天</t>
        </is>
      </c>
      <c r="P272" t="n">
        <v>7.34</v>
      </c>
      <c r="Q272" t="inlineStr">
        <is>
          <t>kg/d</t>
        </is>
      </c>
      <c r="R272" t="inlineStr">
        <is>
          <t>+</t>
        </is>
      </c>
      <c r="S272" t="inlineStr">
        <is>
          <t>否</t>
        </is>
      </c>
      <c r="T272" t="inlineStr">
        <is>
          <t>来源原始清单（未分配）</t>
        </is>
      </c>
      <c r="U272" t="inlineStr">
        <is>
          <t>SRC-RAW</t>
        </is>
      </c>
      <c r="V272" t="inlineStr">
        <is>
          <t>已审查</t>
        </is>
      </c>
      <c r="W272" t="inlineStr">
        <is>
          <t>是</t>
        </is>
      </c>
      <c r="X272" t="inlineStr">
        <is>
          <t>PR20 污泥Fe 7.34</t>
        </is>
      </c>
      <c r="Y272" t="inlineStr">
        <is>
          <t>20_STEP Outputs段</t>
        </is>
      </c>
      <c r="Z272" t="inlineStr">
        <is>
          <t>CT-SLFE-20</t>
        </is>
      </c>
      <c r="AA272" t="inlineStr">
        <is>
          <t>直接报告</t>
        </is>
      </c>
      <c r="AB272" t="inlineStr">
        <is>
          <t>1天生产</t>
        </is>
      </c>
      <c r="AC272" t="inlineStr">
        <is>
          <t>1天生产</t>
        </is>
      </c>
    </row>
  </sheetData>
  <dataValidations count="6">
    <dataValidation sqref="H5:H204" showDropDown="0" showInputMessage="0" showErrorMessage="0" allowBlank="0" type="list">
      <formula1>"physical_material,physical_energy,environment_exchange,allocated_burden,substitution_candidate"</formula1>
    </dataValidation>
    <dataValidation sqref="E5:E204" showDropDown="0" showInputMessage="0" showErrorMessage="0" allowBlank="0" type="list">
      <formula1>"Input,Output,Internal transfer,Emission,Waste,Coproduct"</formula1>
    </dataValidation>
    <dataValidation sqref="S5:S204" showDropDown="0" showInputMessage="0" showErrorMessage="0" allowBlank="0" type="list">
      <formula1>"是,否"</formula1>
    </dataValidation>
    <dataValidation sqref="T5:T204" showDropDown="0" showInputMessage="0" showErrorMessage="0" allowBlank="0" type="list">
      <formula1>"adopted_physical,adopted_environment,source_allocation_excluded,substitution_deferred,review"</formula1>
    </dataValidation>
    <dataValidation sqref="V5:V204" showDropDown="0" showInputMessage="0" showErrorMessage="0" allowBlank="0" type="list">
      <formula1>"PASS,PASS_WITH_NOTE,REVIEW,BLOCKED,NOT_APPLICABLE"</formula1>
    </dataValidation>
    <dataValidation sqref="W5:W204" showDropDown="0" showInputMessage="0" showErrorMessage="0" allowBlank="0" type="list">
      <formula1>"是,否,待确认"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00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6" customWidth="1" min="4" max="4"/>
    <col width="44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20" customWidth="1" min="11" max="11"/>
    <col width="16" customWidth="1" min="12" max="12"/>
    <col width="44" customWidth="1" min="13" max="13"/>
    <col width="18" customWidth="1" min="14" max="14"/>
    <col width="18" customWidth="1" min="15" max="15"/>
    <col width="18" customWidth="1" min="16" max="16"/>
  </cols>
  <sheetData>
    <row r="1" ht="24" customHeight="1">
      <c r="A1" s="1" t="inlineStr">
        <is>
          <t>核算检查</t>
        </is>
      </c>
    </row>
    <row r="2" ht="24" customHeight="1">
      <c r="A2" s="2" t="inlineStr">
        <is>
          <t>检查表只记录诊断，不作为模型输入。BLOCKED 未解决前不得冻结。</t>
        </is>
      </c>
    </row>
    <row r="4" ht="28" customHeight="1">
      <c r="A4" s="14" t="inlineStr">
        <is>
          <t>检查ID</t>
        </is>
      </c>
      <c r="B4" s="15" t="inlineStr">
        <is>
          <t>检查类型</t>
        </is>
      </c>
      <c r="C4" s="15" t="inlineStr">
        <is>
          <t>对象类型</t>
        </is>
      </c>
      <c r="D4" s="15" t="inlineStr">
        <is>
          <t>对象ID</t>
        </is>
      </c>
      <c r="E4" s="15" t="inlineStr">
        <is>
          <t>检查方法/公式</t>
        </is>
      </c>
      <c r="F4" s="15" t="inlineStr">
        <is>
          <t>期望值</t>
        </is>
      </c>
      <c r="G4" s="15" t="inlineStr">
        <is>
          <t>实际值</t>
        </is>
      </c>
      <c r="H4" s="15" t="inlineStr">
        <is>
          <t>单位</t>
        </is>
      </c>
      <c r="I4" s="15" t="inlineStr">
        <is>
          <t>容差</t>
        </is>
      </c>
      <c r="J4" s="15" t="inlineStr">
        <is>
          <t>差值</t>
        </is>
      </c>
      <c r="K4" s="15" t="inlineStr">
        <is>
          <t>结果</t>
        </is>
      </c>
      <c r="L4" s="15" t="inlineStr">
        <is>
          <t>问题ID</t>
        </is>
      </c>
      <c r="M4" s="16" t="inlineStr">
        <is>
          <t>说明</t>
        </is>
      </c>
      <c r="N4" s="42" t="inlineStr">
        <is>
          <t>审查路线</t>
        </is>
      </c>
      <c r="O4" s="42" t="inlineStr">
        <is>
          <t>实际验证结论</t>
        </is>
      </c>
      <c r="P4" s="42" t="inlineStr">
        <is>
          <t>影响对象ID</t>
        </is>
      </c>
    </row>
    <row r="5">
      <c r="A5" s="18" t="inlineStr">
        <is>
          <t>CH-01</t>
        </is>
      </c>
      <c r="B5" s="18" t="inlineStr">
        <is>
          <t>质量平衡</t>
        </is>
      </c>
      <c r="C5" s="18" t="inlineStr">
        <is>
          <t>过程</t>
        </is>
      </c>
      <c r="D5" s="18" t="inlineStr">
        <is>
          <t>PR02</t>
        </is>
      </c>
      <c r="E5" s="18" t="inlineStr">
        <is>
          <t>出-入：537075+56883-600490</t>
        </is>
      </c>
      <c r="F5" s="51" t="n">
        <v>-6532</v>
      </c>
      <c r="G5" s="51" t="n">
        <v>-6532</v>
      </c>
      <c r="H5" s="51" t="inlineStr">
        <is>
          <t>kg/j</t>
        </is>
      </c>
      <c r="I5" s="51" t="inlineStr">
        <is>
          <t>0（登记偏差）</t>
        </is>
      </c>
      <c r="J5" s="51">
        <f>IF(OR(F5="",G5=""),"",G5-F5)</f>
        <v/>
      </c>
      <c r="K5" s="18" t="inlineStr">
        <is>
          <t>PASS</t>
        </is>
      </c>
      <c r="L5" s="18" t="inlineStr">
        <is>
          <t>Q-01</t>
        </is>
      </c>
      <c r="M5" s="18" t="inlineStr">
        <is>
          <t>原始版体积平衡闭合：583=525+58；v1质量差-6,532 kg/j为衍生版密度换算口径差</t>
        </is>
      </c>
      <c r="N5" t="inlineStr">
        <is>
          <t>按框值逐项复算</t>
        </is>
      </c>
      <c r="O5" t="inlineStr">
        <is>
          <t>SRC-RAW体积基准复核闭合（2026-09-27）</t>
        </is>
      </c>
      <c r="P5" t="inlineStr">
        <is>
          <t>FL-RM;FL-SKIM;FL-CREAM</t>
        </is>
      </c>
    </row>
    <row r="6">
      <c r="A6" s="18" t="inlineStr">
        <is>
          <t>CH-02</t>
        </is>
      </c>
      <c r="B6" s="18" t="inlineStr">
        <is>
          <t>质量平衡</t>
        </is>
      </c>
      <c r="C6" s="18" t="inlineStr">
        <is>
          <t>过程</t>
        </is>
      </c>
      <c r="D6" s="18" t="inlineStr">
        <is>
          <t>PR05</t>
        </is>
      </c>
      <c r="E6" s="18" t="inlineStr">
        <is>
          <t>出-入：354900+182875-537075</t>
        </is>
      </c>
      <c r="F6" s="51" t="n">
        <v>0</v>
      </c>
      <c r="G6" s="51" t="n">
        <v>700</v>
      </c>
      <c r="H6" s="51" t="inlineStr">
        <is>
          <t>kg/j</t>
        </is>
      </c>
      <c r="I6" s="51" t="inlineStr">
        <is>
          <t>0（登记偏差）</t>
        </is>
      </c>
      <c r="J6" s="51">
        <f>IF(OR(F6="",G6=""),"",G6-F6)</f>
        <v/>
      </c>
      <c r="K6" s="18" t="inlineStr">
        <is>
          <t>PASS</t>
        </is>
      </c>
      <c r="L6" s="18" t="inlineStr">
        <is>
          <t>Q-03</t>
        </is>
      </c>
      <c r="M6" s="18" t="inlineStr">
        <is>
          <t>原始版体积闭合：175+350=525；v1质量差+700 kg/j为衍生版口径差</t>
        </is>
      </c>
      <c r="N6" t="inlineStr">
        <is>
          <t>按框值逐项复算</t>
        </is>
      </c>
      <c r="O6" t="inlineStr">
        <is>
          <t>SRC-RAW体积基准复核闭合</t>
        </is>
      </c>
      <c r="P6" t="inlineStr">
        <is>
          <t>FL-SKIM;FL-WHEY;FL-CAS</t>
        </is>
      </c>
    </row>
    <row r="7">
      <c r="A7" s="18" t="inlineStr">
        <is>
          <t>CH-03</t>
        </is>
      </c>
      <c r="B7" s="18" t="inlineStr">
        <is>
          <t>质量平衡</t>
        </is>
      </c>
      <c r="C7" s="18" t="inlineStr">
        <is>
          <t>过程</t>
        </is>
      </c>
      <c r="D7" s="18" t="inlineStr">
        <is>
          <t>PR08</t>
        </is>
      </c>
      <c r="E7" s="18" t="inlineStr">
        <is>
          <t>出-入：12004.2+406115.6-(354900+63000)</t>
        </is>
      </c>
      <c r="F7" s="51" t="n">
        <v>0</v>
      </c>
      <c r="G7" s="51" t="n">
        <v>219.8</v>
      </c>
      <c r="H7" s="51" t="inlineStr">
        <is>
          <t>kg/j</t>
        </is>
      </c>
      <c r="I7" s="51" t="inlineStr">
        <is>
          <t>±1000</t>
        </is>
      </c>
      <c r="J7" s="51">
        <f>IF(OR(F7="",G7=""),"",G7-F7)</f>
        <v/>
      </c>
      <c r="K7" s="18" t="inlineStr">
        <is>
          <t>PASS</t>
        </is>
      </c>
      <c r="L7" s="18" t="inlineStr"/>
      <c r="M7" s="18" t="inlineStr">
        <is>
          <t>出入差0.05%，容差内</t>
        </is>
      </c>
      <c r="N7" t="inlineStr">
        <is>
          <t>按框值逐项复算</t>
        </is>
      </c>
      <c r="O7" t="inlineStr">
        <is>
          <t>偏差+219.8 kg/j在容差内</t>
        </is>
      </c>
      <c r="P7" t="inlineStr">
        <is>
          <t>FL-WHEY;FL-W08;FL-WPI;FL-LACP</t>
        </is>
      </c>
    </row>
    <row r="8">
      <c r="A8" s="18" t="inlineStr">
        <is>
          <t>CH-04</t>
        </is>
      </c>
      <c r="B8" s="18" t="inlineStr">
        <is>
          <t>质量平衡</t>
        </is>
      </c>
      <c r="C8" s="18" t="inlineStr">
        <is>
          <t>过程</t>
        </is>
      </c>
      <c r="D8" s="18" t="inlineStr">
        <is>
          <t>PR11</t>
        </is>
      </c>
      <c r="E8" s="18" t="inlineStr">
        <is>
          <t>出-入：316000+90115.6-406115.6</t>
        </is>
      </c>
      <c r="F8" s="51" t="n">
        <v>0</v>
      </c>
      <c r="G8" s="51" t="n">
        <v>0</v>
      </c>
      <c r="H8" s="51" t="inlineStr">
        <is>
          <t>kg/j</t>
        </is>
      </c>
      <c r="I8" s="51" t="inlineStr">
        <is>
          <t>±1000</t>
        </is>
      </c>
      <c r="J8" s="51">
        <f>IF(OR(F8="",G8=""),"",G8-F8)</f>
        <v/>
      </c>
      <c r="K8" s="18" t="inlineStr">
        <is>
          <t>PASS</t>
        </is>
      </c>
      <c r="L8" s="18" t="inlineStr"/>
      <c r="M8" s="18" t="inlineStr">
        <is>
          <t>RO质量平衡闭合</t>
        </is>
      </c>
      <c r="N8" t="inlineStr">
        <is>
          <t>按框值逐项复算</t>
        </is>
      </c>
      <c r="O8" t="inlineStr">
        <is>
          <t>闭合</t>
        </is>
      </c>
      <c r="P8" t="inlineStr">
        <is>
          <t>FL-LACP;FL-OSM;FL-LAC</t>
        </is>
      </c>
    </row>
    <row r="9">
      <c r="A9" s="18" t="inlineStr">
        <is>
          <t>CH-07</t>
        </is>
      </c>
      <c r="B9" s="18" t="inlineStr">
        <is>
          <t>干物质平衡</t>
        </is>
      </c>
      <c r="C9" s="18" t="inlineStr">
        <is>
          <t>过程</t>
        </is>
      </c>
      <c r="D9" s="18" t="inlineStr">
        <is>
          <t>PR11</t>
        </is>
      </c>
      <c r="E9" s="18" t="inlineStr">
        <is>
          <t>出-入：90115.6×0.24-406115.6×0.044</t>
        </is>
      </c>
      <c r="F9" s="51" t="n">
        <v>0</v>
      </c>
      <c r="G9" s="51" t="n">
        <v>3758.65</v>
      </c>
      <c r="H9" s="51" t="inlineStr">
        <is>
          <t>kg DM/j</t>
        </is>
      </c>
      <c r="I9" s="51" t="inlineStr">
        <is>
          <t>0（登记偏差）</t>
        </is>
      </c>
      <c r="J9" s="51">
        <f>IF(OR(F11="",G11=""),"",G11-F11)</f>
        <v/>
      </c>
      <c r="K9" s="18" t="inlineStr">
        <is>
          <t>偏差登记</t>
        </is>
      </c>
      <c r="L9" s="18" t="inlineStr">
        <is>
          <t>Q-09</t>
        </is>
      </c>
      <c r="M9" s="18" t="inlineStr">
        <is>
          <t>RO进料DM 17,869.09 kg/j，出料DM 21,627.74 kg/j；DM不守恒，源数据内部矛盾</t>
        </is>
      </c>
      <c r="N9" t="inlineStr">
        <is>
          <t>按框值逐项复算</t>
        </is>
      </c>
      <c r="O9" t="inlineStr">
        <is>
          <t>偏差+3,758.65 kg DM/j已复算确认</t>
        </is>
      </c>
      <c r="P9" t="inlineStr">
        <is>
          <t>FL-LACP;FL-LAC</t>
        </is>
      </c>
    </row>
    <row r="10">
      <c r="A10" s="18" t="inlineStr">
        <is>
          <t>CH-08</t>
        </is>
      </c>
      <c r="B10" s="18" t="inlineStr">
        <is>
          <t>蛋白平衡</t>
        </is>
      </c>
      <c r="C10" s="18" t="inlineStr">
        <is>
          <t>过程</t>
        </is>
      </c>
      <c r="D10" s="18" t="inlineStr">
        <is>
          <t>PR08</t>
        </is>
      </c>
      <c r="E10" s="18" t="inlineStr">
        <is>
          <t>蛋白出-入：12004.2×0.114-354900×0.0059</t>
        </is>
      </c>
      <c r="F10" s="51" t="n">
        <v>0</v>
      </c>
      <c r="G10" s="51" t="n">
        <v>-725.42</v>
      </c>
      <c r="H10" s="51" t="inlineStr">
        <is>
          <t>kg蛋白/j</t>
        </is>
      </c>
      <c r="I10" s="51" t="inlineStr">
        <is>
          <t>0（登记偏差）</t>
        </is>
      </c>
      <c r="J10" s="51">
        <f>IF(OR(F12="",G12=""),"",G12-F12)</f>
        <v/>
      </c>
      <c r="K10" s="18" t="inlineStr">
        <is>
          <t>偏差登记</t>
        </is>
      </c>
      <c r="L10" s="18" t="inlineStr">
        <is>
          <t>Q-06</t>
        </is>
      </c>
      <c r="M10" s="18" t="inlineStr">
        <is>
          <t>进乳清蛋白2,093.9 kg/j，WPI带出1,368.5 kg/j；34.6%蛋白去向未报告（渗透液蛋白标0）</t>
        </is>
      </c>
      <c r="N10" t="inlineStr">
        <is>
          <t>按框值逐项复算</t>
        </is>
      </c>
      <c r="O10" t="inlineStr">
        <is>
          <t>偏差-725.42 kg/j已复算确认</t>
        </is>
      </c>
      <c r="P10" t="inlineStr">
        <is>
          <t>FL-WHEY;FL-WPI</t>
        </is>
      </c>
    </row>
    <row r="11">
      <c r="A11" s="18" t="inlineStr">
        <is>
          <t>CH-10</t>
        </is>
      </c>
      <c r="B11" s="18" t="inlineStr">
        <is>
          <t>收入复算</t>
        </is>
      </c>
      <c r="C11" s="18" t="inlineStr">
        <is>
          <t>参数</t>
        </is>
      </c>
      <c r="D11" s="18" t="inlineStr">
        <is>
          <t>PA-PRICE-LAC</t>
        </is>
      </c>
      <c r="E11" s="18" t="inlineStr">
        <is>
          <t>90115.6×1.5 vs 报告revenue 128</t>
        </is>
      </c>
      <c r="F11" s="51" t="n">
        <v>135173.4</v>
      </c>
      <c r="G11" s="51" t="n">
        <v>128</v>
      </c>
      <c r="H11" s="51" t="inlineStr">
        <is>
          <t>€/j</t>
        </is>
      </c>
      <c r="I11" s="51" t="inlineStr">
        <is>
          <t>0（登记偏差）</t>
        </is>
      </c>
      <c r="J11" s="51">
        <f>IF(OR(F14="",G14=""),"",G14-F14)</f>
        <v/>
      </c>
      <c r="K11" s="18" t="inlineStr">
        <is>
          <t>偏差登记</t>
        </is>
      </c>
      <c r="L11" s="18" t="inlineStr">
        <is>
          <t>Q-02</t>
        </is>
      </c>
      <c r="M11" s="18" t="inlineStr">
        <is>
          <t>浓缩乳糖revenue报告128 €/j，价×量=135,173 €/j，无法复现（不影响AF，AF直接给出）</t>
        </is>
      </c>
      <c r="N11" t="inlineStr">
        <is>
          <t>价×量复算</t>
        </is>
      </c>
      <c r="O11" t="inlineStr">
        <is>
          <t>偏差已复算确认</t>
        </is>
      </c>
      <c r="P11" t="inlineStr">
        <is>
          <t>PA-PRICE-LAC;FL-LAC</t>
        </is>
      </c>
    </row>
    <row r="12">
      <c r="A12" s="18" t="inlineStr">
        <is>
          <t>CH-15</t>
        </is>
      </c>
      <c r="B12" s="18" t="inlineStr">
        <is>
          <t>能源合计</t>
        </is>
      </c>
      <c r="C12" s="18" t="inlineStr">
        <is>
          <t>产品系统</t>
        </is>
      </c>
      <c r="D12" s="18" t="inlineStr">
        <is>
          <t>ALL</t>
        </is>
      </c>
      <c r="E12" s="18" t="inlineStr">
        <is>
          <t>逐步电力加总（生产段，WPI边界PR01-12+20）</t>
        </is>
      </c>
      <c r="F12" s="51" t="n"/>
      <c r="G12" s="51" t="n">
        <v>25806.3</v>
      </c>
      <c r="H12" s="51" t="inlineStr">
        <is>
          <t>kWh/d</t>
        </is>
      </c>
      <c r="I12" s="51" t="inlineStr">
        <is>
          <t>±1</t>
        </is>
      </c>
      <c r="J12" s="51">
        <f>IF(OR(F16="",G16=""),"",G16-F16)</f>
        <v/>
      </c>
      <c r="K12" s="18" t="inlineStr">
        <is>
          <t>PASS</t>
        </is>
      </c>
      <c r="L12" s="18" t="inlineStr"/>
      <c r="M12" s="18" t="inlineStr">
        <is>
          <t>WPI边界生产电力合计25806.3 kWh/d（分项加总，含污水站5,050.7）；清洗电另计约2084.0 kWh/d</t>
        </is>
      </c>
      <c r="N12" t="inlineStr">
        <is>
          <t>逐步加总</t>
        </is>
      </c>
      <c r="O12" t="inlineStr">
        <is>
          <t>WPI边界生产电力合计25806.3 kWh/d已复算</t>
        </is>
      </c>
      <c r="P12" t="inlineStr">
        <is>
          <t>FL-EL-01~FL-EL-12;FL-EL-20</t>
        </is>
      </c>
    </row>
    <row r="13">
      <c r="A13" s="18" t="inlineStr">
        <is>
          <t>CH-16</t>
        </is>
      </c>
      <c r="B13" s="18" t="inlineStr">
        <is>
          <t>水平衡</t>
        </is>
      </c>
      <c r="C13" s="18" t="inlineStr">
        <is>
          <t>过程</t>
        </is>
      </c>
      <c r="D13" s="18" t="inlineStr">
        <is>
          <t>PR20</t>
        </is>
      </c>
      <c r="E13" s="18" t="inlineStr">
        <is>
          <t>污水站进水191.7 vs 出水proxy 450</t>
        </is>
      </c>
      <c r="F13" s="51" t="n"/>
      <c r="G13" s="51" t="n">
        <v>258.3</v>
      </c>
      <c r="H13" s="51" t="inlineStr">
        <is>
          <t>m3/d</t>
        </is>
      </c>
      <c r="I13" s="51" t="inlineStr">
        <is>
          <t>0（登记偏差）</t>
        </is>
      </c>
      <c r="J13" s="51">
        <f>IF(OR(F17="",G17=""),"",G17-F17)</f>
        <v/>
      </c>
      <c r="K13" s="18" t="inlineStr">
        <is>
          <t>偏差登记</t>
        </is>
      </c>
      <c r="L13" s="18" t="inlineStr">
        <is>
          <t>Q-15</t>
        </is>
      </c>
      <c r="M13" s="18" t="inlineStr">
        <is>
          <t>出水450 m³/d为proxy项目参考流，与实际进水191.7 m³/d不对应；使用出水数据时须按proxy口径</t>
        </is>
      </c>
      <c r="N13" t="inlineStr">
        <is>
          <t>框值比对</t>
        </is>
      </c>
      <c r="O13" t="inlineStr">
        <is>
          <t>proxy口径差异已登记</t>
        </is>
      </c>
      <c r="P13" t="inlineStr">
        <is>
          <t>FL-WW-20;FL-TEW-20</t>
        </is>
      </c>
    </row>
    <row r="14">
      <c r="A14" s="18" t="inlineStr">
        <is>
          <t>CH-17</t>
        </is>
      </c>
      <c r="B14" s="18" t="inlineStr">
        <is>
          <t>资本品合计</t>
        </is>
      </c>
      <c r="C14" s="18" t="inlineStr">
        <is>
          <t>产品系统</t>
        </is>
      </c>
      <c r="D14" s="18" t="inlineStr">
        <is>
          <t>ALL</t>
        </is>
      </c>
      <c r="E14" s="18" t="inlineStr">
        <is>
          <t>Machines段128条设备/部件级材料加总（8条无数据未计入）</t>
        </is>
      </c>
      <c r="F14" s="51" t="n"/>
      <c r="G14" s="51" t="n">
        <v>26.59</v>
      </c>
      <c r="H14" s="51" t="inlineStr">
        <is>
          <t>kg/d</t>
        </is>
      </c>
      <c r="I14" s="51" t="inlineStr">
        <is>
          <t>±0.1</t>
        </is>
      </c>
      <c r="J14" s="51">
        <f>IF(OR(F18="",G18=""),"",G18-F18)</f>
        <v/>
      </c>
      <c r="K14" s="18" t="inlineStr">
        <is>
          <t>PASS</t>
        </is>
      </c>
      <c r="L14" s="18" t="inlineStr"/>
      <c r="M14" s="18" t="inlineStr">
        <is>
          <t>20步Machines段128条资本品材料合计约26.6 kg/d（不锈钢/铜/铝/橡胶/膜材料等，按天摊销）；8条无数据行未计入（登记GB-01）</t>
        </is>
      </c>
      <c r="N14" t="inlineStr">
        <is>
          <t>逐步加总</t>
        </is>
      </c>
      <c r="O14" t="inlineStr">
        <is>
          <t>资本品合计26.6 kg/d已复算</t>
        </is>
      </c>
      <c r="P14" t="inlineStr">
        <is>
          <t>FL-MCH-*</t>
        </is>
      </c>
    </row>
    <row r="15">
      <c r="A15" s="18" t="n"/>
      <c r="B15" s="18" t="n"/>
      <c r="C15" s="18" t="n"/>
      <c r="D15" s="18" t="n"/>
      <c r="E15" s="18" t="n"/>
      <c r="F15" s="51" t="n"/>
      <c r="G15" s="51" t="n"/>
      <c r="H15" s="51" t="n"/>
      <c r="I15" s="51" t="n"/>
      <c r="J15" s="51">
        <f>IF(OR(F19="",G19=""),"",G19-F19)</f>
        <v/>
      </c>
      <c r="K15" s="18" t="n"/>
      <c r="L15" s="18" t="n"/>
      <c r="M15" s="18" t="n"/>
    </row>
    <row r="16">
      <c r="A16" s="18" t="n"/>
      <c r="B16" s="18" t="n"/>
      <c r="C16" s="18" t="n"/>
      <c r="D16" s="18" t="n"/>
      <c r="E16" s="18" t="n"/>
      <c r="F16" s="51" t="n"/>
      <c r="G16" s="51" t="n"/>
      <c r="H16" s="51" t="n"/>
      <c r="I16" s="51" t="n"/>
      <c r="J16" s="51">
        <f>IF(OR(F20="",G20=""),"",G20-F20)</f>
        <v/>
      </c>
      <c r="K16" s="18" t="n"/>
      <c r="L16" s="18" t="n"/>
      <c r="M16" s="18" t="n"/>
    </row>
    <row r="17">
      <c r="A17" s="18" t="n"/>
      <c r="B17" s="18" t="n"/>
      <c r="C17" s="18" t="n"/>
      <c r="D17" s="18" t="n"/>
      <c r="E17" s="18" t="n"/>
      <c r="F17" s="51" t="n"/>
      <c r="G17" s="51" t="n"/>
      <c r="H17" s="51" t="n"/>
      <c r="I17" s="51" t="n"/>
      <c r="J17" s="51">
        <f>IF(OR(F21="",G21=""),"",G21-F21)</f>
        <v/>
      </c>
      <c r="K17" s="18" t="n"/>
      <c r="L17" s="18" t="n"/>
      <c r="M17" s="18" t="n"/>
    </row>
    <row r="18">
      <c r="A18" s="18" t="n"/>
      <c r="B18" s="18" t="n"/>
      <c r="C18" s="18" t="n"/>
      <c r="D18" s="18" t="n"/>
      <c r="E18" s="18" t="n"/>
      <c r="F18" s="51" t="n"/>
      <c r="G18" s="51" t="n"/>
      <c r="H18" s="51" t="n"/>
      <c r="I18" s="51" t="n"/>
      <c r="J18" s="51">
        <f>IF(OR(F22="",G22=""),"",G22-F22)</f>
        <v/>
      </c>
      <c r="K18" s="18" t="n"/>
      <c r="L18" s="18" t="n"/>
      <c r="M18" s="18" t="n"/>
    </row>
    <row r="19">
      <c r="A19" s="18" t="n"/>
      <c r="B19" s="18" t="n"/>
      <c r="C19" s="18" t="n"/>
      <c r="D19" s="18" t="n"/>
      <c r="E19" s="18" t="n"/>
      <c r="F19" s="51" t="n"/>
      <c r="G19" s="51" t="n"/>
      <c r="H19" s="51" t="n"/>
      <c r="I19" s="51" t="n"/>
      <c r="J19" s="51">
        <f>IF(OR(F23="",G23=""),"",G23-F23)</f>
        <v/>
      </c>
      <c r="K19" s="18" t="n"/>
      <c r="L19" s="18" t="n"/>
      <c r="M19" s="18" t="n"/>
    </row>
    <row r="20">
      <c r="A20" s="18" t="n"/>
      <c r="B20" s="18" t="n"/>
      <c r="C20" s="18" t="n"/>
      <c r="D20" s="18" t="n"/>
      <c r="E20" s="18" t="n"/>
      <c r="F20" s="51" t="n"/>
      <c r="G20" s="51" t="n"/>
      <c r="H20" s="51" t="n"/>
      <c r="I20" s="51" t="n"/>
      <c r="J20" s="51">
        <f>IF(OR(F24="",G24=""),"",G24-F24)</f>
        <v/>
      </c>
      <c r="K20" s="18" t="n"/>
      <c r="L20" s="18" t="n"/>
      <c r="M20" s="18" t="n"/>
    </row>
    <row r="21">
      <c r="A21" s="18" t="n"/>
      <c r="B21" s="18" t="n"/>
      <c r="C21" s="18" t="n"/>
      <c r="D21" s="18" t="n"/>
      <c r="E21" s="18" t="n"/>
      <c r="F21" s="51" t="n"/>
      <c r="G21" s="51" t="n"/>
      <c r="H21" s="51" t="n"/>
      <c r="I21" s="51" t="n"/>
      <c r="J21" s="51">
        <f>IF(OR(F25="",G25=""),"",G25-F25)</f>
        <v/>
      </c>
      <c r="K21" s="18" t="n"/>
      <c r="L21" s="18" t="n"/>
      <c r="M21" s="18" t="n"/>
    </row>
    <row r="22">
      <c r="A22" s="18" t="n"/>
      <c r="B22" s="18" t="n"/>
      <c r="C22" s="18" t="n"/>
      <c r="D22" s="18" t="n"/>
      <c r="E22" s="18" t="n"/>
      <c r="F22" s="51" t="n"/>
      <c r="G22" s="51" t="n"/>
      <c r="H22" s="51" t="n"/>
      <c r="I22" s="51" t="n"/>
      <c r="J22" s="51">
        <f>IF(OR(F26="",G26=""),"",G26-F26)</f>
        <v/>
      </c>
      <c r="K22" s="18" t="n"/>
      <c r="L22" s="18" t="n"/>
      <c r="M22" s="18" t="n"/>
    </row>
    <row r="23">
      <c r="A23" s="18" t="n"/>
      <c r="B23" s="18" t="n"/>
      <c r="C23" s="18" t="n"/>
      <c r="D23" s="18" t="n"/>
      <c r="E23" s="18" t="n"/>
      <c r="F23" s="51" t="n"/>
      <c r="G23" s="51" t="n"/>
      <c r="H23" s="51" t="n"/>
      <c r="I23" s="51" t="n"/>
      <c r="J23" s="51">
        <f>IF(OR(F27="",G27=""),"",G27-F27)</f>
        <v/>
      </c>
      <c r="K23" s="18" t="n"/>
      <c r="L23" s="18" t="n"/>
      <c r="M23" s="18" t="n"/>
    </row>
    <row r="24">
      <c r="A24" s="18" t="n"/>
      <c r="B24" s="18" t="n"/>
      <c r="C24" s="18" t="n"/>
      <c r="D24" s="18" t="n"/>
      <c r="E24" s="18" t="n"/>
      <c r="F24" s="51" t="n"/>
      <c r="G24" s="51" t="n"/>
      <c r="H24" s="51" t="n"/>
      <c r="I24" s="51" t="n"/>
      <c r="J24" s="51">
        <f>IF(OR(F28="",G28=""),"",G28-F28)</f>
        <v/>
      </c>
      <c r="K24" s="18" t="n"/>
      <c r="L24" s="18" t="n"/>
      <c r="M24" s="18" t="n"/>
    </row>
    <row r="25">
      <c r="A25" s="18" t="n"/>
      <c r="B25" s="18" t="n"/>
      <c r="C25" s="18" t="n"/>
      <c r="D25" s="18" t="n"/>
      <c r="E25" s="18" t="n"/>
      <c r="F25" s="51" t="n"/>
      <c r="G25" s="51" t="n"/>
      <c r="H25" s="51" t="n"/>
      <c r="I25" s="51" t="n"/>
      <c r="J25" s="51">
        <f>IF(OR(F29="",G29=""),"",G29-F29)</f>
        <v/>
      </c>
      <c r="K25" s="18" t="n"/>
      <c r="L25" s="18" t="n"/>
      <c r="M25" s="18" t="n"/>
    </row>
    <row r="26">
      <c r="A26" s="18" t="n"/>
      <c r="B26" s="18" t="n"/>
      <c r="C26" s="18" t="n"/>
      <c r="D26" s="18" t="n"/>
      <c r="E26" s="18" t="n"/>
      <c r="F26" s="51" t="n"/>
      <c r="G26" s="51" t="n"/>
      <c r="H26" s="51" t="n"/>
      <c r="I26" s="51" t="n"/>
      <c r="J26" s="51">
        <f>IF(OR(F30="",G30=""),"",G30-F30)</f>
        <v/>
      </c>
      <c r="K26" s="18" t="n"/>
      <c r="L26" s="18" t="n"/>
      <c r="M26" s="18" t="n"/>
    </row>
    <row r="27">
      <c r="A27" s="18" t="n"/>
      <c r="B27" s="18" t="n"/>
      <c r="C27" s="18" t="n"/>
      <c r="D27" s="18" t="n"/>
      <c r="E27" s="18" t="n"/>
      <c r="F27" s="51" t="n"/>
      <c r="G27" s="51" t="n"/>
      <c r="H27" s="51" t="n"/>
      <c r="I27" s="51" t="n"/>
      <c r="J27" s="51">
        <f>IF(OR(F31="",G31=""),"",G31-F31)</f>
        <v/>
      </c>
      <c r="K27" s="18" t="n"/>
      <c r="L27" s="18" t="n"/>
      <c r="M27" s="18" t="n"/>
    </row>
    <row r="28">
      <c r="A28" s="18" t="n"/>
      <c r="B28" s="18" t="n"/>
      <c r="C28" s="18" t="n"/>
      <c r="D28" s="18" t="n"/>
      <c r="E28" s="18" t="n"/>
      <c r="F28" s="51" t="n"/>
      <c r="G28" s="51" t="n"/>
      <c r="H28" s="51" t="n"/>
      <c r="I28" s="51" t="n"/>
      <c r="J28" s="51">
        <f>IF(OR(F32="",G32=""),"",G32-F32)</f>
        <v/>
      </c>
      <c r="K28" s="18" t="n"/>
      <c r="L28" s="18" t="n"/>
      <c r="M28" s="18" t="n"/>
    </row>
    <row r="29">
      <c r="A29" s="18" t="n"/>
      <c r="B29" s="18" t="n"/>
      <c r="C29" s="18" t="n"/>
      <c r="D29" s="18" t="n"/>
      <c r="E29" s="18" t="n"/>
      <c r="F29" s="51" t="n"/>
      <c r="G29" s="51" t="n"/>
      <c r="H29" s="51" t="n"/>
      <c r="I29" s="51" t="n"/>
      <c r="J29" s="51">
        <f>IF(OR(F33="",G33=""),"",G33-F33)</f>
        <v/>
      </c>
      <c r="K29" s="18" t="n"/>
      <c r="L29" s="18" t="n"/>
      <c r="M29" s="18" t="n"/>
    </row>
    <row r="30">
      <c r="A30" s="18" t="n"/>
      <c r="B30" s="18" t="n"/>
      <c r="C30" s="18" t="n"/>
      <c r="D30" s="18" t="n"/>
      <c r="E30" s="18" t="n"/>
      <c r="F30" s="51" t="n"/>
      <c r="G30" s="51" t="n"/>
      <c r="H30" s="51" t="n"/>
      <c r="I30" s="51" t="n"/>
      <c r="J30" s="51">
        <f>IF(OR(F34="",G34=""),"",G34-F34)</f>
        <v/>
      </c>
      <c r="K30" s="18" t="n"/>
      <c r="L30" s="18" t="n"/>
      <c r="M30" s="18" t="n"/>
    </row>
    <row r="31">
      <c r="A31" s="18" t="n"/>
      <c r="B31" s="18" t="n"/>
      <c r="C31" s="18" t="n"/>
      <c r="D31" s="18" t="n"/>
      <c r="E31" s="18" t="n"/>
      <c r="F31" s="51" t="n"/>
      <c r="G31" s="51" t="n"/>
      <c r="H31" s="51" t="n"/>
      <c r="I31" s="51" t="n"/>
      <c r="J31" s="51">
        <f>IF(OR(F35="",G35=""),"",G35-F35)</f>
        <v/>
      </c>
      <c r="K31" s="18" t="n"/>
      <c r="L31" s="18" t="n"/>
      <c r="M31" s="18" t="n"/>
    </row>
    <row r="32">
      <c r="A32" s="18" t="n"/>
      <c r="B32" s="18" t="n"/>
      <c r="C32" s="18" t="n"/>
      <c r="D32" s="18" t="n"/>
      <c r="E32" s="18" t="n"/>
      <c r="F32" s="51" t="n"/>
      <c r="G32" s="51" t="n"/>
      <c r="H32" s="51" t="n"/>
      <c r="I32" s="51" t="n"/>
      <c r="J32" s="51">
        <f>IF(OR(F36="",G36=""),"",G36-F36)</f>
        <v/>
      </c>
      <c r="K32" s="18" t="n"/>
      <c r="L32" s="18" t="n"/>
      <c r="M32" s="18" t="n"/>
    </row>
    <row r="33">
      <c r="A33" s="18" t="n"/>
      <c r="B33" s="18" t="n"/>
      <c r="C33" s="18" t="n"/>
      <c r="D33" s="18" t="n"/>
      <c r="E33" s="18" t="n"/>
      <c r="F33" s="51" t="n"/>
      <c r="G33" s="51" t="n"/>
      <c r="H33" s="51" t="n"/>
      <c r="I33" s="51" t="n"/>
      <c r="J33" s="51">
        <f>IF(OR(F37="",G37=""),"",G37-F37)</f>
        <v/>
      </c>
      <c r="K33" s="18" t="n"/>
      <c r="L33" s="18" t="n"/>
      <c r="M33" s="18" t="n"/>
    </row>
    <row r="34">
      <c r="A34" s="18" t="n"/>
      <c r="B34" s="18" t="n"/>
      <c r="C34" s="18" t="n"/>
      <c r="D34" s="18" t="n"/>
      <c r="E34" s="18" t="n"/>
      <c r="F34" s="51" t="n"/>
      <c r="G34" s="51" t="n"/>
      <c r="H34" s="51" t="n"/>
      <c r="I34" s="51" t="n"/>
      <c r="J34" s="51">
        <f>IF(OR(F38="",G38=""),"",G38-F38)</f>
        <v/>
      </c>
      <c r="K34" s="18" t="n"/>
      <c r="L34" s="18" t="n"/>
      <c r="M34" s="18" t="n"/>
    </row>
    <row r="35">
      <c r="A35" s="18" t="n"/>
      <c r="B35" s="18" t="n"/>
      <c r="C35" s="18" t="n"/>
      <c r="D35" s="18" t="n"/>
      <c r="E35" s="18" t="n"/>
      <c r="F35" s="51" t="n"/>
      <c r="G35" s="51" t="n"/>
      <c r="H35" s="51" t="n"/>
      <c r="I35" s="51" t="n"/>
      <c r="J35" s="51">
        <f>IF(OR(F39="",G39=""),"",G39-F39)</f>
        <v/>
      </c>
      <c r="K35" s="18" t="n"/>
      <c r="L35" s="18" t="n"/>
      <c r="M35" s="18" t="n"/>
    </row>
    <row r="36">
      <c r="A36" s="18" t="n"/>
      <c r="B36" s="18" t="n"/>
      <c r="C36" s="18" t="n"/>
      <c r="D36" s="18" t="n"/>
      <c r="E36" s="18" t="n"/>
      <c r="F36" s="51" t="n"/>
      <c r="G36" s="51" t="n"/>
      <c r="H36" s="51" t="n"/>
      <c r="I36" s="51" t="n"/>
      <c r="J36" s="51">
        <f>IF(OR(F40="",G40=""),"",G40-F40)</f>
        <v/>
      </c>
      <c r="K36" s="18" t="n"/>
      <c r="L36" s="18" t="n"/>
      <c r="M36" s="18" t="n"/>
    </row>
    <row r="37">
      <c r="A37" s="18" t="n"/>
      <c r="B37" s="18" t="n"/>
      <c r="C37" s="18" t="n"/>
      <c r="D37" s="18" t="n"/>
      <c r="E37" s="18" t="n"/>
      <c r="F37" s="51" t="n"/>
      <c r="G37" s="51" t="n"/>
      <c r="H37" s="51" t="n"/>
      <c r="I37" s="51" t="n"/>
      <c r="J37" s="51">
        <f>IF(OR(F41="",G41=""),"",G41-F41)</f>
        <v/>
      </c>
      <c r="K37" s="18" t="n"/>
      <c r="L37" s="18" t="n"/>
      <c r="M37" s="18" t="n"/>
    </row>
    <row r="38">
      <c r="A38" s="18" t="n"/>
      <c r="B38" s="18" t="n"/>
      <c r="C38" s="18" t="n"/>
      <c r="D38" s="18" t="n"/>
      <c r="E38" s="18" t="n"/>
      <c r="F38" s="51" t="n"/>
      <c r="G38" s="51" t="n"/>
      <c r="H38" s="51" t="n"/>
      <c r="I38" s="51" t="n"/>
      <c r="J38" s="51">
        <f>IF(OR(F42="",G42=""),"",G42-F42)</f>
        <v/>
      </c>
      <c r="K38" s="18" t="n"/>
      <c r="L38" s="18" t="n"/>
      <c r="M38" s="18" t="n"/>
    </row>
    <row r="39">
      <c r="A39" s="18" t="n"/>
      <c r="B39" s="18" t="n"/>
      <c r="C39" s="18" t="n"/>
      <c r="D39" s="18" t="n"/>
      <c r="E39" s="18" t="n"/>
      <c r="F39" s="51" t="n"/>
      <c r="G39" s="51" t="n"/>
      <c r="H39" s="51" t="n"/>
      <c r="I39" s="51" t="n"/>
      <c r="J39" s="51">
        <f>IF(OR(F43="",G43=""),"",G43-F43)</f>
        <v/>
      </c>
      <c r="K39" s="18" t="n"/>
      <c r="L39" s="18" t="n"/>
      <c r="M39" s="18" t="n"/>
    </row>
    <row r="40">
      <c r="A40" s="18" t="n"/>
      <c r="B40" s="18" t="n"/>
      <c r="C40" s="18" t="n"/>
      <c r="D40" s="18" t="n"/>
      <c r="E40" s="18" t="n"/>
      <c r="F40" s="51" t="n"/>
      <c r="G40" s="51" t="n"/>
      <c r="H40" s="51" t="n"/>
      <c r="I40" s="51" t="n"/>
      <c r="J40" s="51">
        <f>IF(OR(F44="",G44=""),"",G44-F44)</f>
        <v/>
      </c>
      <c r="K40" s="18" t="n"/>
      <c r="L40" s="18" t="n"/>
      <c r="M40" s="18" t="n"/>
    </row>
    <row r="41">
      <c r="A41" s="18" t="n"/>
      <c r="B41" s="18" t="n"/>
      <c r="C41" s="18" t="n"/>
      <c r="D41" s="18" t="n"/>
      <c r="E41" s="18" t="n"/>
      <c r="F41" s="51" t="n"/>
      <c r="G41" s="51" t="n"/>
      <c r="H41" s="51" t="n"/>
      <c r="I41" s="51" t="n"/>
      <c r="J41" s="51">
        <f>IF(OR(F45="",G45=""),"",G45-F45)</f>
        <v/>
      </c>
      <c r="K41" s="18" t="n"/>
      <c r="L41" s="18" t="n"/>
      <c r="M41" s="18" t="n"/>
    </row>
    <row r="42">
      <c r="A42" s="18" t="n"/>
      <c r="B42" s="18" t="n"/>
      <c r="C42" s="18" t="n"/>
      <c r="D42" s="18" t="n"/>
      <c r="E42" s="18" t="n"/>
      <c r="F42" s="51" t="n"/>
      <c r="G42" s="51" t="n"/>
      <c r="H42" s="51" t="n"/>
      <c r="I42" s="51" t="n"/>
      <c r="J42" s="51">
        <f>IF(OR(F46="",G46=""),"",G46-F46)</f>
        <v/>
      </c>
      <c r="K42" s="18" t="n"/>
      <c r="L42" s="18" t="n"/>
      <c r="M42" s="18" t="n"/>
    </row>
    <row r="43">
      <c r="A43" s="18" t="n"/>
      <c r="B43" s="18" t="n"/>
      <c r="C43" s="18" t="n"/>
      <c r="D43" s="18" t="n"/>
      <c r="E43" s="18" t="n"/>
      <c r="F43" s="51" t="n"/>
      <c r="G43" s="51" t="n"/>
      <c r="H43" s="51" t="n"/>
      <c r="I43" s="51" t="n"/>
      <c r="J43" s="51">
        <f>IF(OR(F47="",G47=""),"",G47-F47)</f>
        <v/>
      </c>
      <c r="K43" s="18" t="n"/>
      <c r="L43" s="18" t="n"/>
      <c r="M43" s="18" t="n"/>
    </row>
    <row r="44">
      <c r="A44" s="18" t="n"/>
      <c r="B44" s="18" t="n"/>
      <c r="C44" s="18" t="n"/>
      <c r="D44" s="18" t="n"/>
      <c r="E44" s="18" t="n"/>
      <c r="F44" s="51" t="n"/>
      <c r="G44" s="51" t="n"/>
      <c r="H44" s="51" t="n"/>
      <c r="I44" s="51" t="n"/>
      <c r="J44" s="51">
        <f>IF(OR(F48="",G48=""),"",G48-F48)</f>
        <v/>
      </c>
      <c r="K44" s="18" t="n"/>
      <c r="L44" s="18" t="n"/>
      <c r="M44" s="18" t="n"/>
    </row>
    <row r="45">
      <c r="A45" s="18" t="n"/>
      <c r="B45" s="18" t="n"/>
      <c r="C45" s="18" t="n"/>
      <c r="D45" s="18" t="n"/>
      <c r="E45" s="18" t="n"/>
      <c r="F45" s="51" t="n"/>
      <c r="G45" s="51" t="n"/>
      <c r="H45" s="51" t="n"/>
      <c r="I45" s="51" t="n"/>
      <c r="J45" s="51">
        <f>IF(OR(F49="",G49=""),"",G49-F49)</f>
        <v/>
      </c>
      <c r="K45" s="18" t="n"/>
      <c r="L45" s="18" t="n"/>
      <c r="M45" s="18" t="n"/>
    </row>
    <row r="46">
      <c r="A46" s="18" t="n"/>
      <c r="B46" s="18" t="n"/>
      <c r="C46" s="18" t="n"/>
      <c r="D46" s="18" t="n"/>
      <c r="E46" s="18" t="n"/>
      <c r="F46" s="51" t="n"/>
      <c r="G46" s="51" t="n"/>
      <c r="H46" s="51" t="n"/>
      <c r="I46" s="51" t="n"/>
      <c r="J46" s="51">
        <f>IF(OR(F50="",G50=""),"",G50-F50)</f>
        <v/>
      </c>
      <c r="K46" s="18" t="n"/>
      <c r="L46" s="18" t="n"/>
      <c r="M46" s="18" t="n"/>
    </row>
    <row r="47">
      <c r="A47" s="18" t="n"/>
      <c r="B47" s="18" t="n"/>
      <c r="C47" s="18" t="n"/>
      <c r="D47" s="18" t="n"/>
      <c r="E47" s="18" t="n"/>
      <c r="F47" s="51" t="n"/>
      <c r="G47" s="51" t="n"/>
      <c r="H47" s="51" t="n"/>
      <c r="I47" s="51" t="n"/>
      <c r="J47" s="51">
        <f>IF(OR(F51="",G51=""),"",G51-F51)</f>
        <v/>
      </c>
      <c r="K47" s="18" t="n"/>
      <c r="L47" s="18" t="n"/>
      <c r="M47" s="18" t="n"/>
    </row>
    <row r="48">
      <c r="A48" s="18" t="n"/>
      <c r="B48" s="18" t="n"/>
      <c r="C48" s="18" t="n"/>
      <c r="D48" s="18" t="n"/>
      <c r="E48" s="18" t="n"/>
      <c r="F48" s="51" t="n"/>
      <c r="G48" s="51" t="n"/>
      <c r="H48" s="51" t="n"/>
      <c r="I48" s="51" t="n"/>
      <c r="J48" s="51">
        <f>IF(OR(F52="",G52=""),"",G52-F52)</f>
        <v/>
      </c>
      <c r="K48" s="18" t="n"/>
      <c r="L48" s="18" t="n"/>
      <c r="M48" s="18" t="n"/>
    </row>
    <row r="49">
      <c r="A49" s="18" t="n"/>
      <c r="B49" s="18" t="n"/>
      <c r="C49" s="18" t="n"/>
      <c r="D49" s="18" t="n"/>
      <c r="E49" s="18" t="n"/>
      <c r="F49" s="51" t="n"/>
      <c r="G49" s="51" t="n"/>
      <c r="H49" s="51" t="n"/>
      <c r="I49" s="51" t="n"/>
      <c r="J49" s="51">
        <f>IF(OR(F53="",G53=""),"",G53-F53)</f>
        <v/>
      </c>
      <c r="K49" s="18" t="n"/>
      <c r="L49" s="18" t="n"/>
      <c r="M49" s="18" t="n"/>
    </row>
    <row r="50">
      <c r="A50" s="18" t="n"/>
      <c r="B50" s="18" t="n"/>
      <c r="C50" s="18" t="n"/>
      <c r="D50" s="18" t="n"/>
      <c r="E50" s="18" t="n"/>
      <c r="F50" s="51" t="n"/>
      <c r="G50" s="51" t="n"/>
      <c r="H50" s="51" t="n"/>
      <c r="I50" s="51" t="n"/>
      <c r="J50" s="51">
        <f>IF(OR(F54="",G54=""),"",G54-F54)</f>
        <v/>
      </c>
      <c r="K50" s="18" t="n"/>
      <c r="L50" s="18" t="n"/>
      <c r="M50" s="18" t="n"/>
    </row>
    <row r="51">
      <c r="A51" s="18" t="n"/>
      <c r="B51" s="18" t="n"/>
      <c r="C51" s="18" t="n"/>
      <c r="D51" s="18" t="n"/>
      <c r="E51" s="18" t="n"/>
      <c r="F51" s="51" t="n"/>
      <c r="G51" s="51" t="n"/>
      <c r="H51" s="51" t="n"/>
      <c r="I51" s="51" t="n"/>
      <c r="J51" s="51">
        <f>IF(OR(F55="",G55=""),"",G55-F55)</f>
        <v/>
      </c>
      <c r="K51" s="18" t="n"/>
      <c r="L51" s="18" t="n"/>
      <c r="M51" s="18" t="n"/>
    </row>
    <row r="52">
      <c r="A52" s="18" t="n"/>
      <c r="B52" s="18" t="n"/>
      <c r="C52" s="18" t="n"/>
      <c r="D52" s="18" t="n"/>
      <c r="E52" s="18" t="n"/>
      <c r="F52" s="51" t="n"/>
      <c r="G52" s="51" t="n"/>
      <c r="H52" s="51" t="n"/>
      <c r="I52" s="51" t="n"/>
      <c r="J52" s="51">
        <f>IF(OR(F56="",G56=""),"",G56-F56)</f>
        <v/>
      </c>
      <c r="K52" s="18" t="n"/>
      <c r="L52" s="18" t="n"/>
      <c r="M52" s="18" t="n"/>
    </row>
    <row r="53">
      <c r="A53" s="18" t="n"/>
      <c r="B53" s="18" t="n"/>
      <c r="C53" s="18" t="n"/>
      <c r="D53" s="18" t="n"/>
      <c r="E53" s="18" t="n"/>
      <c r="F53" s="51" t="n"/>
      <c r="G53" s="51" t="n"/>
      <c r="H53" s="51" t="n"/>
      <c r="I53" s="51" t="n"/>
      <c r="J53" s="51">
        <f>IF(OR(F57="",G57=""),"",G57-F57)</f>
        <v/>
      </c>
      <c r="K53" s="18" t="n"/>
      <c r="L53" s="18" t="n"/>
      <c r="M53" s="18" t="n"/>
    </row>
    <row r="54">
      <c r="A54" s="18" t="n"/>
      <c r="B54" s="18" t="n"/>
      <c r="C54" s="18" t="n"/>
      <c r="D54" s="18" t="n"/>
      <c r="E54" s="18" t="n"/>
      <c r="F54" s="51" t="n"/>
      <c r="G54" s="51" t="n"/>
      <c r="H54" s="51" t="n"/>
      <c r="I54" s="51" t="n"/>
      <c r="J54" s="51">
        <f>IF(OR(F58="",G58=""),"",G58-F58)</f>
        <v/>
      </c>
      <c r="K54" s="18" t="n"/>
      <c r="L54" s="18" t="n"/>
      <c r="M54" s="18" t="n"/>
    </row>
    <row r="55">
      <c r="A55" s="18" t="n"/>
      <c r="B55" s="18" t="n"/>
      <c r="C55" s="18" t="n"/>
      <c r="D55" s="18" t="n"/>
      <c r="E55" s="18" t="n"/>
      <c r="F55" s="51" t="n"/>
      <c r="G55" s="51" t="n"/>
      <c r="H55" s="51" t="n"/>
      <c r="I55" s="51" t="n"/>
      <c r="J55" s="51">
        <f>IF(OR(F59="",G59=""),"",G59-F59)</f>
        <v/>
      </c>
      <c r="K55" s="18" t="n"/>
      <c r="L55" s="18" t="n"/>
      <c r="M55" s="18" t="n"/>
    </row>
    <row r="56">
      <c r="A56" s="18" t="n"/>
      <c r="B56" s="18" t="n"/>
      <c r="C56" s="18" t="n"/>
      <c r="D56" s="18" t="n"/>
      <c r="E56" s="18" t="n"/>
      <c r="F56" s="51" t="n"/>
      <c r="G56" s="51" t="n"/>
      <c r="H56" s="51" t="n"/>
      <c r="I56" s="51" t="n"/>
      <c r="J56" s="51">
        <f>IF(OR(F60="",G60=""),"",G60-F60)</f>
        <v/>
      </c>
      <c r="K56" s="18" t="n"/>
      <c r="L56" s="18" t="n"/>
      <c r="M56" s="18" t="n"/>
    </row>
    <row r="57">
      <c r="A57" s="18" t="n"/>
      <c r="B57" s="18" t="n"/>
      <c r="C57" s="18" t="n"/>
      <c r="D57" s="18" t="n"/>
      <c r="E57" s="18" t="n"/>
      <c r="F57" s="51" t="n"/>
      <c r="G57" s="51" t="n"/>
      <c r="H57" s="51" t="n"/>
      <c r="I57" s="51" t="n"/>
      <c r="J57" s="51">
        <f>IF(OR(F61="",G61=""),"",G61-F61)</f>
        <v/>
      </c>
      <c r="K57" s="18" t="n"/>
      <c r="L57" s="18" t="n"/>
      <c r="M57" s="18" t="n"/>
    </row>
    <row r="58">
      <c r="A58" s="18" t="n"/>
      <c r="B58" s="18" t="n"/>
      <c r="C58" s="18" t="n"/>
      <c r="D58" s="18" t="n"/>
      <c r="E58" s="18" t="n"/>
      <c r="F58" s="51" t="n"/>
      <c r="G58" s="51" t="n"/>
      <c r="H58" s="51" t="n"/>
      <c r="I58" s="51" t="n"/>
      <c r="J58" s="51">
        <f>IF(OR(F62="",G62=""),"",G62-F62)</f>
        <v/>
      </c>
      <c r="K58" s="18" t="n"/>
      <c r="L58" s="18" t="n"/>
      <c r="M58" s="18" t="n"/>
    </row>
    <row r="59">
      <c r="A59" s="18" t="n"/>
      <c r="B59" s="18" t="n"/>
      <c r="C59" s="18" t="n"/>
      <c r="D59" s="18" t="n"/>
      <c r="E59" s="18" t="n"/>
      <c r="F59" s="51" t="n"/>
      <c r="G59" s="51" t="n"/>
      <c r="H59" s="51" t="n"/>
      <c r="I59" s="51" t="n"/>
      <c r="J59" s="51">
        <f>IF(OR(F63="",G63=""),"",G63-F63)</f>
        <v/>
      </c>
      <c r="K59" s="18" t="n"/>
      <c r="L59" s="18" t="n"/>
      <c r="M59" s="18" t="n"/>
    </row>
    <row r="60">
      <c r="A60" s="18" t="n"/>
      <c r="B60" s="18" t="n"/>
      <c r="C60" s="18" t="n"/>
      <c r="D60" s="18" t="n"/>
      <c r="E60" s="18" t="n"/>
      <c r="F60" s="51" t="n"/>
      <c r="G60" s="51" t="n"/>
      <c r="H60" s="51" t="n"/>
      <c r="I60" s="51" t="n"/>
      <c r="J60" s="51">
        <f>IF(OR(F64="",G64=""),"",G64-F64)</f>
        <v/>
      </c>
      <c r="K60" s="18" t="n"/>
      <c r="L60" s="18" t="n"/>
      <c r="M60" s="18" t="n"/>
    </row>
    <row r="61">
      <c r="A61" s="18" t="n"/>
      <c r="B61" s="18" t="n"/>
      <c r="C61" s="18" t="n"/>
      <c r="D61" s="18" t="n"/>
      <c r="E61" s="18" t="n"/>
      <c r="F61" s="51" t="n"/>
      <c r="G61" s="51" t="n"/>
      <c r="H61" s="51" t="n"/>
      <c r="I61" s="51" t="n"/>
      <c r="J61" s="51">
        <f>IF(OR(F65="",G65=""),"",G65-F65)</f>
        <v/>
      </c>
      <c r="K61" s="18" t="n"/>
      <c r="L61" s="18" t="n"/>
      <c r="M61" s="18" t="n"/>
    </row>
    <row r="62">
      <c r="A62" s="18" t="n"/>
      <c r="B62" s="18" t="n"/>
      <c r="C62" s="18" t="n"/>
      <c r="D62" s="18" t="n"/>
      <c r="E62" s="18" t="n"/>
      <c r="F62" s="51" t="n"/>
      <c r="G62" s="51" t="n"/>
      <c r="H62" s="51" t="n"/>
      <c r="I62" s="51" t="n"/>
      <c r="J62" s="51">
        <f>IF(OR(F66="",G66=""),"",G66-F66)</f>
        <v/>
      </c>
      <c r="K62" s="18" t="n"/>
      <c r="L62" s="18" t="n"/>
      <c r="M62" s="18" t="n"/>
    </row>
    <row r="63">
      <c r="A63" s="18" t="n"/>
      <c r="B63" s="18" t="n"/>
      <c r="C63" s="18" t="n"/>
      <c r="D63" s="18" t="n"/>
      <c r="E63" s="18" t="n"/>
      <c r="F63" s="51" t="n"/>
      <c r="G63" s="51" t="n"/>
      <c r="H63" s="51" t="n"/>
      <c r="I63" s="51" t="n"/>
      <c r="J63" s="51">
        <f>IF(OR(F67="",G67=""),"",G67-F67)</f>
        <v/>
      </c>
      <c r="K63" s="18" t="n"/>
      <c r="L63" s="18" t="n"/>
      <c r="M63" s="18" t="n"/>
    </row>
    <row r="64">
      <c r="A64" s="18" t="n"/>
      <c r="B64" s="18" t="n"/>
      <c r="C64" s="18" t="n"/>
      <c r="D64" s="18" t="n"/>
      <c r="E64" s="18" t="n"/>
      <c r="F64" s="51" t="n"/>
      <c r="G64" s="51" t="n"/>
      <c r="H64" s="51" t="n"/>
      <c r="I64" s="51" t="n"/>
      <c r="J64" s="51">
        <f>IF(OR(F68="",G68=""),"",G68-F68)</f>
        <v/>
      </c>
      <c r="K64" s="18" t="n"/>
      <c r="L64" s="18" t="n"/>
      <c r="M64" s="18" t="n"/>
    </row>
    <row r="65">
      <c r="A65" s="18" t="n"/>
      <c r="B65" s="18" t="n"/>
      <c r="C65" s="18" t="n"/>
      <c r="D65" s="18" t="n"/>
      <c r="E65" s="18" t="n"/>
      <c r="F65" s="51" t="n"/>
      <c r="G65" s="51" t="n"/>
      <c r="H65" s="51" t="n"/>
      <c r="I65" s="51" t="n"/>
      <c r="J65" s="51">
        <f>IF(OR(F69="",G69=""),"",G69-F69)</f>
        <v/>
      </c>
      <c r="K65" s="18" t="n"/>
      <c r="L65" s="18" t="n"/>
      <c r="M65" s="18" t="n"/>
    </row>
    <row r="66">
      <c r="A66" s="18" t="n"/>
      <c r="B66" s="18" t="n"/>
      <c r="C66" s="18" t="n"/>
      <c r="D66" s="18" t="n"/>
      <c r="E66" s="18" t="n"/>
      <c r="F66" s="51" t="n"/>
      <c r="G66" s="51" t="n"/>
      <c r="H66" s="51" t="n"/>
      <c r="I66" s="51" t="n"/>
      <c r="J66" s="51">
        <f>IF(OR(F70="",G70=""),"",G70-F70)</f>
        <v/>
      </c>
      <c r="K66" s="18" t="n"/>
      <c r="L66" s="18" t="n"/>
      <c r="M66" s="18" t="n"/>
    </row>
    <row r="67">
      <c r="A67" s="18" t="n"/>
      <c r="B67" s="18" t="n"/>
      <c r="C67" s="18" t="n"/>
      <c r="D67" s="18" t="n"/>
      <c r="E67" s="18" t="n"/>
      <c r="F67" s="51" t="n"/>
      <c r="G67" s="51" t="n"/>
      <c r="H67" s="51" t="n"/>
      <c r="I67" s="51" t="n"/>
      <c r="J67" s="51">
        <f>IF(OR(F71="",G71=""),"",G71-F71)</f>
        <v/>
      </c>
      <c r="K67" s="18" t="n"/>
      <c r="L67" s="18" t="n"/>
      <c r="M67" s="18" t="n"/>
    </row>
    <row r="68">
      <c r="A68" s="18" t="n"/>
      <c r="B68" s="18" t="n"/>
      <c r="C68" s="18" t="n"/>
      <c r="D68" s="18" t="n"/>
      <c r="E68" s="18" t="n"/>
      <c r="F68" s="51" t="n"/>
      <c r="G68" s="51" t="n"/>
      <c r="H68" s="51" t="n"/>
      <c r="I68" s="51" t="n"/>
      <c r="J68" s="51">
        <f>IF(OR(F72="",G72=""),"",G72-F72)</f>
        <v/>
      </c>
      <c r="K68" s="18" t="n"/>
      <c r="L68" s="18" t="n"/>
      <c r="M68" s="18" t="n"/>
    </row>
    <row r="69">
      <c r="A69" s="18" t="n"/>
      <c r="B69" s="18" t="n"/>
      <c r="C69" s="18" t="n"/>
      <c r="D69" s="18" t="n"/>
      <c r="E69" s="18" t="n"/>
      <c r="F69" s="51" t="n"/>
      <c r="G69" s="51" t="n"/>
      <c r="H69" s="51" t="n"/>
      <c r="I69" s="51" t="n"/>
      <c r="J69" s="51">
        <f>IF(OR(F73="",G73=""),"",G73-F73)</f>
        <v/>
      </c>
      <c r="K69" s="18" t="n"/>
      <c r="L69" s="18" t="n"/>
      <c r="M69" s="18" t="n"/>
    </row>
    <row r="70">
      <c r="A70" s="18" t="n"/>
      <c r="B70" s="18" t="n"/>
      <c r="C70" s="18" t="n"/>
      <c r="D70" s="18" t="n"/>
      <c r="E70" s="18" t="n"/>
      <c r="F70" s="51" t="n"/>
      <c r="G70" s="51" t="n"/>
      <c r="H70" s="51" t="n"/>
      <c r="I70" s="51" t="n"/>
      <c r="J70" s="51">
        <f>IF(OR(F74="",G74=""),"",G74-F74)</f>
        <v/>
      </c>
      <c r="K70" s="18" t="n"/>
      <c r="L70" s="18" t="n"/>
      <c r="M70" s="18" t="n"/>
    </row>
    <row r="71">
      <c r="A71" s="18" t="n"/>
      <c r="B71" s="18" t="n"/>
      <c r="C71" s="18" t="n"/>
      <c r="D71" s="18" t="n"/>
      <c r="E71" s="18" t="n"/>
      <c r="F71" s="51" t="n"/>
      <c r="G71" s="51" t="n"/>
      <c r="H71" s="51" t="n"/>
      <c r="I71" s="51" t="n"/>
      <c r="J71" s="51">
        <f>IF(OR(F75="",G75=""),"",G75-F75)</f>
        <v/>
      </c>
      <c r="K71" s="18" t="n"/>
      <c r="L71" s="18" t="n"/>
      <c r="M71" s="18" t="n"/>
    </row>
    <row r="72">
      <c r="A72" s="18" t="n"/>
      <c r="B72" s="18" t="n"/>
      <c r="C72" s="18" t="n"/>
      <c r="D72" s="18" t="n"/>
      <c r="E72" s="18" t="n"/>
      <c r="F72" s="51" t="n"/>
      <c r="G72" s="51" t="n"/>
      <c r="H72" s="51" t="n"/>
      <c r="I72" s="51" t="n"/>
      <c r="J72" s="51">
        <f>IF(OR(F76="",G76=""),"",G76-F76)</f>
        <v/>
      </c>
      <c r="K72" s="18" t="n"/>
      <c r="L72" s="18" t="n"/>
      <c r="M72" s="18" t="n"/>
    </row>
    <row r="73">
      <c r="A73" s="18" t="n"/>
      <c r="B73" s="18" t="n"/>
      <c r="C73" s="18" t="n"/>
      <c r="D73" s="18" t="n"/>
      <c r="E73" s="18" t="n"/>
      <c r="F73" s="51" t="n"/>
      <c r="G73" s="51" t="n"/>
      <c r="H73" s="51" t="n"/>
      <c r="I73" s="51" t="n"/>
      <c r="J73" s="51">
        <f>IF(OR(F77="",G77=""),"",G77-F77)</f>
        <v/>
      </c>
      <c r="K73" s="18" t="n"/>
      <c r="L73" s="18" t="n"/>
      <c r="M73" s="18" t="n"/>
    </row>
    <row r="74">
      <c r="A74" s="18" t="n"/>
      <c r="B74" s="18" t="n"/>
      <c r="C74" s="18" t="n"/>
      <c r="D74" s="18" t="n"/>
      <c r="E74" s="18" t="n"/>
      <c r="F74" s="51" t="n"/>
      <c r="G74" s="51" t="n"/>
      <c r="H74" s="51" t="n"/>
      <c r="I74" s="51" t="n"/>
      <c r="J74" s="51">
        <f>IF(OR(F78="",G78=""),"",G78-F78)</f>
        <v/>
      </c>
      <c r="K74" s="18" t="n"/>
      <c r="L74" s="18" t="n"/>
      <c r="M74" s="18" t="n"/>
    </row>
    <row r="75">
      <c r="A75" s="18" t="n"/>
      <c r="B75" s="18" t="n"/>
      <c r="C75" s="18" t="n"/>
      <c r="D75" s="18" t="n"/>
      <c r="E75" s="18" t="n"/>
      <c r="F75" s="51" t="n"/>
      <c r="G75" s="51" t="n"/>
      <c r="H75" s="51" t="n"/>
      <c r="I75" s="51" t="n"/>
      <c r="J75" s="51">
        <f>IF(OR(F79="",G79=""),"",G79-F79)</f>
        <v/>
      </c>
      <c r="K75" s="18" t="n"/>
      <c r="L75" s="18" t="n"/>
      <c r="M75" s="18" t="n"/>
    </row>
    <row r="76">
      <c r="A76" s="18" t="n"/>
      <c r="B76" s="18" t="n"/>
      <c r="C76" s="18" t="n"/>
      <c r="D76" s="18" t="n"/>
      <c r="E76" s="18" t="n"/>
      <c r="F76" s="51" t="n"/>
      <c r="G76" s="51" t="n"/>
      <c r="H76" s="51" t="n"/>
      <c r="I76" s="51" t="n"/>
      <c r="J76" s="51">
        <f>IF(OR(F80="",G80=""),"",G80-F80)</f>
        <v/>
      </c>
      <c r="K76" s="18" t="n"/>
      <c r="L76" s="18" t="n"/>
      <c r="M76" s="18" t="n"/>
    </row>
    <row r="77">
      <c r="A77" s="18" t="n"/>
      <c r="B77" s="18" t="n"/>
      <c r="C77" s="18" t="n"/>
      <c r="D77" s="18" t="n"/>
      <c r="E77" s="18" t="n"/>
      <c r="F77" s="51" t="n"/>
      <c r="G77" s="51" t="n"/>
      <c r="H77" s="51" t="n"/>
      <c r="I77" s="51" t="n"/>
      <c r="J77" s="51">
        <f>IF(OR(F81="",G81=""),"",G81-F81)</f>
        <v/>
      </c>
      <c r="K77" s="18" t="n"/>
      <c r="L77" s="18" t="n"/>
      <c r="M77" s="18" t="n"/>
    </row>
    <row r="78">
      <c r="A78" s="18" t="n"/>
      <c r="B78" s="18" t="n"/>
      <c r="C78" s="18" t="n"/>
      <c r="D78" s="18" t="n"/>
      <c r="E78" s="18" t="n"/>
      <c r="F78" s="51" t="n"/>
      <c r="G78" s="51" t="n"/>
      <c r="H78" s="51" t="n"/>
      <c r="I78" s="51" t="n"/>
      <c r="J78" s="51">
        <f>IF(OR(F82="",G82=""),"",G82-F82)</f>
        <v/>
      </c>
      <c r="K78" s="18" t="n"/>
      <c r="L78" s="18" t="n"/>
      <c r="M78" s="18" t="n"/>
    </row>
    <row r="79">
      <c r="A79" s="18" t="n"/>
      <c r="B79" s="18" t="n"/>
      <c r="C79" s="18" t="n"/>
      <c r="D79" s="18" t="n"/>
      <c r="E79" s="18" t="n"/>
      <c r="F79" s="51" t="n"/>
      <c r="G79" s="51" t="n"/>
      <c r="H79" s="51" t="n"/>
      <c r="I79" s="51" t="n"/>
      <c r="J79" s="51">
        <f>IF(OR(F83="",G83=""),"",G83-F83)</f>
        <v/>
      </c>
      <c r="K79" s="18" t="n"/>
      <c r="L79" s="18" t="n"/>
      <c r="M79" s="18" t="n"/>
    </row>
    <row r="80">
      <c r="A80" s="18" t="n"/>
      <c r="B80" s="18" t="n"/>
      <c r="C80" s="18" t="n"/>
      <c r="D80" s="18" t="n"/>
      <c r="E80" s="18" t="n"/>
      <c r="F80" s="51" t="n"/>
      <c r="G80" s="51" t="n"/>
      <c r="H80" s="51" t="n"/>
      <c r="I80" s="51" t="n"/>
      <c r="J80" s="51">
        <f>IF(OR(F84="",G84=""),"",G84-F84)</f>
        <v/>
      </c>
      <c r="K80" s="18" t="n"/>
      <c r="L80" s="18" t="n"/>
      <c r="M80" s="18" t="n"/>
    </row>
    <row r="81">
      <c r="A81" s="18" t="n"/>
      <c r="B81" s="18" t="n"/>
      <c r="C81" s="18" t="n"/>
      <c r="D81" s="18" t="n"/>
      <c r="E81" s="18" t="n"/>
      <c r="F81" s="51" t="n"/>
      <c r="G81" s="51" t="n"/>
      <c r="H81" s="51" t="n"/>
      <c r="I81" s="51" t="n"/>
      <c r="J81" s="51">
        <f>IF(OR(F85="",G85=""),"",G85-F85)</f>
        <v/>
      </c>
      <c r="K81" s="18" t="n"/>
      <c r="L81" s="18" t="n"/>
      <c r="M81" s="18" t="n"/>
    </row>
    <row r="82">
      <c r="A82" s="18" t="n"/>
      <c r="B82" s="18" t="n"/>
      <c r="C82" s="18" t="n"/>
      <c r="D82" s="18" t="n"/>
      <c r="E82" s="18" t="n"/>
      <c r="F82" s="51" t="n"/>
      <c r="G82" s="51" t="n"/>
      <c r="H82" s="51" t="n"/>
      <c r="I82" s="51" t="n"/>
      <c r="J82" s="51">
        <f>IF(OR(F86="",G86=""),"",G86-F86)</f>
        <v/>
      </c>
      <c r="K82" s="18" t="n"/>
      <c r="L82" s="18" t="n"/>
      <c r="M82" s="18" t="n"/>
    </row>
    <row r="83">
      <c r="A83" s="18" t="n"/>
      <c r="B83" s="18" t="n"/>
      <c r="C83" s="18" t="n"/>
      <c r="D83" s="18" t="n"/>
      <c r="E83" s="18" t="n"/>
      <c r="F83" s="51" t="n"/>
      <c r="G83" s="51" t="n"/>
      <c r="H83" s="51" t="n"/>
      <c r="I83" s="51" t="n"/>
      <c r="J83" s="51">
        <f>IF(OR(F87="",G87=""),"",G87-F87)</f>
        <v/>
      </c>
      <c r="K83" s="18" t="n"/>
      <c r="L83" s="18" t="n"/>
      <c r="M83" s="18" t="n"/>
    </row>
    <row r="84">
      <c r="A84" s="18" t="n"/>
      <c r="B84" s="18" t="n"/>
      <c r="C84" s="18" t="n"/>
      <c r="D84" s="18" t="n"/>
      <c r="E84" s="18" t="n"/>
      <c r="F84" s="51" t="n"/>
      <c r="G84" s="51" t="n"/>
      <c r="H84" s="51" t="n"/>
      <c r="I84" s="51" t="n"/>
      <c r="J84" s="51">
        <f>IF(OR(F88="",G88=""),"",G88-F88)</f>
        <v/>
      </c>
      <c r="K84" s="18" t="n"/>
      <c r="L84" s="18" t="n"/>
      <c r="M84" s="18" t="n"/>
    </row>
    <row r="85">
      <c r="A85" s="18" t="n"/>
      <c r="B85" s="18" t="n"/>
      <c r="C85" s="18" t="n"/>
      <c r="D85" s="18" t="n"/>
      <c r="E85" s="18" t="n"/>
      <c r="F85" s="51" t="n"/>
      <c r="G85" s="51" t="n"/>
      <c r="H85" s="51" t="n"/>
      <c r="I85" s="51" t="n"/>
      <c r="J85" s="51">
        <f>IF(OR(F89="",G89=""),"",G89-F89)</f>
        <v/>
      </c>
      <c r="K85" s="18" t="n"/>
      <c r="L85" s="18" t="n"/>
      <c r="M85" s="18" t="n"/>
    </row>
    <row r="86">
      <c r="A86" s="18" t="n"/>
      <c r="B86" s="18" t="n"/>
      <c r="C86" s="18" t="n"/>
      <c r="D86" s="18" t="n"/>
      <c r="E86" s="18" t="n"/>
      <c r="F86" s="51" t="n"/>
      <c r="G86" s="51" t="n"/>
      <c r="H86" s="51" t="n"/>
      <c r="I86" s="51" t="n"/>
      <c r="J86" s="51">
        <f>IF(OR(F90="",G90=""),"",G90-F90)</f>
        <v/>
      </c>
      <c r="K86" s="18" t="n"/>
      <c r="L86" s="18" t="n"/>
      <c r="M86" s="18" t="n"/>
    </row>
    <row r="87">
      <c r="A87" s="18" t="n"/>
      <c r="B87" s="18" t="n"/>
      <c r="C87" s="18" t="n"/>
      <c r="D87" s="18" t="n"/>
      <c r="E87" s="18" t="n"/>
      <c r="F87" s="51" t="n"/>
      <c r="G87" s="51" t="n"/>
      <c r="H87" s="51" t="n"/>
      <c r="I87" s="51" t="n"/>
      <c r="J87" s="51">
        <f>IF(OR(F91="",G91=""),"",G91-F91)</f>
        <v/>
      </c>
      <c r="K87" s="18" t="n"/>
      <c r="L87" s="18" t="n"/>
      <c r="M87" s="18" t="n"/>
    </row>
    <row r="88">
      <c r="A88" s="18" t="n"/>
      <c r="B88" s="18" t="n"/>
      <c r="C88" s="18" t="n"/>
      <c r="D88" s="18" t="n"/>
      <c r="E88" s="18" t="n"/>
      <c r="F88" s="51" t="n"/>
      <c r="G88" s="51" t="n"/>
      <c r="H88" s="51" t="n"/>
      <c r="I88" s="51" t="n"/>
      <c r="J88" s="51">
        <f>IF(OR(F92="",G92=""),"",G92-F92)</f>
        <v/>
      </c>
      <c r="K88" s="18" t="n"/>
      <c r="L88" s="18" t="n"/>
      <c r="M88" s="18" t="n"/>
    </row>
    <row r="89">
      <c r="A89" s="18" t="n"/>
      <c r="B89" s="18" t="n"/>
      <c r="C89" s="18" t="n"/>
      <c r="D89" s="18" t="n"/>
      <c r="E89" s="18" t="n"/>
      <c r="F89" s="51" t="n"/>
      <c r="G89" s="51" t="n"/>
      <c r="H89" s="51" t="n"/>
      <c r="I89" s="51" t="n"/>
      <c r="J89" s="51">
        <f>IF(OR(F93="",G93=""),"",G93-F93)</f>
        <v/>
      </c>
      <c r="K89" s="18" t="n"/>
      <c r="L89" s="18" t="n"/>
      <c r="M89" s="18" t="n"/>
    </row>
    <row r="90">
      <c r="A90" s="18" t="n"/>
      <c r="B90" s="18" t="n"/>
      <c r="C90" s="18" t="n"/>
      <c r="D90" s="18" t="n"/>
      <c r="E90" s="18" t="n"/>
      <c r="F90" s="51" t="n"/>
      <c r="G90" s="51" t="n"/>
      <c r="H90" s="51" t="n"/>
      <c r="I90" s="51" t="n"/>
      <c r="J90" s="51">
        <f>IF(OR(F94="",G94=""),"",G94-F94)</f>
        <v/>
      </c>
      <c r="K90" s="18" t="n"/>
      <c r="L90" s="18" t="n"/>
      <c r="M90" s="18" t="n"/>
    </row>
    <row r="91">
      <c r="A91" s="18" t="n"/>
      <c r="B91" s="18" t="n"/>
      <c r="C91" s="18" t="n"/>
      <c r="D91" s="18" t="n"/>
      <c r="E91" s="18" t="n"/>
      <c r="F91" s="51" t="n"/>
      <c r="G91" s="51" t="n"/>
      <c r="H91" s="51" t="n"/>
      <c r="I91" s="51" t="n"/>
      <c r="J91" s="51">
        <f>IF(OR(F95="",G95=""),"",G95-F95)</f>
        <v/>
      </c>
      <c r="K91" s="18" t="n"/>
      <c r="L91" s="18" t="n"/>
      <c r="M91" s="18" t="n"/>
    </row>
    <row r="92">
      <c r="A92" s="18" t="n"/>
      <c r="B92" s="18" t="n"/>
      <c r="C92" s="18" t="n"/>
      <c r="D92" s="18" t="n"/>
      <c r="E92" s="18" t="n"/>
      <c r="F92" s="51" t="n"/>
      <c r="G92" s="51" t="n"/>
      <c r="H92" s="51" t="n"/>
      <c r="I92" s="51" t="n"/>
      <c r="J92" s="51">
        <f>IF(OR(F96="",G96=""),"",G96-F96)</f>
        <v/>
      </c>
      <c r="K92" s="18" t="n"/>
      <c r="L92" s="18" t="n"/>
      <c r="M92" s="18" t="n"/>
    </row>
    <row r="93">
      <c r="A93" s="18" t="n"/>
      <c r="B93" s="18" t="n"/>
      <c r="C93" s="18" t="n"/>
      <c r="D93" s="18" t="n"/>
      <c r="E93" s="18" t="n"/>
      <c r="F93" s="51" t="n"/>
      <c r="G93" s="51" t="n"/>
      <c r="H93" s="51" t="n"/>
      <c r="I93" s="51" t="n"/>
      <c r="J93" s="51">
        <f>IF(OR(F97="",G97=""),"",G97-F97)</f>
        <v/>
      </c>
      <c r="K93" s="18" t="n"/>
      <c r="L93" s="18" t="n"/>
      <c r="M93" s="18" t="n"/>
    </row>
    <row r="94">
      <c r="A94" s="18" t="n"/>
      <c r="B94" s="18" t="n"/>
      <c r="C94" s="18" t="n"/>
      <c r="D94" s="18" t="n"/>
      <c r="E94" s="18" t="n"/>
      <c r="F94" s="51" t="n"/>
      <c r="G94" s="51" t="n"/>
      <c r="H94" s="51" t="n"/>
      <c r="I94" s="51" t="n"/>
      <c r="J94" s="51">
        <f>IF(OR(F98="",G98=""),"",G98-F98)</f>
        <v/>
      </c>
      <c r="K94" s="18" t="n"/>
      <c r="L94" s="18" t="n"/>
      <c r="M94" s="18" t="n"/>
    </row>
    <row r="95">
      <c r="A95" s="18" t="n"/>
      <c r="B95" s="18" t="n"/>
      <c r="C95" s="18" t="n"/>
      <c r="D95" s="18" t="n"/>
      <c r="E95" s="18" t="n"/>
      <c r="F95" s="51" t="n"/>
      <c r="G95" s="51" t="n"/>
      <c r="H95" s="51" t="n"/>
      <c r="I95" s="51" t="n"/>
      <c r="J95" s="51">
        <f>IF(OR(F99="",G99=""),"",G99-F99)</f>
        <v/>
      </c>
      <c r="K95" s="18" t="n"/>
      <c r="L95" s="18" t="n"/>
      <c r="M95" s="18" t="n"/>
    </row>
    <row r="96">
      <c r="A96" s="18" t="n"/>
      <c r="B96" s="18" t="n"/>
      <c r="C96" s="18" t="n"/>
      <c r="D96" s="18" t="n"/>
      <c r="E96" s="18" t="n"/>
      <c r="F96" s="51" t="n"/>
      <c r="G96" s="51" t="n"/>
      <c r="H96" s="51" t="n"/>
      <c r="I96" s="51" t="n"/>
      <c r="J96" s="51">
        <f>IF(OR(F100="",G100=""),"",G100-F100)</f>
        <v/>
      </c>
      <c r="K96" s="18" t="n"/>
      <c r="L96" s="18" t="n"/>
      <c r="M96" s="18" t="n"/>
    </row>
    <row r="97">
      <c r="A97" s="18" t="n"/>
      <c r="B97" s="18" t="n"/>
      <c r="C97" s="18" t="n"/>
      <c r="D97" s="18" t="n"/>
      <c r="E97" s="18" t="n"/>
      <c r="F97" s="51" t="n"/>
      <c r="G97" s="51" t="n"/>
      <c r="H97" s="51" t="n"/>
      <c r="I97" s="51" t="n"/>
      <c r="J97" s="51">
        <f>IF(OR(F101="",G101=""),"",G101-F101)</f>
        <v/>
      </c>
      <c r="K97" s="18" t="n"/>
      <c r="L97" s="18" t="n"/>
      <c r="M97" s="18" t="n"/>
    </row>
    <row r="98">
      <c r="A98" s="18" t="n"/>
      <c r="B98" s="18" t="n"/>
      <c r="C98" s="18" t="n"/>
      <c r="D98" s="18" t="n"/>
      <c r="E98" s="18" t="n"/>
      <c r="F98" s="51" t="n"/>
      <c r="G98" s="51" t="n"/>
      <c r="H98" s="51" t="n"/>
      <c r="I98" s="51" t="n"/>
      <c r="J98" s="51">
        <f>IF(OR(F102="",G102=""),"",G102-F102)</f>
        <v/>
      </c>
      <c r="K98" s="18" t="n"/>
      <c r="L98" s="18" t="n"/>
      <c r="M98" s="18" t="n"/>
    </row>
    <row r="99">
      <c r="A99" s="18" t="n"/>
      <c r="B99" s="18" t="n"/>
      <c r="C99" s="18" t="n"/>
      <c r="D99" s="18" t="n"/>
      <c r="E99" s="18" t="n"/>
      <c r="F99" s="51" t="n"/>
      <c r="G99" s="51" t="n"/>
      <c r="H99" s="51" t="n"/>
      <c r="I99" s="51" t="n"/>
      <c r="J99" s="51">
        <f>IF(OR(F103="",G103=""),"",G103-F103)</f>
        <v/>
      </c>
      <c r="K99" s="18" t="n"/>
      <c r="L99" s="18" t="n"/>
      <c r="M99" s="18" t="n"/>
    </row>
    <row r="100">
      <c r="A100" s="18" t="n"/>
      <c r="B100" s="18" t="n"/>
      <c r="C100" s="18" t="n"/>
      <c r="D100" s="18" t="n"/>
      <c r="E100" s="18" t="n"/>
      <c r="F100" s="51" t="n"/>
      <c r="G100" s="51" t="n"/>
      <c r="H100" s="51" t="n"/>
      <c r="I100" s="51" t="n"/>
      <c r="J100" s="51">
        <f>IF(OR(F104="",G104=""),"",G104-F104)</f>
        <v/>
      </c>
      <c r="K100" s="18" t="n"/>
      <c r="L100" s="18" t="n"/>
      <c r="M100" s="18" t="n"/>
    </row>
    <row r="101">
      <c r="A101" s="18" t="n"/>
      <c r="B101" s="18" t="n"/>
      <c r="C101" s="18" t="n"/>
      <c r="D101" s="18" t="n"/>
      <c r="E101" s="18" t="n"/>
      <c r="F101" s="51" t="n"/>
      <c r="G101" s="51" t="n"/>
      <c r="H101" s="51" t="n"/>
      <c r="I101" s="51" t="n"/>
      <c r="J101" s="51">
        <f>IF(OR(F105="",G105=""),"",G105-F105)</f>
        <v/>
      </c>
      <c r="K101" s="18" t="n"/>
      <c r="L101" s="18" t="n"/>
      <c r="M101" s="18" t="n"/>
    </row>
    <row r="102">
      <c r="A102" s="18" t="n"/>
      <c r="B102" s="18" t="n"/>
      <c r="C102" s="18" t="n"/>
      <c r="D102" s="18" t="n"/>
      <c r="E102" s="18" t="n"/>
      <c r="F102" s="51" t="n"/>
      <c r="G102" s="51" t="n"/>
      <c r="H102" s="51" t="n"/>
      <c r="I102" s="51" t="n"/>
      <c r="J102" s="51">
        <f>IF(OR(F106="",G106=""),"",G106-F106)</f>
        <v/>
      </c>
      <c r="K102" s="18" t="n"/>
      <c r="L102" s="18" t="n"/>
      <c r="M102" s="18" t="n"/>
    </row>
    <row r="103">
      <c r="A103" s="18" t="n"/>
      <c r="B103" s="18" t="n"/>
      <c r="C103" s="18" t="n"/>
      <c r="D103" s="18" t="n"/>
      <c r="E103" s="18" t="n"/>
      <c r="F103" s="51" t="n"/>
      <c r="G103" s="51" t="n"/>
      <c r="H103" s="51" t="n"/>
      <c r="I103" s="51" t="n"/>
      <c r="J103" s="51">
        <f>IF(OR(F107="",G107=""),"",G107-F107)</f>
        <v/>
      </c>
      <c r="K103" s="18" t="n"/>
      <c r="L103" s="18" t="n"/>
      <c r="M103" s="18" t="n"/>
    </row>
    <row r="104">
      <c r="A104" s="18" t="n"/>
      <c r="B104" s="18" t="n"/>
      <c r="C104" s="18" t="n"/>
      <c r="D104" s="18" t="n"/>
      <c r="E104" s="18" t="n"/>
      <c r="F104" s="51" t="n"/>
      <c r="G104" s="51" t="n"/>
      <c r="H104" s="51" t="n"/>
      <c r="I104" s="51" t="n"/>
      <c r="J104" s="51">
        <f>IF(OR(F108="",G108=""),"",G108-F108)</f>
        <v/>
      </c>
      <c r="K104" s="18" t="n"/>
      <c r="L104" s="18" t="n"/>
      <c r="M104" s="18" t="n"/>
    </row>
    <row r="105">
      <c r="A105" s="18" t="n"/>
      <c r="B105" s="18" t="n"/>
      <c r="C105" s="18" t="n"/>
      <c r="D105" s="18" t="n"/>
      <c r="E105" s="18" t="n"/>
      <c r="F105" s="51" t="n"/>
      <c r="G105" s="51" t="n"/>
      <c r="H105" s="51" t="n"/>
      <c r="I105" s="51" t="n"/>
      <c r="J105" s="51">
        <f>IF(OR(F109="",G109=""),"",G109-F109)</f>
        <v/>
      </c>
      <c r="K105" s="18" t="n"/>
      <c r="L105" s="18" t="n"/>
      <c r="M105" s="18" t="n"/>
    </row>
    <row r="106">
      <c r="A106" s="18" t="n"/>
      <c r="B106" s="18" t="n"/>
      <c r="C106" s="18" t="n"/>
      <c r="D106" s="18" t="n"/>
      <c r="E106" s="18" t="n"/>
      <c r="F106" s="51" t="n"/>
      <c r="G106" s="51" t="n"/>
      <c r="H106" s="51" t="n"/>
      <c r="I106" s="51" t="n"/>
      <c r="J106" s="51">
        <f>IF(OR(F110="",G110=""),"",G110-F110)</f>
        <v/>
      </c>
      <c r="K106" s="18" t="n"/>
      <c r="L106" s="18" t="n"/>
      <c r="M106" s="18" t="n"/>
    </row>
    <row r="107">
      <c r="A107" s="18" t="n"/>
      <c r="B107" s="18" t="n"/>
      <c r="C107" s="18" t="n"/>
      <c r="D107" s="18" t="n"/>
      <c r="E107" s="18" t="n"/>
      <c r="F107" s="51" t="n"/>
      <c r="G107" s="51" t="n"/>
      <c r="H107" s="51" t="n"/>
      <c r="I107" s="51" t="n"/>
      <c r="J107" s="51">
        <f>IF(OR(F111="",G111=""),"",G111-F111)</f>
        <v/>
      </c>
      <c r="K107" s="18" t="n"/>
      <c r="L107" s="18" t="n"/>
      <c r="M107" s="18" t="n"/>
    </row>
    <row r="108">
      <c r="A108" s="18" t="n"/>
      <c r="B108" s="18" t="n"/>
      <c r="C108" s="18" t="n"/>
      <c r="D108" s="18" t="n"/>
      <c r="E108" s="18" t="n"/>
      <c r="F108" s="51" t="n"/>
      <c r="G108" s="51" t="n"/>
      <c r="H108" s="51" t="n"/>
      <c r="I108" s="51" t="n"/>
      <c r="J108" s="51">
        <f>IF(OR(F112="",G112=""),"",G112-F112)</f>
        <v/>
      </c>
      <c r="K108" s="18" t="n"/>
      <c r="L108" s="18" t="n"/>
      <c r="M108" s="18" t="n"/>
    </row>
    <row r="109">
      <c r="A109" s="18" t="n"/>
      <c r="B109" s="18" t="n"/>
      <c r="C109" s="18" t="n"/>
      <c r="D109" s="18" t="n"/>
      <c r="E109" s="18" t="n"/>
      <c r="F109" s="51" t="n"/>
      <c r="G109" s="51" t="n"/>
      <c r="H109" s="51" t="n"/>
      <c r="I109" s="51" t="n"/>
      <c r="J109" s="51">
        <f>IF(OR(F113="",G113=""),"",G113-F113)</f>
        <v/>
      </c>
      <c r="K109" s="18" t="n"/>
      <c r="L109" s="18" t="n"/>
      <c r="M109" s="18" t="n"/>
    </row>
    <row r="110">
      <c r="A110" s="18" t="n"/>
      <c r="B110" s="18" t="n"/>
      <c r="C110" s="18" t="n"/>
      <c r="D110" s="18" t="n"/>
      <c r="E110" s="18" t="n"/>
      <c r="F110" s="51" t="n"/>
      <c r="G110" s="51" t="n"/>
      <c r="H110" s="51" t="n"/>
      <c r="I110" s="51" t="n"/>
      <c r="J110" s="51">
        <f>IF(OR(F114="",G114=""),"",G114-F114)</f>
        <v/>
      </c>
      <c r="K110" s="18" t="n"/>
      <c r="L110" s="18" t="n"/>
      <c r="M110" s="18" t="n"/>
    </row>
    <row r="111">
      <c r="A111" s="18" t="n"/>
      <c r="B111" s="18" t="n"/>
      <c r="C111" s="18" t="n"/>
      <c r="D111" s="18" t="n"/>
      <c r="E111" s="18" t="n"/>
      <c r="F111" s="51" t="n"/>
      <c r="G111" s="51" t="n"/>
      <c r="H111" s="51" t="n"/>
      <c r="I111" s="51" t="n"/>
      <c r="J111" s="51">
        <f>IF(OR(F115="",G115=""),"",G115-F115)</f>
        <v/>
      </c>
      <c r="K111" s="18" t="n"/>
      <c r="L111" s="18" t="n"/>
      <c r="M111" s="18" t="n"/>
    </row>
    <row r="112">
      <c r="A112" s="18" t="n"/>
      <c r="B112" s="18" t="n"/>
      <c r="C112" s="18" t="n"/>
      <c r="D112" s="18" t="n"/>
      <c r="E112" s="18" t="n"/>
      <c r="F112" s="51" t="n"/>
      <c r="G112" s="51" t="n"/>
      <c r="H112" s="51" t="n"/>
      <c r="I112" s="51" t="n"/>
      <c r="J112" s="51">
        <f>IF(OR(F116="",G116=""),"",G116-F116)</f>
        <v/>
      </c>
      <c r="K112" s="18" t="n"/>
      <c r="L112" s="18" t="n"/>
      <c r="M112" s="18" t="n"/>
    </row>
    <row r="113">
      <c r="A113" s="18" t="n"/>
      <c r="B113" s="18" t="n"/>
      <c r="C113" s="18" t="n"/>
      <c r="D113" s="18" t="n"/>
      <c r="E113" s="18" t="n"/>
      <c r="F113" s="51" t="n"/>
      <c r="G113" s="51" t="n"/>
      <c r="H113" s="51" t="n"/>
      <c r="I113" s="51" t="n"/>
      <c r="J113" s="51">
        <f>IF(OR(F117="",G117=""),"",G117-F117)</f>
        <v/>
      </c>
      <c r="K113" s="18" t="n"/>
      <c r="L113" s="18" t="n"/>
      <c r="M113" s="18" t="n"/>
    </row>
    <row r="114">
      <c r="A114" s="18" t="n"/>
      <c r="B114" s="18" t="n"/>
      <c r="C114" s="18" t="n"/>
      <c r="D114" s="18" t="n"/>
      <c r="E114" s="18" t="n"/>
      <c r="F114" s="51" t="n"/>
      <c r="G114" s="51" t="n"/>
      <c r="H114" s="51" t="n"/>
      <c r="I114" s="51" t="n"/>
      <c r="J114" s="51">
        <f>IF(OR(F118="",G118=""),"",G118-F118)</f>
        <v/>
      </c>
      <c r="K114" s="18" t="n"/>
      <c r="L114" s="18" t="n"/>
      <c r="M114" s="18" t="n"/>
    </row>
    <row r="115">
      <c r="A115" s="18" t="n"/>
      <c r="B115" s="18" t="n"/>
      <c r="C115" s="18" t="n"/>
      <c r="D115" s="18" t="n"/>
      <c r="E115" s="18" t="n"/>
      <c r="F115" s="51" t="n"/>
      <c r="G115" s="51" t="n"/>
      <c r="H115" s="51" t="n"/>
      <c r="I115" s="51" t="n"/>
      <c r="J115" s="51">
        <f>IF(OR(F119="",G119=""),"",G119-F119)</f>
        <v/>
      </c>
      <c r="K115" s="18" t="n"/>
      <c r="L115" s="18" t="n"/>
      <c r="M115" s="18" t="n"/>
    </row>
    <row r="116">
      <c r="A116" s="18" t="n"/>
      <c r="B116" s="18" t="n"/>
      <c r="C116" s="18" t="n"/>
      <c r="D116" s="18" t="n"/>
      <c r="E116" s="18" t="n"/>
      <c r="F116" s="51" t="n"/>
      <c r="G116" s="51" t="n"/>
      <c r="H116" s="51" t="n"/>
      <c r="I116" s="51" t="n"/>
      <c r="J116" s="51">
        <f>IF(OR(F120="",G120=""),"",G120-F120)</f>
        <v/>
      </c>
      <c r="K116" s="18" t="n"/>
      <c r="L116" s="18" t="n"/>
      <c r="M116" s="18" t="n"/>
    </row>
    <row r="117">
      <c r="A117" s="18" t="n"/>
      <c r="B117" s="18" t="n"/>
      <c r="C117" s="18" t="n"/>
      <c r="D117" s="18" t="n"/>
      <c r="E117" s="18" t="n"/>
      <c r="F117" s="51" t="n"/>
      <c r="G117" s="51" t="n"/>
      <c r="H117" s="51" t="n"/>
      <c r="I117" s="51" t="n"/>
      <c r="J117" s="51">
        <f>IF(OR(F121="",G121=""),"",G121-F121)</f>
        <v/>
      </c>
      <c r="K117" s="18" t="n"/>
      <c r="L117" s="18" t="n"/>
      <c r="M117" s="18" t="n"/>
    </row>
    <row r="118">
      <c r="A118" s="18" t="n"/>
      <c r="B118" s="18" t="n"/>
      <c r="C118" s="18" t="n"/>
      <c r="D118" s="18" t="n"/>
      <c r="E118" s="18" t="n"/>
      <c r="F118" s="51" t="n"/>
      <c r="G118" s="51" t="n"/>
      <c r="H118" s="51" t="n"/>
      <c r="I118" s="51" t="n"/>
      <c r="J118" s="51">
        <f>IF(OR(F122="",G122=""),"",G122-F122)</f>
        <v/>
      </c>
      <c r="K118" s="18" t="n"/>
      <c r="L118" s="18" t="n"/>
      <c r="M118" s="18" t="n"/>
    </row>
    <row r="119">
      <c r="A119" s="18" t="n"/>
      <c r="B119" s="18" t="n"/>
      <c r="C119" s="18" t="n"/>
      <c r="D119" s="18" t="n"/>
      <c r="E119" s="18" t="n"/>
      <c r="F119" s="51" t="n"/>
      <c r="G119" s="51" t="n"/>
      <c r="H119" s="51" t="n"/>
      <c r="I119" s="51" t="n"/>
      <c r="J119" s="51">
        <f>IF(OR(F123="",G123=""),"",G123-F123)</f>
        <v/>
      </c>
      <c r="K119" s="18" t="n"/>
      <c r="L119" s="18" t="n"/>
      <c r="M119" s="18" t="n"/>
    </row>
    <row r="120">
      <c r="A120" s="18" t="n"/>
      <c r="B120" s="18" t="n"/>
      <c r="C120" s="18" t="n"/>
      <c r="D120" s="18" t="n"/>
      <c r="E120" s="18" t="n"/>
      <c r="F120" s="51" t="n"/>
      <c r="G120" s="51" t="n"/>
      <c r="H120" s="51" t="n"/>
      <c r="I120" s="51" t="n"/>
      <c r="J120" s="51">
        <f>IF(OR(F124="",G124=""),"",G124-F124)</f>
        <v/>
      </c>
      <c r="K120" s="18" t="n"/>
      <c r="L120" s="18" t="n"/>
      <c r="M120" s="18" t="n"/>
    </row>
    <row r="121">
      <c r="A121" s="18" t="n"/>
      <c r="B121" s="18" t="n"/>
      <c r="C121" s="18" t="n"/>
      <c r="D121" s="18" t="n"/>
      <c r="E121" s="18" t="n"/>
      <c r="F121" s="51" t="n"/>
      <c r="G121" s="51" t="n"/>
      <c r="H121" s="51" t="n"/>
      <c r="I121" s="51" t="n"/>
      <c r="J121" s="51">
        <f>IF(OR(F125="",G125=""),"",G125-F125)</f>
        <v/>
      </c>
      <c r="K121" s="18" t="n"/>
      <c r="L121" s="18" t="n"/>
      <c r="M121" s="18" t="n"/>
    </row>
    <row r="122">
      <c r="A122" s="18" t="n"/>
      <c r="B122" s="18" t="n"/>
      <c r="C122" s="18" t="n"/>
      <c r="D122" s="18" t="n"/>
      <c r="E122" s="18" t="n"/>
      <c r="F122" s="51" t="n"/>
      <c r="G122" s="51" t="n"/>
      <c r="H122" s="51" t="n"/>
      <c r="I122" s="51" t="n"/>
      <c r="J122" s="51">
        <f>IF(OR(F126="",G126=""),"",G126-F126)</f>
        <v/>
      </c>
      <c r="K122" s="18" t="n"/>
      <c r="L122" s="18" t="n"/>
      <c r="M122" s="18" t="n"/>
    </row>
    <row r="123">
      <c r="A123" s="18" t="n"/>
      <c r="B123" s="18" t="n"/>
      <c r="C123" s="18" t="n"/>
      <c r="D123" s="18" t="n"/>
      <c r="E123" s="18" t="n"/>
      <c r="F123" s="51" t="n"/>
      <c r="G123" s="51" t="n"/>
      <c r="H123" s="51" t="n"/>
      <c r="I123" s="51" t="n"/>
      <c r="J123" s="51">
        <f>IF(OR(F127="",G127=""),"",G127-F127)</f>
        <v/>
      </c>
      <c r="K123" s="18" t="n"/>
      <c r="L123" s="18" t="n"/>
      <c r="M123" s="18" t="n"/>
    </row>
    <row r="124">
      <c r="A124" s="18" t="n"/>
      <c r="B124" s="18" t="n"/>
      <c r="C124" s="18" t="n"/>
      <c r="D124" s="18" t="n"/>
      <c r="E124" s="18" t="n"/>
      <c r="F124" s="51" t="n"/>
      <c r="G124" s="51" t="n"/>
      <c r="H124" s="51" t="n"/>
      <c r="I124" s="51" t="n"/>
      <c r="J124" s="51">
        <f>IF(OR(F128="",G128=""),"",G128-F128)</f>
        <v/>
      </c>
      <c r="K124" s="18" t="n"/>
      <c r="L124" s="18" t="n"/>
      <c r="M124" s="18" t="n"/>
    </row>
    <row r="125">
      <c r="A125" s="18" t="n"/>
      <c r="B125" s="18" t="n"/>
      <c r="C125" s="18" t="n"/>
      <c r="D125" s="18" t="n"/>
      <c r="E125" s="18" t="n"/>
      <c r="F125" s="51" t="n"/>
      <c r="G125" s="51" t="n"/>
      <c r="H125" s="51" t="n"/>
      <c r="I125" s="51" t="n"/>
      <c r="J125" s="51">
        <f>IF(OR(F129="",G129=""),"",G129-F129)</f>
        <v/>
      </c>
      <c r="K125" s="18" t="n"/>
      <c r="L125" s="18" t="n"/>
      <c r="M125" s="18" t="n"/>
    </row>
    <row r="126">
      <c r="A126" s="18" t="n"/>
      <c r="B126" s="18" t="n"/>
      <c r="C126" s="18" t="n"/>
      <c r="D126" s="18" t="n"/>
      <c r="E126" s="18" t="n"/>
      <c r="F126" s="51" t="n"/>
      <c r="G126" s="51" t="n"/>
      <c r="H126" s="51" t="n"/>
      <c r="I126" s="51" t="n"/>
      <c r="J126" s="51">
        <f>IF(OR(F130="",G130=""),"",G130-F130)</f>
        <v/>
      </c>
      <c r="K126" s="18" t="n"/>
      <c r="L126" s="18" t="n"/>
      <c r="M126" s="18" t="n"/>
    </row>
    <row r="127">
      <c r="A127" s="18" t="n"/>
      <c r="B127" s="18" t="n"/>
      <c r="C127" s="18" t="n"/>
      <c r="D127" s="18" t="n"/>
      <c r="E127" s="18" t="n"/>
      <c r="F127" s="51" t="n"/>
      <c r="G127" s="51" t="n"/>
      <c r="H127" s="51" t="n"/>
      <c r="I127" s="51" t="n"/>
      <c r="J127" s="51">
        <f>IF(OR(F131="",G131=""),"",G131-F131)</f>
        <v/>
      </c>
      <c r="K127" s="18" t="n"/>
      <c r="L127" s="18" t="n"/>
      <c r="M127" s="18" t="n"/>
    </row>
    <row r="128">
      <c r="A128" s="18" t="n"/>
      <c r="B128" s="18" t="n"/>
      <c r="C128" s="18" t="n"/>
      <c r="D128" s="18" t="n"/>
      <c r="E128" s="18" t="n"/>
      <c r="F128" s="51" t="n"/>
      <c r="G128" s="51" t="n"/>
      <c r="H128" s="51" t="n"/>
      <c r="I128" s="51" t="n"/>
      <c r="J128" s="51">
        <f>IF(OR(F132="",G132=""),"",G132-F132)</f>
        <v/>
      </c>
      <c r="K128" s="18" t="n"/>
      <c r="L128" s="18" t="n"/>
      <c r="M128" s="18" t="n"/>
    </row>
    <row r="129">
      <c r="A129" s="18" t="n"/>
      <c r="B129" s="18" t="n"/>
      <c r="C129" s="18" t="n"/>
      <c r="D129" s="18" t="n"/>
      <c r="E129" s="18" t="n"/>
      <c r="F129" s="51" t="n"/>
      <c r="G129" s="51" t="n"/>
      <c r="H129" s="51" t="n"/>
      <c r="I129" s="51" t="n"/>
      <c r="J129" s="51">
        <f>IF(OR(F133="",G133=""),"",G133-F133)</f>
        <v/>
      </c>
      <c r="K129" s="18" t="n"/>
      <c r="L129" s="18" t="n"/>
      <c r="M129" s="18" t="n"/>
    </row>
    <row r="130">
      <c r="A130" s="18" t="n"/>
      <c r="B130" s="18" t="n"/>
      <c r="C130" s="18" t="n"/>
      <c r="D130" s="18" t="n"/>
      <c r="E130" s="18" t="n"/>
      <c r="F130" s="51" t="n"/>
      <c r="G130" s="51" t="n"/>
      <c r="H130" s="51" t="n"/>
      <c r="I130" s="51" t="n"/>
      <c r="J130" s="51">
        <f>IF(OR(F134="",G134=""),"",G134-F134)</f>
        <v/>
      </c>
      <c r="K130" s="18" t="n"/>
      <c r="L130" s="18" t="n"/>
      <c r="M130" s="18" t="n"/>
    </row>
    <row r="131">
      <c r="A131" s="18" t="n"/>
      <c r="B131" s="18" t="n"/>
      <c r="C131" s="18" t="n"/>
      <c r="D131" s="18" t="n"/>
      <c r="E131" s="18" t="n"/>
      <c r="F131" s="51" t="n"/>
      <c r="G131" s="51" t="n"/>
      <c r="H131" s="51" t="n"/>
      <c r="I131" s="51" t="n"/>
      <c r="J131" s="51">
        <f>IF(OR(F135="",G135=""),"",G135-F135)</f>
        <v/>
      </c>
      <c r="K131" s="18" t="n"/>
      <c r="L131" s="18" t="n"/>
      <c r="M131" s="18" t="n"/>
    </row>
    <row r="132">
      <c r="A132" s="18" t="n"/>
      <c r="B132" s="18" t="n"/>
      <c r="C132" s="18" t="n"/>
      <c r="D132" s="18" t="n"/>
      <c r="E132" s="18" t="n"/>
      <c r="F132" s="51" t="n"/>
      <c r="G132" s="51" t="n"/>
      <c r="H132" s="51" t="n"/>
      <c r="I132" s="51" t="n"/>
      <c r="J132" s="51">
        <f>IF(OR(F136="",G136=""),"",G136-F136)</f>
        <v/>
      </c>
      <c r="K132" s="18" t="n"/>
      <c r="L132" s="18" t="n"/>
      <c r="M132" s="18" t="n"/>
    </row>
    <row r="133">
      <c r="A133" s="18" t="n"/>
      <c r="B133" s="18" t="n"/>
      <c r="C133" s="18" t="n"/>
      <c r="D133" s="18" t="n"/>
      <c r="E133" s="18" t="n"/>
      <c r="F133" s="51" t="n"/>
      <c r="G133" s="51" t="n"/>
      <c r="H133" s="51" t="n"/>
      <c r="I133" s="51" t="n"/>
      <c r="J133" s="51">
        <f>IF(OR(F137="",G137=""),"",G137-F137)</f>
        <v/>
      </c>
      <c r="K133" s="18" t="n"/>
      <c r="L133" s="18" t="n"/>
      <c r="M133" s="18" t="n"/>
    </row>
    <row r="134">
      <c r="A134" s="18" t="n"/>
      <c r="B134" s="18" t="n"/>
      <c r="C134" s="18" t="n"/>
      <c r="D134" s="18" t="n"/>
      <c r="E134" s="18" t="n"/>
      <c r="F134" s="51" t="n"/>
      <c r="G134" s="51" t="n"/>
      <c r="H134" s="51" t="n"/>
      <c r="I134" s="51" t="n"/>
      <c r="J134" s="51">
        <f>IF(OR(F138="",G138=""),"",G138-F138)</f>
        <v/>
      </c>
      <c r="K134" s="18" t="n"/>
      <c r="L134" s="18" t="n"/>
      <c r="M134" s="18" t="n"/>
    </row>
    <row r="135">
      <c r="A135" s="18" t="n"/>
      <c r="B135" s="18" t="n"/>
      <c r="C135" s="18" t="n"/>
      <c r="D135" s="18" t="n"/>
      <c r="E135" s="18" t="n"/>
      <c r="F135" s="51" t="n"/>
      <c r="G135" s="51" t="n"/>
      <c r="H135" s="51" t="n"/>
      <c r="I135" s="51" t="n"/>
      <c r="J135" s="51">
        <f>IF(OR(F139="",G139=""),"",G139-F139)</f>
        <v/>
      </c>
      <c r="K135" s="18" t="n"/>
      <c r="L135" s="18" t="n"/>
      <c r="M135" s="18" t="n"/>
    </row>
    <row r="136">
      <c r="A136" s="18" t="n"/>
      <c r="B136" s="18" t="n"/>
      <c r="C136" s="18" t="n"/>
      <c r="D136" s="18" t="n"/>
      <c r="E136" s="18" t="n"/>
      <c r="F136" s="51" t="n"/>
      <c r="G136" s="51" t="n"/>
      <c r="H136" s="51" t="n"/>
      <c r="I136" s="51" t="n"/>
      <c r="J136" s="51">
        <f>IF(OR(F140="",G140=""),"",G140-F140)</f>
        <v/>
      </c>
      <c r="K136" s="18" t="n"/>
      <c r="L136" s="18" t="n"/>
      <c r="M136" s="18" t="n"/>
    </row>
    <row r="137">
      <c r="A137" s="18" t="n"/>
      <c r="B137" s="18" t="n"/>
      <c r="C137" s="18" t="n"/>
      <c r="D137" s="18" t="n"/>
      <c r="E137" s="18" t="n"/>
      <c r="F137" s="51" t="n"/>
      <c r="G137" s="51" t="n"/>
      <c r="H137" s="51" t="n"/>
      <c r="I137" s="51" t="n"/>
      <c r="J137" s="51">
        <f>IF(OR(F141="",G141=""),"",G141-F141)</f>
        <v/>
      </c>
      <c r="K137" s="18" t="n"/>
      <c r="L137" s="18" t="n"/>
      <c r="M137" s="18" t="n"/>
    </row>
    <row r="138">
      <c r="A138" s="18" t="n"/>
      <c r="B138" s="18" t="n"/>
      <c r="C138" s="18" t="n"/>
      <c r="D138" s="18" t="n"/>
      <c r="E138" s="18" t="n"/>
      <c r="F138" s="51" t="n"/>
      <c r="G138" s="51" t="n"/>
      <c r="H138" s="51" t="n"/>
      <c r="I138" s="51" t="n"/>
      <c r="J138" s="51">
        <f>IF(OR(F142="",G142=""),"",G142-F142)</f>
        <v/>
      </c>
      <c r="K138" s="18" t="n"/>
      <c r="L138" s="18" t="n"/>
      <c r="M138" s="18" t="n"/>
    </row>
    <row r="139">
      <c r="A139" s="18" t="n"/>
      <c r="B139" s="18" t="n"/>
      <c r="C139" s="18" t="n"/>
      <c r="D139" s="18" t="n"/>
      <c r="E139" s="18" t="n"/>
      <c r="F139" s="51" t="n"/>
      <c r="G139" s="51" t="n"/>
      <c r="H139" s="51" t="n"/>
      <c r="I139" s="51" t="n"/>
      <c r="J139" s="51">
        <f>IF(OR(F143="",G143=""),"",G143-F143)</f>
        <v/>
      </c>
      <c r="K139" s="18" t="n"/>
      <c r="L139" s="18" t="n"/>
      <c r="M139" s="18" t="n"/>
    </row>
    <row r="140">
      <c r="A140" s="18" t="n"/>
      <c r="B140" s="18" t="n"/>
      <c r="C140" s="18" t="n"/>
      <c r="D140" s="18" t="n"/>
      <c r="E140" s="18" t="n"/>
      <c r="F140" s="51" t="n"/>
      <c r="G140" s="51" t="n"/>
      <c r="H140" s="51" t="n"/>
      <c r="I140" s="51" t="n"/>
      <c r="J140" s="51">
        <f>IF(OR(F144="",G144=""),"",G144-F144)</f>
        <v/>
      </c>
      <c r="K140" s="18" t="n"/>
      <c r="L140" s="18" t="n"/>
      <c r="M140" s="18" t="n"/>
    </row>
    <row r="141">
      <c r="A141" s="18" t="n"/>
      <c r="B141" s="18" t="n"/>
      <c r="C141" s="18" t="n"/>
      <c r="D141" s="18" t="n"/>
      <c r="E141" s="18" t="n"/>
      <c r="F141" s="51" t="n"/>
      <c r="G141" s="51" t="n"/>
      <c r="H141" s="51" t="n"/>
      <c r="I141" s="51" t="n"/>
      <c r="J141" s="51">
        <f>IF(OR(F145="",G145=""),"",G145-F145)</f>
        <v/>
      </c>
      <c r="K141" s="18" t="n"/>
      <c r="L141" s="18" t="n"/>
      <c r="M141" s="18" t="n"/>
    </row>
    <row r="142">
      <c r="A142" s="18" t="n"/>
      <c r="B142" s="18" t="n"/>
      <c r="C142" s="18" t="n"/>
      <c r="D142" s="18" t="n"/>
      <c r="E142" s="18" t="n"/>
      <c r="F142" s="51" t="n"/>
      <c r="G142" s="51" t="n"/>
      <c r="H142" s="51" t="n"/>
      <c r="I142" s="51" t="n"/>
      <c r="J142" s="51">
        <f>IF(OR(F146="",G146=""),"",G146-F146)</f>
        <v/>
      </c>
      <c r="K142" s="18" t="n"/>
      <c r="L142" s="18" t="n"/>
      <c r="M142" s="18" t="n"/>
    </row>
    <row r="143">
      <c r="A143" s="18" t="n"/>
      <c r="B143" s="18" t="n"/>
      <c r="C143" s="18" t="n"/>
      <c r="D143" s="18" t="n"/>
      <c r="E143" s="18" t="n"/>
      <c r="F143" s="51" t="n"/>
      <c r="G143" s="51" t="n"/>
      <c r="H143" s="51" t="n"/>
      <c r="I143" s="51" t="n"/>
      <c r="J143" s="51">
        <f>IF(OR(F147="",G147=""),"",G147-F147)</f>
        <v/>
      </c>
      <c r="K143" s="18" t="n"/>
      <c r="L143" s="18" t="n"/>
      <c r="M143" s="18" t="n"/>
    </row>
    <row r="144">
      <c r="A144" s="18" t="n"/>
      <c r="B144" s="18" t="n"/>
      <c r="C144" s="18" t="n"/>
      <c r="D144" s="18" t="n"/>
      <c r="E144" s="18" t="n"/>
      <c r="F144" s="51" t="n"/>
      <c r="G144" s="51" t="n"/>
      <c r="H144" s="51" t="n"/>
      <c r="I144" s="51" t="n"/>
      <c r="J144" s="51">
        <f>IF(OR(F148="",G148=""),"",G148-F148)</f>
        <v/>
      </c>
      <c r="K144" s="18" t="n"/>
      <c r="L144" s="18" t="n"/>
      <c r="M144" s="18" t="n"/>
    </row>
    <row r="145">
      <c r="A145" s="18" t="n"/>
      <c r="B145" s="18" t="n"/>
      <c r="C145" s="18" t="n"/>
      <c r="D145" s="18" t="n"/>
      <c r="E145" s="18" t="n"/>
      <c r="F145" s="51" t="n"/>
      <c r="G145" s="51" t="n"/>
      <c r="H145" s="51" t="n"/>
      <c r="I145" s="51" t="n"/>
      <c r="J145" s="51">
        <f>IF(OR(F149="",G149=""),"",G149-F149)</f>
        <v/>
      </c>
      <c r="K145" s="18" t="n"/>
      <c r="L145" s="18" t="n"/>
      <c r="M145" s="18" t="n"/>
    </row>
    <row r="146">
      <c r="A146" s="18" t="n"/>
      <c r="B146" s="18" t="n"/>
      <c r="C146" s="18" t="n"/>
      <c r="D146" s="18" t="n"/>
      <c r="E146" s="18" t="n"/>
      <c r="F146" s="51" t="n"/>
      <c r="G146" s="51" t="n"/>
      <c r="H146" s="51" t="n"/>
      <c r="I146" s="51" t="n"/>
      <c r="J146" s="51">
        <f>IF(OR(F150="",G150=""),"",G150-F150)</f>
        <v/>
      </c>
      <c r="K146" s="18" t="n"/>
      <c r="L146" s="18" t="n"/>
      <c r="M146" s="18" t="n"/>
    </row>
    <row r="147">
      <c r="A147" s="18" t="n"/>
      <c r="B147" s="18" t="n"/>
      <c r="C147" s="18" t="n"/>
      <c r="D147" s="18" t="n"/>
      <c r="E147" s="18" t="n"/>
      <c r="F147" s="51" t="n"/>
      <c r="G147" s="51" t="n"/>
      <c r="H147" s="51" t="n"/>
      <c r="I147" s="51" t="n"/>
      <c r="J147" s="51">
        <f>IF(OR(F151="",G151=""),"",G151-F151)</f>
        <v/>
      </c>
      <c r="K147" s="18" t="n"/>
      <c r="L147" s="18" t="n"/>
      <c r="M147" s="18" t="n"/>
    </row>
    <row r="148">
      <c r="A148" s="18" t="n"/>
      <c r="B148" s="18" t="n"/>
      <c r="C148" s="18" t="n"/>
      <c r="D148" s="18" t="n"/>
      <c r="E148" s="18" t="n"/>
      <c r="F148" s="51" t="n"/>
      <c r="G148" s="51" t="n"/>
      <c r="H148" s="51" t="n"/>
      <c r="I148" s="51" t="n"/>
      <c r="J148" s="51">
        <f>IF(OR(F152="",G152=""),"",G152-F152)</f>
        <v/>
      </c>
      <c r="K148" s="18" t="n"/>
      <c r="L148" s="18" t="n"/>
      <c r="M148" s="18" t="n"/>
    </row>
    <row r="149">
      <c r="A149" s="18" t="n"/>
      <c r="B149" s="18" t="n"/>
      <c r="C149" s="18" t="n"/>
      <c r="D149" s="18" t="n"/>
      <c r="E149" s="18" t="n"/>
      <c r="F149" s="51" t="n"/>
      <c r="G149" s="51" t="n"/>
      <c r="H149" s="51" t="n"/>
      <c r="I149" s="51" t="n"/>
      <c r="J149" s="51">
        <f>IF(OR(F153="",G153=""),"",G153-F153)</f>
        <v/>
      </c>
      <c r="K149" s="18" t="n"/>
      <c r="L149" s="18" t="n"/>
      <c r="M149" s="18" t="n"/>
    </row>
    <row r="150">
      <c r="A150" s="18" t="n"/>
      <c r="B150" s="18" t="n"/>
      <c r="C150" s="18" t="n"/>
      <c r="D150" s="18" t="n"/>
      <c r="E150" s="18" t="n"/>
      <c r="F150" s="51" t="n"/>
      <c r="G150" s="51" t="n"/>
      <c r="H150" s="51" t="n"/>
      <c r="I150" s="51" t="n"/>
      <c r="J150" s="51">
        <f>IF(OR(F154="",G154=""),"",G154-F154)</f>
        <v/>
      </c>
      <c r="K150" s="18" t="n"/>
      <c r="L150" s="18" t="n"/>
      <c r="M150" s="18" t="n"/>
    </row>
    <row r="151">
      <c r="A151" s="18" t="n"/>
      <c r="B151" s="18" t="n"/>
      <c r="C151" s="18" t="n"/>
      <c r="D151" s="18" t="n"/>
      <c r="E151" s="18" t="n"/>
      <c r="F151" s="51" t="n"/>
      <c r="G151" s="51" t="n"/>
      <c r="H151" s="51" t="n"/>
      <c r="I151" s="51" t="n"/>
      <c r="J151" s="51">
        <f>IF(OR(F155="",G155=""),"",G155-F155)</f>
        <v/>
      </c>
      <c r="K151" s="18" t="n"/>
      <c r="L151" s="18" t="n"/>
      <c r="M151" s="18" t="n"/>
    </row>
    <row r="152">
      <c r="A152" s="18" t="n"/>
      <c r="B152" s="18" t="n"/>
      <c r="C152" s="18" t="n"/>
      <c r="D152" s="18" t="n"/>
      <c r="E152" s="18" t="n"/>
      <c r="F152" s="51" t="n"/>
      <c r="G152" s="51" t="n"/>
      <c r="H152" s="51" t="n"/>
      <c r="I152" s="51" t="n"/>
      <c r="J152" s="51">
        <f>IF(OR(F156="",G156=""),"",G156-F156)</f>
        <v/>
      </c>
      <c r="K152" s="18" t="n"/>
      <c r="L152" s="18" t="n"/>
      <c r="M152" s="18" t="n"/>
    </row>
    <row r="153">
      <c r="A153" s="18" t="n"/>
      <c r="B153" s="18" t="n"/>
      <c r="C153" s="18" t="n"/>
      <c r="D153" s="18" t="n"/>
      <c r="E153" s="18" t="n"/>
      <c r="F153" s="51" t="n"/>
      <c r="G153" s="51" t="n"/>
      <c r="H153" s="51" t="n"/>
      <c r="I153" s="51" t="n"/>
      <c r="J153" s="51">
        <f>IF(OR(F157="",G157=""),"",G157-F157)</f>
        <v/>
      </c>
      <c r="K153" s="18" t="n"/>
      <c r="L153" s="18" t="n"/>
      <c r="M153" s="18" t="n"/>
    </row>
    <row r="154">
      <c r="A154" s="18" t="n"/>
      <c r="B154" s="18" t="n"/>
      <c r="C154" s="18" t="n"/>
      <c r="D154" s="18" t="n"/>
      <c r="E154" s="18" t="n"/>
      <c r="F154" s="51" t="n"/>
      <c r="G154" s="51" t="n"/>
      <c r="H154" s="51" t="n"/>
      <c r="I154" s="51" t="n"/>
      <c r="J154" s="51">
        <f>IF(OR(F158="",G158=""),"",G158-F158)</f>
        <v/>
      </c>
      <c r="K154" s="18" t="n"/>
      <c r="L154" s="18" t="n"/>
      <c r="M154" s="18" t="n"/>
    </row>
    <row r="155">
      <c r="A155" s="18" t="n"/>
      <c r="B155" s="18" t="n"/>
      <c r="C155" s="18" t="n"/>
      <c r="D155" s="18" t="n"/>
      <c r="E155" s="18" t="n"/>
      <c r="F155" s="51" t="n"/>
      <c r="G155" s="51" t="n"/>
      <c r="H155" s="51" t="n"/>
      <c r="I155" s="51" t="n"/>
      <c r="J155" s="51">
        <f>IF(OR(F159="",G159=""),"",G159-F159)</f>
        <v/>
      </c>
      <c r="K155" s="18" t="n"/>
      <c r="L155" s="18" t="n"/>
      <c r="M155" s="18" t="n"/>
    </row>
    <row r="156">
      <c r="A156" s="18" t="n"/>
      <c r="B156" s="18" t="n"/>
      <c r="C156" s="18" t="n"/>
      <c r="D156" s="18" t="n"/>
      <c r="E156" s="18" t="n"/>
      <c r="F156" s="51" t="n"/>
      <c r="G156" s="51" t="n"/>
      <c r="H156" s="51" t="n"/>
      <c r="I156" s="51" t="n"/>
      <c r="J156" s="51">
        <f>IF(OR(F160="",G160=""),"",G160-F160)</f>
        <v/>
      </c>
      <c r="K156" s="18" t="n"/>
      <c r="L156" s="18" t="n"/>
      <c r="M156" s="18" t="n"/>
    </row>
    <row r="157">
      <c r="A157" s="18" t="n"/>
      <c r="B157" s="18" t="n"/>
      <c r="C157" s="18" t="n"/>
      <c r="D157" s="18" t="n"/>
      <c r="E157" s="18" t="n"/>
      <c r="F157" s="51" t="n"/>
      <c r="G157" s="51" t="n"/>
      <c r="H157" s="51" t="n"/>
      <c r="I157" s="51" t="n"/>
      <c r="J157" s="51">
        <f>IF(OR(F161="",G161=""),"",G161-F161)</f>
        <v/>
      </c>
      <c r="K157" s="18" t="n"/>
      <c r="L157" s="18" t="n"/>
      <c r="M157" s="18" t="n"/>
    </row>
    <row r="158">
      <c r="A158" s="18" t="n"/>
      <c r="B158" s="18" t="n"/>
      <c r="C158" s="18" t="n"/>
      <c r="D158" s="18" t="n"/>
      <c r="E158" s="18" t="n"/>
      <c r="F158" s="51" t="n"/>
      <c r="G158" s="51" t="n"/>
      <c r="H158" s="51" t="n"/>
      <c r="I158" s="51" t="n"/>
      <c r="J158" s="51">
        <f>IF(OR(F162="",G162=""),"",G162-F162)</f>
        <v/>
      </c>
      <c r="K158" s="18" t="n"/>
      <c r="L158" s="18" t="n"/>
      <c r="M158" s="18" t="n"/>
    </row>
    <row r="159">
      <c r="A159" s="18" t="n"/>
      <c r="B159" s="18" t="n"/>
      <c r="C159" s="18" t="n"/>
      <c r="D159" s="18" t="n"/>
      <c r="E159" s="18" t="n"/>
      <c r="F159" s="51" t="n"/>
      <c r="G159" s="51" t="n"/>
      <c r="H159" s="51" t="n"/>
      <c r="I159" s="51" t="n"/>
      <c r="J159" s="51">
        <f>IF(OR(F163="",G163=""),"",G163-F163)</f>
        <v/>
      </c>
      <c r="K159" s="18" t="n"/>
      <c r="L159" s="18" t="n"/>
      <c r="M159" s="18" t="n"/>
    </row>
    <row r="160">
      <c r="A160" s="18" t="n"/>
      <c r="B160" s="18" t="n"/>
      <c r="C160" s="18" t="n"/>
      <c r="D160" s="18" t="n"/>
      <c r="E160" s="18" t="n"/>
      <c r="F160" s="51" t="n"/>
      <c r="G160" s="51" t="n"/>
      <c r="H160" s="51" t="n"/>
      <c r="I160" s="51" t="n"/>
      <c r="J160" s="51">
        <f>IF(OR(F164="",G164=""),"",G164-F164)</f>
        <v/>
      </c>
      <c r="K160" s="18" t="n"/>
      <c r="L160" s="18" t="n"/>
      <c r="M160" s="18" t="n"/>
    </row>
    <row r="161">
      <c r="A161" s="18" t="n"/>
      <c r="B161" s="18" t="n"/>
      <c r="C161" s="18" t="n"/>
      <c r="D161" s="18" t="n"/>
      <c r="E161" s="18" t="n"/>
      <c r="F161" s="51" t="n"/>
      <c r="G161" s="51" t="n"/>
      <c r="H161" s="51" t="n"/>
      <c r="I161" s="51" t="n"/>
      <c r="J161" s="51">
        <f>IF(OR(F165="",G165=""),"",G165-F165)</f>
        <v/>
      </c>
      <c r="K161" s="18" t="n"/>
      <c r="L161" s="18" t="n"/>
      <c r="M161" s="18" t="n"/>
    </row>
    <row r="162">
      <c r="A162" s="18" t="n"/>
      <c r="B162" s="18" t="n"/>
      <c r="C162" s="18" t="n"/>
      <c r="D162" s="18" t="n"/>
      <c r="E162" s="18" t="n"/>
      <c r="F162" s="51" t="n"/>
      <c r="G162" s="51" t="n"/>
      <c r="H162" s="51" t="n"/>
      <c r="I162" s="51" t="n"/>
      <c r="J162" s="51">
        <f>IF(OR(F166="",G166=""),"",G166-F166)</f>
        <v/>
      </c>
      <c r="K162" s="18" t="n"/>
      <c r="L162" s="18" t="n"/>
      <c r="M162" s="18" t="n"/>
    </row>
    <row r="163">
      <c r="A163" s="18" t="n"/>
      <c r="B163" s="18" t="n"/>
      <c r="C163" s="18" t="n"/>
      <c r="D163" s="18" t="n"/>
      <c r="E163" s="18" t="n"/>
      <c r="F163" s="51" t="n"/>
      <c r="G163" s="51" t="n"/>
      <c r="H163" s="51" t="n"/>
      <c r="I163" s="51" t="n"/>
      <c r="J163" s="51">
        <f>IF(OR(F167="",G167=""),"",G167-F167)</f>
        <v/>
      </c>
      <c r="K163" s="18" t="n"/>
      <c r="L163" s="18" t="n"/>
      <c r="M163" s="18" t="n"/>
    </row>
    <row r="164">
      <c r="A164" s="18" t="n"/>
      <c r="B164" s="18" t="n"/>
      <c r="C164" s="18" t="n"/>
      <c r="D164" s="18" t="n"/>
      <c r="E164" s="18" t="n"/>
      <c r="F164" s="51" t="n"/>
      <c r="G164" s="51" t="n"/>
      <c r="H164" s="51" t="n"/>
      <c r="I164" s="51" t="n"/>
      <c r="J164" s="51">
        <f>IF(OR(F168="",G168=""),"",G168-F168)</f>
        <v/>
      </c>
      <c r="K164" s="18" t="n"/>
      <c r="L164" s="18" t="n"/>
      <c r="M164" s="18" t="n"/>
    </row>
    <row r="165">
      <c r="A165" s="18" t="n"/>
      <c r="B165" s="18" t="n"/>
      <c r="C165" s="18" t="n"/>
      <c r="D165" s="18" t="n"/>
      <c r="E165" s="18" t="n"/>
      <c r="F165" s="51" t="n"/>
      <c r="G165" s="51" t="n"/>
      <c r="H165" s="51" t="n"/>
      <c r="I165" s="51" t="n"/>
      <c r="J165" s="51">
        <f>IF(OR(F169="",G169=""),"",G169-F169)</f>
        <v/>
      </c>
      <c r="K165" s="18" t="n"/>
      <c r="L165" s="18" t="n"/>
      <c r="M165" s="18" t="n"/>
    </row>
    <row r="166">
      <c r="A166" s="18" t="n"/>
      <c r="B166" s="18" t="n"/>
      <c r="C166" s="18" t="n"/>
      <c r="D166" s="18" t="n"/>
      <c r="E166" s="18" t="n"/>
      <c r="F166" s="51" t="n"/>
      <c r="G166" s="51" t="n"/>
      <c r="H166" s="51" t="n"/>
      <c r="I166" s="51" t="n"/>
      <c r="J166" s="51">
        <f>IF(OR(F170="",G170=""),"",G170-F170)</f>
        <v/>
      </c>
      <c r="K166" s="18" t="n"/>
      <c r="L166" s="18" t="n"/>
      <c r="M166" s="18" t="n"/>
    </row>
    <row r="167">
      <c r="A167" s="18" t="n"/>
      <c r="B167" s="18" t="n"/>
      <c r="C167" s="18" t="n"/>
      <c r="D167" s="18" t="n"/>
      <c r="E167" s="18" t="n"/>
      <c r="F167" s="51" t="n"/>
      <c r="G167" s="51" t="n"/>
      <c r="H167" s="51" t="n"/>
      <c r="I167" s="51" t="n"/>
      <c r="J167" s="51">
        <f>IF(OR(F171="",G171=""),"",G171-F171)</f>
        <v/>
      </c>
      <c r="K167" s="18" t="n"/>
      <c r="L167" s="18" t="n"/>
      <c r="M167" s="18" t="n"/>
    </row>
    <row r="168">
      <c r="A168" s="18" t="n"/>
      <c r="B168" s="18" t="n"/>
      <c r="C168" s="18" t="n"/>
      <c r="D168" s="18" t="n"/>
      <c r="E168" s="18" t="n"/>
      <c r="F168" s="51" t="n"/>
      <c r="G168" s="51" t="n"/>
      <c r="H168" s="51" t="n"/>
      <c r="I168" s="51" t="n"/>
      <c r="J168" s="51">
        <f>IF(OR(F172="",G172=""),"",G172-F172)</f>
        <v/>
      </c>
      <c r="K168" s="18" t="n"/>
      <c r="L168" s="18" t="n"/>
      <c r="M168" s="18" t="n"/>
    </row>
    <row r="169">
      <c r="A169" s="18" t="n"/>
      <c r="B169" s="18" t="n"/>
      <c r="C169" s="18" t="n"/>
      <c r="D169" s="18" t="n"/>
      <c r="E169" s="18" t="n"/>
      <c r="F169" s="51" t="n"/>
      <c r="G169" s="51" t="n"/>
      <c r="H169" s="51" t="n"/>
      <c r="I169" s="51" t="n"/>
      <c r="J169" s="51">
        <f>IF(OR(F173="",G173=""),"",G173-F173)</f>
        <v/>
      </c>
      <c r="K169" s="18" t="n"/>
      <c r="L169" s="18" t="n"/>
      <c r="M169" s="18" t="n"/>
    </row>
    <row r="170">
      <c r="A170" s="18" t="n"/>
      <c r="B170" s="18" t="n"/>
      <c r="C170" s="18" t="n"/>
      <c r="D170" s="18" t="n"/>
      <c r="E170" s="18" t="n"/>
      <c r="F170" s="51" t="n"/>
      <c r="G170" s="51" t="n"/>
      <c r="H170" s="51" t="n"/>
      <c r="I170" s="51" t="n"/>
      <c r="J170" s="51">
        <f>IF(OR(F174="",G174=""),"",G174-F174)</f>
        <v/>
      </c>
      <c r="K170" s="18" t="n"/>
      <c r="L170" s="18" t="n"/>
      <c r="M170" s="18" t="n"/>
    </row>
    <row r="171">
      <c r="A171" s="18" t="n"/>
      <c r="B171" s="18" t="n"/>
      <c r="C171" s="18" t="n"/>
      <c r="D171" s="18" t="n"/>
      <c r="E171" s="18" t="n"/>
      <c r="F171" s="51" t="n"/>
      <c r="G171" s="51" t="n"/>
      <c r="H171" s="51" t="n"/>
      <c r="I171" s="51" t="n"/>
      <c r="J171" s="51">
        <f>IF(OR(F175="",G175=""),"",G175-F175)</f>
        <v/>
      </c>
      <c r="K171" s="18" t="n"/>
      <c r="L171" s="18" t="n"/>
      <c r="M171" s="18" t="n"/>
    </row>
    <row r="172">
      <c r="A172" s="18" t="n"/>
      <c r="B172" s="18" t="n"/>
      <c r="C172" s="18" t="n"/>
      <c r="D172" s="18" t="n"/>
      <c r="E172" s="18" t="n"/>
      <c r="F172" s="51" t="n"/>
      <c r="G172" s="51" t="n"/>
      <c r="H172" s="51" t="n"/>
      <c r="I172" s="51" t="n"/>
      <c r="J172" s="51">
        <f>IF(OR(F176="",G176=""),"",G176-F176)</f>
        <v/>
      </c>
      <c r="K172" s="18" t="n"/>
      <c r="L172" s="18" t="n"/>
      <c r="M172" s="18" t="n"/>
    </row>
    <row r="173">
      <c r="A173" s="18" t="n"/>
      <c r="B173" s="18" t="n"/>
      <c r="C173" s="18" t="n"/>
      <c r="D173" s="18" t="n"/>
      <c r="E173" s="18" t="n"/>
      <c r="F173" s="51" t="n"/>
      <c r="G173" s="51" t="n"/>
      <c r="H173" s="51" t="n"/>
      <c r="I173" s="51" t="n"/>
      <c r="J173" s="51">
        <f>IF(OR(F177="",G177=""),"",G177-F177)</f>
        <v/>
      </c>
      <c r="K173" s="18" t="n"/>
      <c r="L173" s="18" t="n"/>
      <c r="M173" s="18" t="n"/>
    </row>
    <row r="174">
      <c r="A174" s="18" t="n"/>
      <c r="B174" s="18" t="n"/>
      <c r="C174" s="18" t="n"/>
      <c r="D174" s="18" t="n"/>
      <c r="E174" s="18" t="n"/>
      <c r="F174" s="51" t="n"/>
      <c r="G174" s="51" t="n"/>
      <c r="H174" s="51" t="n"/>
      <c r="I174" s="51" t="n"/>
      <c r="J174" s="51">
        <f>IF(OR(F178="",G178=""),"",G178-F178)</f>
        <v/>
      </c>
      <c r="K174" s="18" t="n"/>
      <c r="L174" s="18" t="n"/>
      <c r="M174" s="18" t="n"/>
    </row>
    <row r="175">
      <c r="A175" s="18" t="n"/>
      <c r="B175" s="18" t="n"/>
      <c r="C175" s="18" t="n"/>
      <c r="D175" s="18" t="n"/>
      <c r="E175" s="18" t="n"/>
      <c r="F175" s="51" t="n"/>
      <c r="G175" s="51" t="n"/>
      <c r="H175" s="51" t="n"/>
      <c r="I175" s="51" t="n"/>
      <c r="J175" s="51">
        <f>IF(OR(F179="",G179=""),"",G179-F179)</f>
        <v/>
      </c>
      <c r="K175" s="18" t="n"/>
      <c r="L175" s="18" t="n"/>
      <c r="M175" s="18" t="n"/>
    </row>
    <row r="176">
      <c r="A176" s="18" t="n"/>
      <c r="B176" s="18" t="n"/>
      <c r="C176" s="18" t="n"/>
      <c r="D176" s="18" t="n"/>
      <c r="E176" s="18" t="n"/>
      <c r="F176" s="51" t="n"/>
      <c r="G176" s="51" t="n"/>
      <c r="H176" s="51" t="n"/>
      <c r="I176" s="51" t="n"/>
      <c r="J176" s="51">
        <f>IF(OR(F180="",G180=""),"",G180-F180)</f>
        <v/>
      </c>
      <c r="K176" s="18" t="n"/>
      <c r="L176" s="18" t="n"/>
      <c r="M176" s="18" t="n"/>
    </row>
    <row r="177">
      <c r="A177" s="18" t="n"/>
      <c r="B177" s="18" t="n"/>
      <c r="C177" s="18" t="n"/>
      <c r="D177" s="18" t="n"/>
      <c r="E177" s="18" t="n"/>
      <c r="F177" s="51" t="n"/>
      <c r="G177" s="51" t="n"/>
      <c r="H177" s="51" t="n"/>
      <c r="I177" s="51" t="n"/>
      <c r="J177" s="51">
        <f>IF(OR(F181="",G181=""),"",G181-F181)</f>
        <v/>
      </c>
      <c r="K177" s="18" t="n"/>
      <c r="L177" s="18" t="n"/>
      <c r="M177" s="18" t="n"/>
    </row>
    <row r="178">
      <c r="A178" s="18" t="n"/>
      <c r="B178" s="18" t="n"/>
      <c r="C178" s="18" t="n"/>
      <c r="D178" s="18" t="n"/>
      <c r="E178" s="18" t="n"/>
      <c r="F178" s="51" t="n"/>
      <c r="G178" s="51" t="n"/>
      <c r="H178" s="51" t="n"/>
      <c r="I178" s="51" t="n"/>
      <c r="J178" s="51">
        <f>IF(OR(F182="",G182=""),"",G182-F182)</f>
        <v/>
      </c>
      <c r="K178" s="18" t="n"/>
      <c r="L178" s="18" t="n"/>
      <c r="M178" s="18" t="n"/>
    </row>
    <row r="179">
      <c r="A179" s="18" t="n"/>
      <c r="B179" s="18" t="n"/>
      <c r="C179" s="18" t="n"/>
      <c r="D179" s="18" t="n"/>
      <c r="E179" s="18" t="n"/>
      <c r="F179" s="51" t="n"/>
      <c r="G179" s="51" t="n"/>
      <c r="H179" s="51" t="n"/>
      <c r="I179" s="51" t="n"/>
      <c r="J179" s="51">
        <f>IF(OR(F183="",G183=""),"",G183-F183)</f>
        <v/>
      </c>
      <c r="K179" s="18" t="n"/>
      <c r="L179" s="18" t="n"/>
      <c r="M179" s="18" t="n"/>
    </row>
    <row r="180">
      <c r="A180" s="18" t="n"/>
      <c r="B180" s="18" t="n"/>
      <c r="C180" s="18" t="n"/>
      <c r="D180" s="18" t="n"/>
      <c r="E180" s="18" t="n"/>
      <c r="F180" s="51" t="n"/>
      <c r="G180" s="51" t="n"/>
      <c r="H180" s="51" t="n"/>
      <c r="I180" s="51" t="n"/>
      <c r="J180" s="51">
        <f>IF(OR(F184="",G184=""),"",G184-F184)</f>
        <v/>
      </c>
      <c r="K180" s="18" t="n"/>
      <c r="L180" s="18" t="n"/>
      <c r="M180" s="18" t="n"/>
    </row>
    <row r="181">
      <c r="A181" s="18" t="n"/>
      <c r="B181" s="18" t="n"/>
      <c r="C181" s="18" t="n"/>
      <c r="D181" s="18" t="n"/>
      <c r="E181" s="18" t="n"/>
      <c r="F181" s="51" t="n"/>
      <c r="G181" s="51" t="n"/>
      <c r="H181" s="51" t="n"/>
      <c r="I181" s="51" t="n"/>
      <c r="J181" s="51">
        <f>IF(OR(F185="",G185=""),"",G185-F185)</f>
        <v/>
      </c>
      <c r="K181" s="18" t="n"/>
      <c r="L181" s="18" t="n"/>
      <c r="M181" s="18" t="n"/>
    </row>
    <row r="182">
      <c r="A182" s="18" t="n"/>
      <c r="B182" s="18" t="n"/>
      <c r="C182" s="18" t="n"/>
      <c r="D182" s="18" t="n"/>
      <c r="E182" s="18" t="n"/>
      <c r="F182" s="51" t="n"/>
      <c r="G182" s="51" t="n"/>
      <c r="H182" s="51" t="n"/>
      <c r="I182" s="51" t="n"/>
      <c r="J182" s="51">
        <f>IF(OR(F186="",G186=""),"",G186-F186)</f>
        <v/>
      </c>
      <c r="K182" s="18" t="n"/>
      <c r="L182" s="18" t="n"/>
      <c r="M182" s="18" t="n"/>
    </row>
    <row r="183">
      <c r="A183" s="18" t="n"/>
      <c r="B183" s="18" t="n"/>
      <c r="C183" s="18" t="n"/>
      <c r="D183" s="18" t="n"/>
      <c r="E183" s="18" t="n"/>
      <c r="F183" s="51" t="n"/>
      <c r="G183" s="51" t="n"/>
      <c r="H183" s="51" t="n"/>
      <c r="I183" s="51" t="n"/>
      <c r="J183" s="51">
        <f>IF(OR(F187="",G187=""),"",G187-F187)</f>
        <v/>
      </c>
      <c r="K183" s="18" t="n"/>
      <c r="L183" s="18" t="n"/>
      <c r="M183" s="18" t="n"/>
    </row>
    <row r="184">
      <c r="A184" s="18" t="n"/>
      <c r="B184" s="18" t="n"/>
      <c r="C184" s="18" t="n"/>
      <c r="D184" s="18" t="n"/>
      <c r="E184" s="18" t="n"/>
      <c r="F184" s="51" t="n"/>
      <c r="G184" s="51" t="n"/>
      <c r="H184" s="51" t="n"/>
      <c r="I184" s="51" t="n"/>
      <c r="J184" s="51">
        <f>IF(OR(F188="",G188=""),"",G188-F188)</f>
        <v/>
      </c>
      <c r="K184" s="18" t="n"/>
      <c r="L184" s="18" t="n"/>
      <c r="M184" s="18" t="n"/>
    </row>
    <row r="185">
      <c r="A185" s="18" t="n"/>
      <c r="B185" s="18" t="n"/>
      <c r="C185" s="18" t="n"/>
      <c r="D185" s="18" t="n"/>
      <c r="E185" s="18" t="n"/>
      <c r="F185" s="51" t="n"/>
      <c r="G185" s="51" t="n"/>
      <c r="H185" s="51" t="n"/>
      <c r="I185" s="51" t="n"/>
      <c r="J185" s="51">
        <f>IF(OR(F189="",G189=""),"",G189-F189)</f>
        <v/>
      </c>
      <c r="K185" s="18" t="n"/>
      <c r="L185" s="18" t="n"/>
      <c r="M185" s="18" t="n"/>
    </row>
    <row r="186">
      <c r="A186" s="18" t="n"/>
      <c r="B186" s="18" t="n"/>
      <c r="C186" s="18" t="n"/>
      <c r="D186" s="18" t="n"/>
      <c r="E186" s="18" t="n"/>
      <c r="F186" s="51" t="n"/>
      <c r="G186" s="51" t="n"/>
      <c r="H186" s="51" t="n"/>
      <c r="I186" s="51" t="n"/>
      <c r="J186" s="51">
        <f>IF(OR(F190="",G190=""),"",G190-F190)</f>
        <v/>
      </c>
      <c r="K186" s="18" t="n"/>
      <c r="L186" s="18" t="n"/>
      <c r="M186" s="18" t="n"/>
    </row>
    <row r="187">
      <c r="A187" s="18" t="n"/>
      <c r="B187" s="18" t="n"/>
      <c r="C187" s="18" t="n"/>
      <c r="D187" s="18" t="n"/>
      <c r="E187" s="18" t="n"/>
      <c r="F187" s="51" t="n"/>
      <c r="G187" s="51" t="n"/>
      <c r="H187" s="51" t="n"/>
      <c r="I187" s="51" t="n"/>
      <c r="J187" s="51">
        <f>IF(OR(F191="",G191=""),"",G191-F191)</f>
        <v/>
      </c>
      <c r="K187" s="18" t="n"/>
      <c r="L187" s="18" t="n"/>
      <c r="M187" s="18" t="n"/>
    </row>
    <row r="188">
      <c r="A188" s="18" t="n"/>
      <c r="B188" s="18" t="n"/>
      <c r="C188" s="18" t="n"/>
      <c r="D188" s="18" t="n"/>
      <c r="E188" s="18" t="n"/>
      <c r="F188" s="51" t="n"/>
      <c r="G188" s="51" t="n"/>
      <c r="H188" s="51" t="n"/>
      <c r="I188" s="51" t="n"/>
      <c r="J188" s="51">
        <f>IF(OR(F192="",G192=""),"",G192-F192)</f>
        <v/>
      </c>
      <c r="K188" s="18" t="n"/>
      <c r="L188" s="18" t="n"/>
      <c r="M188" s="18" t="n"/>
    </row>
    <row r="189">
      <c r="A189" s="18" t="n"/>
      <c r="B189" s="18" t="n"/>
      <c r="C189" s="18" t="n"/>
      <c r="D189" s="18" t="n"/>
      <c r="E189" s="18" t="n"/>
      <c r="F189" s="51" t="n"/>
      <c r="G189" s="51" t="n"/>
      <c r="H189" s="51" t="n"/>
      <c r="I189" s="51" t="n"/>
      <c r="J189" s="51">
        <f>IF(OR(F193="",G193=""),"",G193-F193)</f>
        <v/>
      </c>
      <c r="K189" s="18" t="n"/>
      <c r="L189" s="18" t="n"/>
      <c r="M189" s="18" t="n"/>
    </row>
    <row r="190">
      <c r="A190" s="18" t="n"/>
      <c r="B190" s="18" t="n"/>
      <c r="C190" s="18" t="n"/>
      <c r="D190" s="18" t="n"/>
      <c r="E190" s="18" t="n"/>
      <c r="F190" s="51" t="n"/>
      <c r="G190" s="51" t="n"/>
      <c r="H190" s="51" t="n"/>
      <c r="I190" s="51" t="n"/>
      <c r="J190" s="51">
        <f>IF(OR(F194="",G194=""),"",G194-F194)</f>
        <v/>
      </c>
      <c r="K190" s="18" t="n"/>
      <c r="L190" s="18" t="n"/>
      <c r="M190" s="18" t="n"/>
    </row>
    <row r="191">
      <c r="A191" s="18" t="n"/>
      <c r="B191" s="18" t="n"/>
      <c r="C191" s="18" t="n"/>
      <c r="D191" s="18" t="n"/>
      <c r="E191" s="18" t="n"/>
      <c r="F191" s="51" t="n"/>
      <c r="G191" s="51" t="n"/>
      <c r="H191" s="51" t="n"/>
      <c r="I191" s="51" t="n"/>
      <c r="J191" s="51">
        <f>IF(OR(F195="",G195=""),"",G195-F195)</f>
        <v/>
      </c>
      <c r="K191" s="18" t="n"/>
      <c r="L191" s="18" t="n"/>
      <c r="M191" s="18" t="n"/>
    </row>
    <row r="192">
      <c r="A192" s="18" t="n"/>
      <c r="B192" s="18" t="n"/>
      <c r="C192" s="18" t="n"/>
      <c r="D192" s="18" t="n"/>
      <c r="E192" s="18" t="n"/>
      <c r="F192" s="51" t="n"/>
      <c r="G192" s="51" t="n"/>
      <c r="H192" s="51" t="n"/>
      <c r="I192" s="51" t="n"/>
      <c r="J192" s="51">
        <f>IF(OR(F196="",G196=""),"",G196-F196)</f>
        <v/>
      </c>
      <c r="K192" s="18" t="n"/>
      <c r="L192" s="18" t="n"/>
      <c r="M192" s="18" t="n"/>
    </row>
    <row r="193">
      <c r="A193" s="18" t="n"/>
      <c r="B193" s="18" t="n"/>
      <c r="C193" s="18" t="n"/>
      <c r="D193" s="18" t="n"/>
      <c r="E193" s="18" t="n"/>
      <c r="F193" s="51" t="n"/>
      <c r="G193" s="51" t="n"/>
      <c r="H193" s="51" t="n"/>
      <c r="I193" s="51" t="n"/>
      <c r="J193" s="51">
        <f>IF(OR(F197="",G197=""),"",G197-F197)</f>
        <v/>
      </c>
      <c r="K193" s="18" t="n"/>
      <c r="L193" s="18" t="n"/>
      <c r="M193" s="18" t="n"/>
    </row>
    <row r="194">
      <c r="A194" s="18" t="n"/>
      <c r="B194" s="18" t="n"/>
      <c r="C194" s="18" t="n"/>
      <c r="D194" s="18" t="n"/>
      <c r="E194" s="18" t="n"/>
      <c r="F194" s="51" t="n"/>
      <c r="G194" s="51" t="n"/>
      <c r="H194" s="51" t="n"/>
      <c r="I194" s="51" t="n"/>
      <c r="J194" s="51">
        <f>IF(OR(F198="",G198=""),"",G198-F198)</f>
        <v/>
      </c>
      <c r="K194" s="18" t="n"/>
      <c r="L194" s="18" t="n"/>
      <c r="M194" s="18" t="n"/>
    </row>
    <row r="195">
      <c r="A195" s="18" t="n"/>
      <c r="B195" s="18" t="n"/>
      <c r="C195" s="18" t="n"/>
      <c r="D195" s="18" t="n"/>
      <c r="E195" s="18" t="n"/>
      <c r="F195" s="51" t="n"/>
      <c r="G195" s="51" t="n"/>
      <c r="H195" s="51" t="n"/>
      <c r="I195" s="51" t="n"/>
      <c r="J195" s="51">
        <f>IF(OR(F199="",G199=""),"",G199-F199)</f>
        <v/>
      </c>
      <c r="K195" s="18" t="n"/>
      <c r="L195" s="18" t="n"/>
      <c r="M195" s="18" t="n"/>
    </row>
    <row r="196">
      <c r="A196" s="18" t="n"/>
      <c r="B196" s="18" t="n"/>
      <c r="C196" s="18" t="n"/>
      <c r="D196" s="18" t="n"/>
      <c r="E196" s="18" t="n"/>
      <c r="F196" s="51" t="n"/>
      <c r="G196" s="51" t="n"/>
      <c r="H196" s="51" t="n"/>
      <c r="I196" s="51" t="n"/>
      <c r="J196" s="51">
        <f>IF(OR(F200="",G200=""),"",G200-F200)</f>
        <v/>
      </c>
      <c r="K196" s="18" t="n"/>
      <c r="L196" s="18" t="n"/>
      <c r="M196" s="18" t="n"/>
    </row>
    <row r="197">
      <c r="A197" s="18" t="n"/>
      <c r="B197" s="18" t="n"/>
      <c r="C197" s="18" t="n"/>
      <c r="D197" s="18" t="n"/>
      <c r="E197" s="18" t="n"/>
      <c r="F197" s="51" t="n"/>
      <c r="G197" s="51" t="n"/>
      <c r="H197" s="51" t="n"/>
      <c r="I197" s="51" t="n"/>
      <c r="J197" s="51">
        <f>IF(OR(F201="",G201=""),"",G201-F201)</f>
        <v/>
      </c>
      <c r="K197" s="18" t="n"/>
      <c r="L197" s="18" t="n"/>
      <c r="M197" s="18" t="n"/>
    </row>
    <row r="198">
      <c r="A198" s="18" t="n"/>
      <c r="B198" s="18" t="n"/>
      <c r="C198" s="18" t="n"/>
      <c r="D198" s="18" t="n"/>
      <c r="E198" s="18" t="n"/>
      <c r="F198" s="51" t="n"/>
      <c r="G198" s="51" t="n"/>
      <c r="H198" s="51" t="n"/>
      <c r="I198" s="51" t="n"/>
      <c r="J198" s="51">
        <f>IF(OR(F202="",G202=""),"",G202-F202)</f>
        <v/>
      </c>
      <c r="K198" s="18" t="n"/>
      <c r="L198" s="18" t="n"/>
      <c r="M198" s="18" t="n"/>
    </row>
    <row r="199">
      <c r="A199" s="18" t="n"/>
      <c r="B199" s="18" t="n"/>
      <c r="C199" s="18" t="n"/>
      <c r="D199" s="18" t="n"/>
      <c r="E199" s="18" t="n"/>
      <c r="F199" s="51" t="n"/>
      <c r="G199" s="51" t="n"/>
      <c r="H199" s="51" t="n"/>
      <c r="I199" s="51" t="n"/>
      <c r="J199" s="51">
        <f>IF(OR(F203="",G203=""),"",G203-F203)</f>
        <v/>
      </c>
      <c r="K199" s="18" t="n"/>
      <c r="L199" s="18" t="n"/>
      <c r="M199" s="18" t="n"/>
    </row>
    <row r="200">
      <c r="A200" s="18" t="n"/>
      <c r="B200" s="18" t="n"/>
      <c r="C200" s="18" t="n"/>
      <c r="D200" s="18" t="n"/>
      <c r="E200" s="18" t="n"/>
      <c r="F200" s="51" t="n"/>
      <c r="G200" s="51" t="n"/>
      <c r="H200" s="51" t="n"/>
      <c r="I200" s="51" t="n"/>
      <c r="J200" s="51">
        <f>IF(OR(F204="",G204=""),"",G204-F204)</f>
        <v/>
      </c>
      <c r="K200" s="18" t="n"/>
      <c r="L200" s="18" t="n"/>
      <c r="M200" s="18" t="n"/>
    </row>
  </sheetData>
  <conditionalFormatting sqref="K5:K204">
    <cfRule type="containsText" priority="1" operator="containsText" dxfId="0" text="BLOCKED"/>
    <cfRule type="containsText" priority="2" operator="containsText" dxfId="1" text="REVIEW"/>
  </conditionalFormatting>
  <dataValidations count="2">
    <dataValidation sqref="B5:B204" showDropDown="0" showInputMessage="0" showErrorMessage="0" allowBlank="0" type="list">
      <formula1>"公式版本,代表值,单位,质量平衡,能量汇总,方向符号,内部流,循环,边界/功能单位,重复计算,CLCA分配排除"</formula1>
    </dataValidation>
    <dataValidation sqref="K5:K204" showDropDown="0" showInputMessage="0" showErrorMessage="0" allowBlank="0" type="list">
      <formula1>"PASS,PASS_WITH_NOTE,REVIEW,BLOCKED,NOT_APPLICABLE"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02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42" customWidth="1" min="4" max="4"/>
    <col width="36" customWidth="1" min="5" max="5"/>
    <col width="34" customWidth="1" min="6" max="6"/>
    <col width="38" customWidth="1" min="7" max="7"/>
    <col width="38" customWidth="1" min="8" max="8"/>
    <col width="18" customWidth="1" min="9" max="9"/>
    <col width="26" customWidth="1" min="10" max="10"/>
    <col width="16" customWidth="1" min="11" max="11"/>
    <col width="34" customWidth="1" min="12" max="12"/>
    <col width="18" customWidth="1" min="13" max="13"/>
    <col width="18" customWidth="1" min="14" max="14"/>
    <col width="22" customWidth="1" min="15" max="15"/>
  </cols>
  <sheetData>
    <row r="1" ht="24" customHeight="1">
      <c r="A1" s="1" t="inlineStr">
        <is>
          <t>问题与决策</t>
        </is>
      </c>
    </row>
    <row r="2" ht="24" customHeight="1">
      <c r="A2" s="2" t="inlineStr">
        <is>
          <t>保留来源差异、影响、候选处理和用户决定；实际改变要写回事实表。</t>
        </is>
      </c>
    </row>
    <row r="4" ht="28" customHeight="1">
      <c r="A4" s="14" t="inlineStr">
        <is>
          <t>问题ID</t>
        </is>
      </c>
      <c r="B4" s="15" t="inlineStr">
        <is>
          <t>对象类型</t>
        </is>
      </c>
      <c r="C4" s="15" t="inlineStr">
        <is>
          <t>对象ID</t>
        </is>
      </c>
      <c r="D4" s="15" t="inlineStr">
        <is>
          <t>问题描述</t>
        </is>
      </c>
      <c r="E4" s="15" t="inlineStr">
        <is>
          <t>证据/来源</t>
        </is>
      </c>
      <c r="F4" s="15" t="inlineStr">
        <is>
          <t>影响</t>
        </is>
      </c>
      <c r="G4" s="15" t="inlineStr">
        <is>
          <t>候选处理</t>
        </is>
      </c>
      <c r="H4" s="15" t="inlineStr">
        <is>
          <t>用户决定</t>
        </is>
      </c>
      <c r="I4" s="15" t="inlineStr">
        <is>
          <t>状态</t>
        </is>
      </c>
      <c r="J4" s="15" t="inlineStr">
        <is>
          <t>执行位置</t>
        </is>
      </c>
      <c r="K4" s="15" t="inlineStr">
        <is>
          <t>更新日期</t>
        </is>
      </c>
      <c r="L4" s="16" t="inlineStr">
        <is>
          <t>备注</t>
        </is>
      </c>
      <c r="M4" s="42" t="inlineStr">
        <is>
          <t>是否阻断冻结</t>
        </is>
      </c>
      <c r="N4" s="42" t="inlineStr">
        <is>
          <t>确认日期</t>
        </is>
      </c>
      <c r="O4" s="49" t="inlineStr">
        <is>
          <t>归属操作ID</t>
        </is>
      </c>
    </row>
    <row r="5">
      <c r="A5" s="18" t="inlineStr">
        <is>
          <t>Q-01</t>
        </is>
      </c>
      <c r="B5" s="18" t="inlineStr">
        <is>
          <t>过程</t>
        </is>
      </c>
      <c r="C5" s="18" t="inlineStr">
        <is>
          <t>PR02</t>
        </is>
      </c>
      <c r="D5" s="18" t="inlineStr">
        <is>
          <t>奶脂分离步骤质量不平衡：出料593,958 kg/j &lt; 入料600,490 kg/j（-6,532 kg/j，-1.09%），源数据未报告损失</t>
        </is>
      </c>
      <c r="E5" s="18" t="inlineStr">
        <is>
          <t>SRC-PDF p1 步骤2框；CH-01</t>
        </is>
      </c>
      <c r="F5" s="18" t="inlineStr">
        <is>
          <t>链级质量平衡基准偏差1.09%</t>
        </is>
      </c>
      <c r="G5" s="18" t="inlineStr">
        <is>
          <t>保留原文值，登记不平衡，不自行补差</t>
        </is>
      </c>
      <c r="H5" s="18" t="inlineStr">
        <is>
          <t>原始版体积平衡闭合（583=525+58）；质量差为衍生版密度口径差，不再作为源数据缺陷；v2以SRC-RAW体积为权威基准</t>
        </is>
      </c>
      <c r="I5" s="18" t="inlineStr">
        <is>
          <t>已解决</t>
        </is>
      </c>
      <c r="J5" s="18" t="inlineStr">
        <is>
          <t>核算检查CH-01</t>
        </is>
      </c>
      <c r="K5" s="18" t="inlineStr">
        <is>
          <t>2026-09-27</t>
        </is>
      </c>
      <c r="L5" s="18" t="inlineStr"/>
      <c r="M5" t="inlineStr">
        <is>
          <t>否</t>
        </is>
      </c>
      <c r="O5" t="inlineStr">
        <is>
          <t>PR02</t>
        </is>
      </c>
    </row>
    <row r="6">
      <c r="A6" s="18" t="inlineStr">
        <is>
          <t>Q-02</t>
        </is>
      </c>
      <c r="B6" s="18" t="inlineStr">
        <is>
          <t>参数</t>
        </is>
      </c>
      <c r="C6" s="18" t="inlineStr">
        <is>
          <t>PA-PRICE-LAC</t>
        </is>
      </c>
      <c r="D6" s="18" t="inlineStr">
        <is>
          <t>两处revenue无法复现：浓缩乳糖128 €/j vs 价×量135,173 €/j；产品1 22,186 vs 21,298.5 €/j</t>
        </is>
      </c>
      <c r="E6" s="18" t="inlineStr">
        <is>
          <t>SRC-PDF p1；CH-10/CH-11</t>
        </is>
      </c>
      <c r="F6" s="18" t="inlineStr">
        <is>
          <t>不影响分配因子（AF直接给出）；影响经济核算展示</t>
        </is>
      </c>
      <c r="G6" s="18" t="inlineStr">
        <is>
          <t>保留报告值并标注不可复现</t>
        </is>
      </c>
      <c r="H6" s="18" t="inlineStr">
        <is>
          <t>用户决定（2026-09-28）：不做经济分配，revenue数字不复算不影响清单；登记关闭</t>
        </is>
      </c>
      <c r="I6" s="18" t="inlineStr">
        <is>
          <t>已解决</t>
        </is>
      </c>
      <c r="J6" s="18" t="inlineStr">
        <is>
          <t>核算检查CH-10/CH-11</t>
        </is>
      </c>
      <c r="K6" s="18" t="inlineStr">
        <is>
          <t>2026-09-27</t>
        </is>
      </c>
      <c r="L6" s="18" t="inlineStr"/>
      <c r="M6" t="inlineStr">
        <is>
          <t>否</t>
        </is>
      </c>
      <c r="O6" t="inlineStr">
        <is>
          <t>PR11</t>
        </is>
      </c>
    </row>
    <row r="7">
      <c r="A7" s="18" t="inlineStr">
        <is>
          <t>Q-03</t>
        </is>
      </c>
      <c r="B7" s="18" t="inlineStr">
        <is>
          <t>过程</t>
        </is>
      </c>
      <c r="C7" s="18" t="inlineStr">
        <is>
          <t>PR05</t>
        </is>
      </c>
      <c r="D7" s="18" t="inlineStr">
        <is>
          <t>MF1出料比入料多700 kg/j（+0.13%）</t>
        </is>
      </c>
      <c r="E7" s="18" t="inlineStr">
        <is>
          <t>SRC-PDF p1 步骤5框；CH-02</t>
        </is>
      </c>
      <c r="F7" s="18" t="inlineStr">
        <is>
          <t>质量平衡基准</t>
        </is>
      </c>
      <c r="G7" s="18" t="inlineStr">
        <is>
          <t>保留原文值，登记偏差</t>
        </is>
      </c>
      <c r="H7" s="18" t="inlineStr">
        <is>
          <t>原始版体积闭合（175+350=525）；衍生版质量差登记为口径差</t>
        </is>
      </c>
      <c r="I7" s="18" t="inlineStr">
        <is>
          <t>已解决</t>
        </is>
      </c>
      <c r="J7" s="18" t="inlineStr">
        <is>
          <t>核算检查CH-02</t>
        </is>
      </c>
      <c r="K7" s="18" t="inlineStr">
        <is>
          <t>2026-09-27</t>
        </is>
      </c>
      <c r="L7" s="18" t="inlineStr"/>
      <c r="M7" t="inlineStr">
        <is>
          <t>否</t>
        </is>
      </c>
      <c r="O7" t="inlineStr">
        <is>
          <t>PR05</t>
        </is>
      </c>
    </row>
    <row r="8">
      <c r="A8" s="18" t="inlineStr">
        <is>
          <t>Q-06</t>
        </is>
      </c>
      <c r="B8" s="18" t="inlineStr">
        <is>
          <t>过程</t>
        </is>
      </c>
      <c r="C8" s="18" t="inlineStr">
        <is>
          <t>PR08</t>
        </is>
      </c>
      <c r="D8" s="18" t="inlineStr">
        <is>
          <t>UF10蛋白不平衡：入2,093.9 kg蛋白/j，出1,368.5 kg/j（渗透液蛋白标0），34.6%蛋白去向未报告</t>
        </is>
      </c>
      <c r="E8" s="18" t="inlineStr">
        <is>
          <t>SRC-PDF p1 步骤8框；CH-08</t>
        </is>
      </c>
      <c r="F8" s="18" t="inlineStr">
        <is>
          <t>蛋白回收率解释；影响产品蛋白纯度来源可信度</t>
        </is>
      </c>
      <c r="G8" s="18" t="inlineStr">
        <is>
          <t>保留原文值，登记缺口</t>
        </is>
      </c>
      <c r="H8" s="18" t="inlineStr">
        <is>
          <t>口径已明确（2026-09-28用户指示）：原文基线=体积守恒（8_UF1: 350+63=11.7+401.3 ✓），原文不做组分守恒；所谓蛋白34.6%差系衍生版密度×组成%换算引入，非原文数据问题。衍生版组成参数已全部降级为不采用（仅参考）。关闭</t>
        </is>
      </c>
      <c r="I8" s="18" t="inlineStr">
        <is>
          <t>已解决</t>
        </is>
      </c>
      <c r="J8" s="18" t="inlineStr">
        <is>
          <t>核算检查CH-08</t>
        </is>
      </c>
      <c r="K8" s="18" t="inlineStr">
        <is>
          <t>2026-09-27</t>
        </is>
      </c>
      <c r="L8" s="18" t="inlineStr"/>
      <c r="M8" t="inlineStr">
        <is>
          <t>否</t>
        </is>
      </c>
      <c r="O8" t="inlineStr">
        <is>
          <t>PR08</t>
        </is>
      </c>
    </row>
    <row r="9">
      <c r="A9" s="18" t="inlineStr">
        <is>
          <t>Q-07</t>
        </is>
      </c>
      <c r="B9" s="18" t="inlineStr">
        <is>
          <t>方法</t>
        </is>
      </c>
      <c r="C9" s="18" t="inlineStr">
        <is>
          <t>ALL</t>
        </is>
      </c>
      <c r="D9" s="18" t="inlineStr">
        <is>
          <t>目标研究ALCA分配规则选择：mass / dry matter / protein / economic 四套因子均已入库，采用哪套（或并存敏感性）待用户决定；功能单位换算至每kg产品亦依赖此决定</t>
        </is>
      </c>
      <c r="E9" s="18" t="inlineStr">
        <is>
          <t>SRC-XLSX allocation_tables；项目说明</t>
        </is>
      </c>
      <c r="F9" s="18" t="inlineStr">
        <is>
          <t>负担分配与每kg产品清单</t>
        </is>
      </c>
      <c r="G9" s="18" t="inlineStr">
        <is>
          <t>候选全部保留；不替用户选择</t>
        </is>
      </c>
      <c r="H9" s="18" t="inlineStr">
        <is>
          <t>用户决定（2026-09-27）：不分配、不替代、不做LCIA；交付全产品系统清单（主产品/联产品/废水并列输出）；建模模式attributional；四套ALCA分配因子（mass/dry matter/protein/economic）保留在候选数据但不采用【2026-09-29 由 Q-19 取代：课题更正为 CLCA，四套 AF 仅作对照留档】</t>
        </is>
      </c>
      <c r="I9" s="18" t="inlineStr">
        <is>
          <t>已解决</t>
        </is>
      </c>
      <c r="J9" s="18" t="inlineStr">
        <is>
          <t>项目说明/模型参数PA-AF-*</t>
        </is>
      </c>
      <c r="K9" s="18" t="inlineStr">
        <is>
          <t>2026-09-27</t>
        </is>
      </c>
      <c r="L9" s="18" t="inlineStr"/>
      <c r="M9" t="inlineStr">
        <is>
          <t>否</t>
        </is>
      </c>
      <c r="O9" t="inlineStr">
        <is>
          <t>ALL</t>
        </is>
      </c>
    </row>
    <row r="10">
      <c r="A10" s="18" t="inlineStr">
        <is>
          <t>Q-08</t>
        </is>
      </c>
      <c r="B10" s="18" t="inlineStr">
        <is>
          <t>背景接口</t>
        </is>
      </c>
      <c r="C10" s="18" t="inlineStr">
        <is>
          <t>ALL</t>
        </is>
      </c>
      <c r="D10" s="18" t="inlineStr">
        <is>
          <t>背景数据缺失：各操作电力/蒸汽消耗、酸化剂（pH3.8）与复溶碱（pH7）用量、清洗剂、运输燃料均未报告，未连接背景数据库</t>
        </is>
      </c>
      <c r="E10" s="18" t="inlineStr">
        <is>
          <t>SRC-PDF 全图无能源流</t>
        </is>
      </c>
      <c r="F10" s="18" t="inlineStr">
        <is>
          <t>无法计算能耗图与任何LCIA结果</t>
        </is>
      </c>
      <c r="G10" s="18" t="inlineStr">
        <is>
          <t>登记待补参数清单GB-01~GB-05</t>
        </is>
      </c>
      <c r="H10" s="18" t="inlineStr">
        <is>
          <t>能源/化学品/CIP数据已在v2从SRC-RAW补入（逐步电力/燃气热/柠檬酸/CaCl2/NaOH/清洗段全项）；背景数据库按用户要求不连接</t>
        </is>
      </c>
      <c r="I10" s="18" t="inlineStr">
        <is>
          <t>已解决</t>
        </is>
      </c>
      <c r="J10" s="18" t="inlineStr">
        <is>
          <t>待补参数清单</t>
        </is>
      </c>
      <c r="K10" s="18" t="inlineStr">
        <is>
          <t>2026-09-27</t>
        </is>
      </c>
      <c r="L10" s="18" t="inlineStr"/>
      <c r="M10" t="inlineStr">
        <is>
          <t>否</t>
        </is>
      </c>
      <c r="O10" t="inlineStr">
        <is>
          <t>ALL</t>
        </is>
      </c>
    </row>
    <row r="11">
      <c r="A11" s="18" t="inlineStr">
        <is>
          <t>Q-09</t>
        </is>
      </c>
      <c r="B11" s="18" t="inlineStr">
        <is>
          <t>过程</t>
        </is>
      </c>
      <c r="C11" s="18" t="inlineStr">
        <is>
          <t>PR11</t>
        </is>
      </c>
      <c r="D11" s="18" t="inlineStr">
        <is>
          <t>RO步骤干物质不守恒：进17,869.09 kg DM/j，出21,627.74 kg DM/j（+3,758.65）</t>
        </is>
      </c>
      <c r="E11" s="18" t="inlineStr">
        <is>
          <t>SRC-XLSX? no；SRC-PDF p1 步骤8渗透液DM4.40%、步骤11乳糖DM24%；CH-07</t>
        </is>
      </c>
      <c r="F11" s="18" t="inlineStr">
        <is>
          <t>乳糖联产品DM基准内部矛盾</t>
        </is>
      </c>
      <c r="G11" s="18" t="inlineStr">
        <is>
          <t>保留原文值，登记矛盾，建议回查原始文献</t>
        </is>
      </c>
      <c r="H11" s="18" t="inlineStr">
        <is>
          <t>口径已明确（2026-09-28用户指示）：原文基线=体积守恒（11_OI: 401.3=85.3+316 ✓，原文注'losses are neglected'），不做组分守恒；DM+21%系衍生版组成%换算引入，非原文数据问题。衍生版组成参数已全部降级为不采用（仅参考）。关闭</t>
        </is>
      </c>
      <c r="I11" s="18" t="inlineStr">
        <is>
          <t>已解决</t>
        </is>
      </c>
      <c r="J11" s="18" t="inlineStr">
        <is>
          <t>核算检查CH-07</t>
        </is>
      </c>
      <c r="K11" s="18" t="inlineStr">
        <is>
          <t>2026-09-27</t>
        </is>
      </c>
      <c r="L11" s="18" t="inlineStr"/>
      <c r="M11" t="inlineStr">
        <is>
          <t>否</t>
        </is>
      </c>
      <c r="O11" t="inlineStr">
        <is>
          <t>PR11</t>
        </is>
      </c>
    </row>
    <row r="12">
      <c r="A12" s="18" t="inlineStr">
        <is>
          <t>Q-10</t>
        </is>
      </c>
      <c r="B12" s="18" t="inlineStr">
        <is>
          <t>来源</t>
        </is>
      </c>
      <c r="C12" s="18" t="inlineStr">
        <is>
          <t>SYS-WHEY-2023</t>
        </is>
      </c>
      <c r="D12" s="18" t="inlineStr">
        <is>
          <t>单来源体系；图内部分参数二手引用Gesan-Guiziou et al (2019)，原文未提供未核对（secondary_evidence）；框架文献主文未提供</t>
        </is>
      </c>
      <c r="E12" s="18" t="inlineStr">
        <is>
          <t>SRC-PDF 图例；S1.3</t>
        </is>
      </c>
      <c r="F12" s="18" t="inlineStr">
        <is>
          <t>闸门C判定：若无用户自有决策/多源采用，则不输出建模接口</t>
        </is>
      </c>
      <c r="G12" s="18" t="inlineStr">
        <is>
          <t>登记来源局限；请用户补充主文或确认接受</t>
        </is>
      </c>
      <c r="H12" s="18" t="inlineStr">
        <is>
          <t>登记保留：单来源体系+二手引用标注作为数据可信度备注，不回查（2026-09-28）</t>
        </is>
      </c>
      <c r="I12" s="18" t="inlineStr">
        <is>
          <t>未解决</t>
        </is>
      </c>
      <c r="J12" s="18" t="inlineStr">
        <is>
          <t>数据来源</t>
        </is>
      </c>
      <c r="K12" s="18" t="inlineStr">
        <is>
          <t>2026-09-27</t>
        </is>
      </c>
      <c r="L12" s="18" t="inlineStr"/>
      <c r="M12" t="inlineStr">
        <is>
          <t>否</t>
        </is>
      </c>
      <c r="O12" t="inlineStr">
        <is>
          <t>ALL</t>
        </is>
      </c>
    </row>
    <row r="13">
      <c r="A13" s="18" t="inlineStr">
        <is>
          <t>Q-12</t>
        </is>
      </c>
      <c r="B13" s="18" t="inlineStr">
        <is>
          <t>来源</t>
        </is>
      </c>
      <c r="C13" s="18" t="inlineStr">
        <is>
          <t>SYS-GUY-2024-DIB</t>
        </is>
      </c>
      <c r="D13" s="18" t="inlineStr">
        <is>
          <t>多版本核验结论：同一DIB数据集包（已发表，recherche.data.gouv.fr DOI 10.57745/7D0ROH）内含两层文件——原始记录层（SRC-RAW 20步全项）与示意图/分配数据层（v231127 PDF/XLSX，数据集自带）；示意图层将体积×密度换算为质量、AF修约2位小数、不含能源/清洗/化学品/污水，并存在具体换算差错：UFbeta透析水误记66.93 m³/d（原始4.6）、干燥蒸发水5.7/1.0 m³误读为入料水、复溶液3.96 m³混入稀释水、产品量1703.88/318.34与原始1703.97/318.28微差</t>
        </is>
      </c>
      <c r="E13" s="18" t="inlineStr">
        <is>
          <t>SRC-RAW vs SRC-PDF 指纹比对（2026-09-27）</t>
        </is>
      </c>
      <c r="F13" s="18" t="inlineStr">
        <is>
          <t>v1.0清单可信度；v2已全部改取SRC-RAW</t>
        </is>
      </c>
      <c r="G13" s="18" t="inlineStr">
        <is>
          <t>撤回衍生版数值（组成%/价格/干燥参数保留为衍生版标注候选）；权威版=SRC-RAW</t>
        </is>
      </c>
      <c r="H13" s="18" t="inlineStr">
        <is>
          <t>用户指示采用DIB数据集（2026-09-27），权威版SRC-RAW</t>
        </is>
      </c>
      <c r="I13" s="18" t="inlineStr">
        <is>
          <t>已解决</t>
        </is>
      </c>
      <c r="J13" s="18" t="inlineStr">
        <is>
          <t>数据来源/候选数据</t>
        </is>
      </c>
      <c r="K13" s="18" t="inlineStr">
        <is>
          <t>2026-09-27</t>
        </is>
      </c>
      <c r="L13" s="18" t="inlineStr">
        <is>
          <t>示意图层独有内容：组成%、虚构价格、干燥专家参数、Figure n°X</t>
        </is>
      </c>
      <c r="M13" t="inlineStr">
        <is>
          <t>否</t>
        </is>
      </c>
      <c r="N13" t="inlineStr">
        <is>
          <t>2026-09-27</t>
        </is>
      </c>
      <c r="O13" t="inlineStr">
        <is>
          <t>ALL</t>
        </is>
      </c>
    </row>
    <row r="14">
      <c r="A14" s="18" t="inlineStr">
        <is>
          <t>Q-15</t>
        </is>
      </c>
      <c r="B14" s="18" t="inlineStr">
        <is>
          <t>过程</t>
        </is>
      </c>
      <c r="C14" s="18" t="inlineStr">
        <is>
          <t>PR20</t>
        </is>
      </c>
      <c r="D14" s="18" t="inlineStr">
        <is>
          <t>污水站出水450 m³/d为proxy项目参考流，与进水191.7 m³/d不对应</t>
        </is>
      </c>
      <c r="E14" s="18" t="inlineStr">
        <is>
          <t>SRC-RAW 20_STEP；CH-16</t>
        </is>
      </c>
      <c r="F14" s="18" t="inlineStr">
        <is>
          <t>出水污染物数据的使用口径</t>
        </is>
      </c>
      <c r="G14" s="18" t="inlineStr">
        <is>
          <t>按proxy口径登记，使用时注明</t>
        </is>
      </c>
      <c r="H14" s="18" t="inlineStr">
        <is>
          <t>登记：出水按proxy口径使用并注明（GB-04）</t>
        </is>
      </c>
      <c r="I14" s="18" t="inlineStr">
        <is>
          <t>未解决</t>
        </is>
      </c>
      <c r="J14" s="18" t="inlineStr">
        <is>
          <t>核算检查CH-16</t>
        </is>
      </c>
      <c r="K14" s="18" t="inlineStr">
        <is>
          <t>2026-09-27</t>
        </is>
      </c>
      <c r="L14" s="18" t="inlineStr"/>
      <c r="M14" t="inlineStr">
        <is>
          <t>否</t>
        </is>
      </c>
      <c r="O14" t="inlineStr">
        <is>
          <t>PR20</t>
        </is>
      </c>
    </row>
    <row r="15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</row>
    <row r="17">
      <c r="A17" s="18" t="inlineStr">
        <is>
          <t>Q-17</t>
        </is>
      </c>
      <c r="B17" s="18" t="inlineStr">
        <is>
          <t>边界</t>
        </is>
      </c>
      <c r="C17" s="18" t="inlineStr">
        <is>
          <t>ALL-OPS</t>
        </is>
      </c>
      <c r="D17" s="18" t="inlineStr">
        <is>
          <t>机器设备材料（资本品）：SRC-RAW各表Machines段精确到设备/部件级（如Installation d'ultrafiltration→organic membrane→Polyethersulfone 0.38 kg/d）</t>
        </is>
      </c>
      <c r="E17" s="18" t="inlineStr">
        <is>
          <t>SRC-RAW Machines段</t>
        </is>
      </c>
      <c r="F17" s="18" t="inlineStr">
        <is>
          <t>清单边界完整性</t>
        </is>
      </c>
      <c r="G17" s="18" t="inlineStr">
        <is>
          <t>用户2026-09-28决定纳入：128条设备/部件级材料流入库（FL-MCH-*，8条无数据登记缺口）；8条无数据行（Glycerin×4、pipes×3、Support et tuyauteries）登记为源数据缺口</t>
        </is>
      </c>
      <c r="H17" s="18" t="inlineStr">
        <is>
          <t>纳入资本品（2026-09-28）</t>
        </is>
      </c>
      <c r="I17" s="18" t="inlineStr">
        <is>
          <t>已解决</t>
        </is>
      </c>
      <c r="J17" s="18" t="inlineStr">
        <is>
          <t>待补参数清单GB-01</t>
        </is>
      </c>
      <c r="K17" s="18" t="inlineStr">
        <is>
          <t>2026-09-27</t>
        </is>
      </c>
      <c r="L17" s="18" t="n"/>
      <c r="M17" t="inlineStr">
        <is>
          <t>否</t>
        </is>
      </c>
      <c r="O17" t="inlineStr">
        <is>
          <t>ALL</t>
        </is>
      </c>
    </row>
    <row r="18">
      <c r="A18" s="18" t="inlineStr">
        <is>
          <t>Q-18</t>
        </is>
      </c>
      <c r="B18" s="18" t="inlineStr">
        <is>
          <t>流</t>
        </is>
      </c>
      <c r="C18" s="18" t="inlineStr">
        <is>
          <t>FL-TEW-20</t>
        </is>
      </c>
      <c r="D18" s="18" t="inlineStr">
        <is>
          <t>污水站出水450 m3/d（proxy）复审：复审其与5个出水负荷指标（TSS/TN/TP/COD/TKN）的绑定关系，以及m3口径对清单输出的敏感性（关联Q-15）</t>
        </is>
      </c>
      <c r="E18" s="18" t="inlineStr">
        <is>
          <t>SRC-RAW 20_STEP treated water (proxy project)；CH-16</t>
        </is>
      </c>
      <c r="F18" s="18" t="inlineStr">
        <is>
          <t>出水污染物数据的使用口径</t>
        </is>
      </c>
      <c r="G18" s="18" t="inlineStr">
        <is>
          <t>保留proxy口径登记（GB-04），复审时再定是否维持</t>
        </is>
      </c>
      <c r="H18" s="18" t="inlineStr">
        <is>
          <t>2026-09-28 用户指示：之后要复审</t>
        </is>
      </c>
      <c r="I18" s="18" t="inlineStr">
        <is>
          <t>待复审</t>
        </is>
      </c>
      <c r="J18" s="18" t="inlineStr">
        <is>
          <t>核算检查CH-16</t>
        </is>
      </c>
      <c r="K18" s="18" t="n"/>
      <c r="L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</row>
    <row r="22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</row>
    <row r="24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</row>
    <row r="47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</row>
    <row r="48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</row>
    <row r="49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</row>
    <row r="50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</row>
    <row r="5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</row>
    <row r="52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</row>
    <row r="53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</row>
    <row r="54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</row>
    <row r="55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</row>
    <row r="56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</row>
    <row r="57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</row>
    <row r="58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</row>
    <row r="59">
      <c r="A59" s="18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</row>
    <row r="60">
      <c r="A60" s="18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</row>
    <row r="61">
      <c r="A61" s="18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</row>
    <row r="62">
      <c r="A62" s="18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</row>
    <row r="63">
      <c r="A63" s="18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</row>
    <row r="64">
      <c r="A64" s="18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</row>
    <row r="65">
      <c r="A65" s="18" t="n"/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</row>
    <row r="66">
      <c r="A66" s="18" t="n"/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</row>
    <row r="67">
      <c r="A67" s="18" t="n"/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</row>
    <row r="68">
      <c r="A68" s="18" t="n"/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</row>
    <row r="69">
      <c r="A69" s="18" t="n"/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  <row r="70">
      <c r="A70" s="18" t="n"/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</row>
    <row r="71">
      <c r="A71" s="18" t="n"/>
      <c r="B71" s="18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</row>
    <row r="72">
      <c r="A72" s="18" t="n"/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18" t="n"/>
    </row>
    <row r="73">
      <c r="A73" s="18" t="n"/>
      <c r="B73" s="18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  <c r="L73" s="18" t="n"/>
    </row>
    <row r="74">
      <c r="A74" s="18" t="n"/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  <c r="L74" s="18" t="n"/>
    </row>
    <row r="75">
      <c r="A75" s="18" t="n"/>
      <c r="B75" s="18" t="n"/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  <c r="L75" s="18" t="n"/>
    </row>
    <row r="76">
      <c r="A76" s="18" t="n"/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</row>
    <row r="77">
      <c r="A77" s="18" t="n"/>
      <c r="B77" s="18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  <c r="L77" s="18" t="n"/>
    </row>
    <row r="78">
      <c r="A78" s="18" t="n"/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  <c r="L78" s="18" t="n"/>
    </row>
    <row r="79">
      <c r="A79" s="18" t="n"/>
      <c r="B79" s="18" t="n"/>
      <c r="C79" s="18" t="n"/>
      <c r="D79" s="18" t="n"/>
      <c r="E79" s="18" t="n"/>
      <c r="F79" s="18" t="n"/>
      <c r="G79" s="18" t="n"/>
      <c r="H79" s="18" t="n"/>
      <c r="I79" s="18" t="n"/>
      <c r="J79" s="18" t="n"/>
      <c r="K79" s="18" t="n"/>
      <c r="L79" s="18" t="n"/>
    </row>
    <row r="80">
      <c r="A80" s="18" t="n"/>
      <c r="B80" s="18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8" t="n"/>
      <c r="L80" s="18" t="n"/>
    </row>
    <row r="81">
      <c r="A81" s="18" t="n"/>
      <c r="B81" s="18" t="n"/>
      <c r="C81" s="18" t="n"/>
      <c r="D81" s="18" t="n"/>
      <c r="E81" s="18" t="n"/>
      <c r="F81" s="18" t="n"/>
      <c r="G81" s="18" t="n"/>
      <c r="H81" s="18" t="n"/>
      <c r="I81" s="18" t="n"/>
      <c r="J81" s="18" t="n"/>
      <c r="K81" s="18" t="n"/>
      <c r="L81" s="18" t="n"/>
    </row>
    <row r="82">
      <c r="A82" s="18" t="n"/>
      <c r="B82" s="18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</row>
    <row r="83">
      <c r="A83" s="18" t="n"/>
      <c r="B83" s="18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  <c r="L83" s="18" t="n"/>
    </row>
    <row r="84">
      <c r="A84" s="18" t="n"/>
      <c r="B84" s="18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  <c r="L84" s="18" t="n"/>
    </row>
    <row r="85">
      <c r="A85" s="18" t="n"/>
      <c r="B85" s="18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  <c r="L85" s="18" t="n"/>
    </row>
    <row r="86">
      <c r="A86" s="18" t="n"/>
      <c r="B86" s="18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8" t="n"/>
      <c r="L86" s="18" t="n"/>
    </row>
    <row r="87">
      <c r="A87" s="18" t="n"/>
      <c r="B87" s="18" t="n"/>
      <c r="C87" s="18" t="n"/>
      <c r="D87" s="18" t="n"/>
      <c r="E87" s="18" t="n"/>
      <c r="F87" s="18" t="n"/>
      <c r="G87" s="18" t="n"/>
      <c r="H87" s="18" t="n"/>
      <c r="I87" s="18" t="n"/>
      <c r="J87" s="18" t="n"/>
      <c r="K87" s="18" t="n"/>
      <c r="L87" s="18" t="n"/>
    </row>
    <row r="88">
      <c r="A88" s="18" t="n"/>
      <c r="B88" s="18" t="n"/>
      <c r="C88" s="18" t="n"/>
      <c r="D88" s="18" t="n"/>
      <c r="E88" s="18" t="n"/>
      <c r="F88" s="18" t="n"/>
      <c r="G88" s="18" t="n"/>
      <c r="H88" s="18" t="n"/>
      <c r="I88" s="18" t="n"/>
      <c r="J88" s="18" t="n"/>
      <c r="K88" s="18" t="n"/>
      <c r="L88" s="18" t="n"/>
    </row>
    <row r="89">
      <c r="A89" s="18" t="n"/>
      <c r="B89" s="18" t="n"/>
      <c r="C89" s="18" t="n"/>
      <c r="D89" s="18" t="n"/>
      <c r="E89" s="18" t="n"/>
      <c r="F89" s="18" t="n"/>
      <c r="G89" s="18" t="n"/>
      <c r="H89" s="18" t="n"/>
      <c r="I89" s="18" t="n"/>
      <c r="J89" s="18" t="n"/>
      <c r="K89" s="18" t="n"/>
      <c r="L89" s="18" t="n"/>
    </row>
    <row r="90">
      <c r="A90" s="18" t="n"/>
      <c r="B90" s="18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8" t="n"/>
      <c r="L90" s="18" t="n"/>
    </row>
    <row r="91">
      <c r="A91" s="18" t="n"/>
      <c r="B91" s="18" t="n"/>
      <c r="C91" s="18" t="n"/>
      <c r="D91" s="18" t="n"/>
      <c r="E91" s="18" t="n"/>
      <c r="F91" s="18" t="n"/>
      <c r="G91" s="18" t="n"/>
      <c r="H91" s="18" t="n"/>
      <c r="I91" s="18" t="n"/>
      <c r="J91" s="18" t="n"/>
      <c r="K91" s="18" t="n"/>
      <c r="L91" s="18" t="n"/>
    </row>
    <row r="92">
      <c r="A92" s="18" t="n"/>
      <c r="B92" s="18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  <c r="L92" s="18" t="n"/>
    </row>
    <row r="93">
      <c r="A93" s="18" t="n"/>
      <c r="B93" s="18" t="n"/>
      <c r="C93" s="18" t="n"/>
      <c r="D93" s="18" t="n"/>
      <c r="E93" s="18" t="n"/>
      <c r="F93" s="18" t="n"/>
      <c r="G93" s="18" t="n"/>
      <c r="H93" s="18" t="n"/>
      <c r="I93" s="18" t="n"/>
      <c r="J93" s="18" t="n"/>
      <c r="K93" s="18" t="n"/>
      <c r="L93" s="18" t="n"/>
    </row>
    <row r="94">
      <c r="A94" s="18" t="n"/>
      <c r="B94" s="18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8" t="n"/>
      <c r="L94" s="18" t="n"/>
    </row>
    <row r="95">
      <c r="A95" s="18" t="n"/>
      <c r="B95" s="18" t="n"/>
      <c r="C95" s="18" t="n"/>
      <c r="D95" s="18" t="n"/>
      <c r="E95" s="18" t="n"/>
      <c r="F95" s="18" t="n"/>
      <c r="G95" s="18" t="n"/>
      <c r="H95" s="18" t="n"/>
      <c r="I95" s="18" t="n"/>
      <c r="J95" s="18" t="n"/>
      <c r="K95" s="18" t="n"/>
      <c r="L95" s="18" t="n"/>
    </row>
    <row r="96">
      <c r="A96" s="18" t="n"/>
      <c r="B96" s="18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  <c r="L96" s="18" t="n"/>
    </row>
    <row r="97">
      <c r="A97" s="18" t="n"/>
      <c r="B97" s="18" t="n"/>
      <c r="C97" s="18" t="n"/>
      <c r="D97" s="18" t="n"/>
      <c r="E97" s="18" t="n"/>
      <c r="F97" s="18" t="n"/>
      <c r="G97" s="18" t="n"/>
      <c r="H97" s="18" t="n"/>
      <c r="I97" s="18" t="n"/>
      <c r="J97" s="18" t="n"/>
      <c r="K97" s="18" t="n"/>
      <c r="L97" s="18" t="n"/>
    </row>
    <row r="98">
      <c r="A98" s="18" t="n"/>
      <c r="B98" s="18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  <c r="L98" s="18" t="n"/>
    </row>
    <row r="99">
      <c r="A99" s="18" t="n"/>
      <c r="B99" s="18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8" t="n"/>
      <c r="L99" s="18" t="n"/>
    </row>
    <row r="100">
      <c r="A100" s="18" t="n"/>
      <c r="B100" s="18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8" t="n"/>
      <c r="L100" s="18" t="n"/>
    </row>
    <row r="101">
      <c r="A101" s="18" t="n"/>
      <c r="B101" s="18" t="n"/>
      <c r="C101" s="18" t="n"/>
      <c r="D101" s="18" t="n"/>
      <c r="E101" s="18" t="n"/>
      <c r="F101" s="18" t="n"/>
      <c r="G101" s="18" t="n"/>
      <c r="H101" s="18" t="n"/>
      <c r="I101" s="18" t="n"/>
      <c r="J101" s="18" t="n"/>
      <c r="K101" s="18" t="n"/>
      <c r="L101" s="18" t="n"/>
    </row>
    <row r="102">
      <c r="A102" s="18" t="n"/>
      <c r="B102" s="18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18" t="n"/>
    </row>
    <row r="103">
      <c r="A103" s="18" t="n"/>
      <c r="B103" s="18" t="n"/>
      <c r="C103" s="18" t="n"/>
      <c r="D103" s="18" t="n"/>
      <c r="E103" s="18" t="n"/>
      <c r="F103" s="18" t="n"/>
      <c r="G103" s="18" t="n"/>
      <c r="H103" s="18" t="n"/>
      <c r="I103" s="18" t="n"/>
      <c r="J103" s="18" t="n"/>
      <c r="K103" s="18" t="n"/>
      <c r="L103" s="18" t="n"/>
    </row>
    <row r="104">
      <c r="A104" s="18" t="n"/>
      <c r="B104" s="18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  <c r="L104" s="18" t="n"/>
    </row>
    <row r="105">
      <c r="A105" s="18" t="n"/>
      <c r="B105" s="18" t="n"/>
      <c r="C105" s="18" t="n"/>
      <c r="D105" s="18" t="n"/>
      <c r="E105" s="18" t="n"/>
      <c r="F105" s="18" t="n"/>
      <c r="G105" s="18" t="n"/>
      <c r="H105" s="18" t="n"/>
      <c r="I105" s="18" t="n"/>
      <c r="J105" s="18" t="n"/>
      <c r="K105" s="18" t="n"/>
      <c r="L105" s="18" t="n"/>
    </row>
    <row r="106">
      <c r="A106" s="18" t="n"/>
      <c r="B106" s="18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  <c r="L106" s="18" t="n"/>
    </row>
    <row r="107">
      <c r="A107" s="18" t="n"/>
      <c r="B107" s="18" t="n"/>
      <c r="C107" s="18" t="n"/>
      <c r="D107" s="18" t="n"/>
      <c r="E107" s="18" t="n"/>
      <c r="F107" s="18" t="n"/>
      <c r="G107" s="18" t="n"/>
      <c r="H107" s="18" t="n"/>
      <c r="I107" s="18" t="n"/>
      <c r="J107" s="18" t="n"/>
      <c r="K107" s="18" t="n"/>
      <c r="L107" s="18" t="n"/>
    </row>
    <row r="108">
      <c r="A108" s="18" t="n"/>
      <c r="B108" s="18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8" t="n"/>
      <c r="L108" s="18" t="n"/>
    </row>
    <row r="109">
      <c r="A109" s="18" t="n"/>
      <c r="B109" s="18" t="n"/>
      <c r="C109" s="18" t="n"/>
      <c r="D109" s="18" t="n"/>
      <c r="E109" s="18" t="n"/>
      <c r="F109" s="18" t="n"/>
      <c r="G109" s="18" t="n"/>
      <c r="H109" s="18" t="n"/>
      <c r="I109" s="18" t="n"/>
      <c r="J109" s="18" t="n"/>
      <c r="K109" s="18" t="n"/>
      <c r="L109" s="18" t="n"/>
    </row>
    <row r="110">
      <c r="A110" s="18" t="n"/>
      <c r="B110" s="18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8" t="n"/>
      <c r="L110" s="18" t="n"/>
    </row>
    <row r="111">
      <c r="A111" s="18" t="n"/>
      <c r="B111" s="18" t="n"/>
      <c r="C111" s="18" t="n"/>
      <c r="D111" s="18" t="n"/>
      <c r="E111" s="18" t="n"/>
      <c r="F111" s="18" t="n"/>
      <c r="G111" s="18" t="n"/>
      <c r="H111" s="18" t="n"/>
      <c r="I111" s="18" t="n"/>
      <c r="J111" s="18" t="n"/>
      <c r="K111" s="18" t="n"/>
      <c r="L111" s="18" t="n"/>
    </row>
    <row r="112">
      <c r="A112" s="18" t="n"/>
      <c r="B112" s="18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8" t="n"/>
      <c r="L112" s="18" t="n"/>
    </row>
    <row r="113">
      <c r="A113" s="18" t="n"/>
      <c r="B113" s="18" t="n"/>
      <c r="C113" s="18" t="n"/>
      <c r="D113" s="18" t="n"/>
      <c r="E113" s="18" t="n"/>
      <c r="F113" s="18" t="n"/>
      <c r="G113" s="18" t="n"/>
      <c r="H113" s="18" t="n"/>
      <c r="I113" s="18" t="n"/>
      <c r="J113" s="18" t="n"/>
      <c r="K113" s="18" t="n"/>
      <c r="L113" s="18" t="n"/>
    </row>
    <row r="114">
      <c r="A114" s="18" t="n"/>
      <c r="B114" s="18" t="n"/>
      <c r="C114" s="18" t="n"/>
      <c r="D114" s="18" t="n"/>
      <c r="E114" s="18" t="n"/>
      <c r="F114" s="18" t="n"/>
      <c r="G114" s="18" t="n"/>
      <c r="H114" s="18" t="n"/>
      <c r="I114" s="18" t="n"/>
      <c r="J114" s="18" t="n"/>
      <c r="K114" s="18" t="n"/>
      <c r="L114" s="18" t="n"/>
    </row>
    <row r="115">
      <c r="A115" s="18" t="n"/>
      <c r="B115" s="18" t="n"/>
      <c r="C115" s="18" t="n"/>
      <c r="D115" s="18" t="n"/>
      <c r="E115" s="18" t="n"/>
      <c r="F115" s="18" t="n"/>
      <c r="G115" s="18" t="n"/>
      <c r="H115" s="18" t="n"/>
      <c r="I115" s="18" t="n"/>
      <c r="J115" s="18" t="n"/>
      <c r="K115" s="18" t="n"/>
      <c r="L115" s="18" t="n"/>
    </row>
    <row r="116">
      <c r="A116" s="18" t="n"/>
      <c r="B116" s="18" t="n"/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8" t="n"/>
      <c r="L116" s="18" t="n"/>
    </row>
    <row r="117">
      <c r="A117" s="18" t="n"/>
      <c r="B117" s="18" t="n"/>
      <c r="C117" s="18" t="n"/>
      <c r="D117" s="18" t="n"/>
      <c r="E117" s="18" t="n"/>
      <c r="F117" s="18" t="n"/>
      <c r="G117" s="18" t="n"/>
      <c r="H117" s="18" t="n"/>
      <c r="I117" s="18" t="n"/>
      <c r="J117" s="18" t="n"/>
      <c r="K117" s="18" t="n"/>
      <c r="L117" s="18" t="n"/>
    </row>
    <row r="118">
      <c r="A118" s="18" t="n"/>
      <c r="B118" s="18" t="n"/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8" t="n"/>
      <c r="L118" s="18" t="n"/>
    </row>
    <row r="119">
      <c r="A119" s="18" t="n"/>
      <c r="B119" s="18" t="n"/>
      <c r="C119" s="18" t="n"/>
      <c r="D119" s="18" t="n"/>
      <c r="E119" s="18" t="n"/>
      <c r="F119" s="18" t="n"/>
      <c r="G119" s="18" t="n"/>
      <c r="H119" s="18" t="n"/>
      <c r="I119" s="18" t="n"/>
      <c r="J119" s="18" t="n"/>
      <c r="K119" s="18" t="n"/>
      <c r="L119" s="18" t="n"/>
    </row>
    <row r="120">
      <c r="A120" s="18" t="n"/>
      <c r="B120" s="18" t="n"/>
      <c r="C120" s="18" t="n"/>
      <c r="D120" s="18" t="n"/>
      <c r="E120" s="18" t="n"/>
      <c r="F120" s="18" t="n"/>
      <c r="G120" s="18" t="n"/>
      <c r="H120" s="18" t="n"/>
      <c r="I120" s="18" t="n"/>
      <c r="J120" s="18" t="n"/>
      <c r="K120" s="18" t="n"/>
      <c r="L120" s="18" t="n"/>
    </row>
    <row r="121">
      <c r="A121" s="18" t="n"/>
      <c r="B121" s="18" t="n"/>
      <c r="C121" s="18" t="n"/>
      <c r="D121" s="18" t="n"/>
      <c r="E121" s="18" t="n"/>
      <c r="F121" s="18" t="n"/>
      <c r="G121" s="18" t="n"/>
      <c r="H121" s="18" t="n"/>
      <c r="I121" s="18" t="n"/>
      <c r="J121" s="18" t="n"/>
      <c r="K121" s="18" t="n"/>
      <c r="L121" s="18" t="n"/>
    </row>
    <row r="122">
      <c r="A122" s="18" t="n"/>
      <c r="B122" s="18" t="n"/>
      <c r="C122" s="18" t="n"/>
      <c r="D122" s="18" t="n"/>
      <c r="E122" s="18" t="n"/>
      <c r="F122" s="18" t="n"/>
      <c r="G122" s="18" t="n"/>
      <c r="H122" s="18" t="n"/>
      <c r="I122" s="18" t="n"/>
      <c r="J122" s="18" t="n"/>
      <c r="K122" s="18" t="n"/>
      <c r="L122" s="18" t="n"/>
    </row>
    <row r="123">
      <c r="A123" s="18" t="n"/>
      <c r="B123" s="18" t="n"/>
      <c r="C123" s="18" t="n"/>
      <c r="D123" s="18" t="n"/>
      <c r="E123" s="18" t="n"/>
      <c r="F123" s="18" t="n"/>
      <c r="G123" s="18" t="n"/>
      <c r="H123" s="18" t="n"/>
      <c r="I123" s="18" t="n"/>
      <c r="J123" s="18" t="n"/>
      <c r="K123" s="18" t="n"/>
      <c r="L123" s="18" t="n"/>
    </row>
    <row r="124">
      <c r="A124" s="18" t="n"/>
      <c r="B124" s="18" t="n"/>
      <c r="C124" s="18" t="n"/>
      <c r="D124" s="18" t="n"/>
      <c r="E124" s="18" t="n"/>
      <c r="F124" s="18" t="n"/>
      <c r="G124" s="18" t="n"/>
      <c r="H124" s="18" t="n"/>
      <c r="I124" s="18" t="n"/>
      <c r="J124" s="18" t="n"/>
      <c r="K124" s="18" t="n"/>
      <c r="L124" s="18" t="n"/>
    </row>
    <row r="125">
      <c r="A125" s="18" t="n"/>
      <c r="B125" s="18" t="n"/>
      <c r="C125" s="18" t="n"/>
      <c r="D125" s="18" t="n"/>
      <c r="E125" s="18" t="n"/>
      <c r="F125" s="18" t="n"/>
      <c r="G125" s="18" t="n"/>
      <c r="H125" s="18" t="n"/>
      <c r="I125" s="18" t="n"/>
      <c r="J125" s="18" t="n"/>
      <c r="K125" s="18" t="n"/>
      <c r="L125" s="18" t="n"/>
    </row>
    <row r="126">
      <c r="A126" s="18" t="n"/>
      <c r="B126" s="18" t="n"/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8" t="n"/>
      <c r="L126" s="18" t="n"/>
    </row>
    <row r="127">
      <c r="A127" s="18" t="n"/>
      <c r="B127" s="18" t="n"/>
      <c r="C127" s="18" t="n"/>
      <c r="D127" s="18" t="n"/>
      <c r="E127" s="18" t="n"/>
      <c r="F127" s="18" t="n"/>
      <c r="G127" s="18" t="n"/>
      <c r="H127" s="18" t="n"/>
      <c r="I127" s="18" t="n"/>
      <c r="J127" s="18" t="n"/>
      <c r="K127" s="18" t="n"/>
      <c r="L127" s="18" t="n"/>
    </row>
    <row r="128">
      <c r="A128" s="18" t="n"/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8" t="n"/>
      <c r="K128" s="18" t="n"/>
      <c r="L128" s="18" t="n"/>
    </row>
    <row r="129">
      <c r="A129" s="18" t="n"/>
      <c r="B129" s="18" t="n"/>
      <c r="C129" s="18" t="n"/>
      <c r="D129" s="18" t="n"/>
      <c r="E129" s="18" t="n"/>
      <c r="F129" s="18" t="n"/>
      <c r="G129" s="18" t="n"/>
      <c r="H129" s="18" t="n"/>
      <c r="I129" s="18" t="n"/>
      <c r="J129" s="18" t="n"/>
      <c r="K129" s="18" t="n"/>
      <c r="L129" s="18" t="n"/>
    </row>
    <row r="130">
      <c r="A130" s="18" t="n"/>
      <c r="B130" s="18" t="n"/>
      <c r="C130" s="18" t="n"/>
      <c r="D130" s="18" t="n"/>
      <c r="E130" s="18" t="n"/>
      <c r="F130" s="18" t="n"/>
      <c r="G130" s="18" t="n"/>
      <c r="H130" s="18" t="n"/>
      <c r="I130" s="18" t="n"/>
      <c r="J130" s="18" t="n"/>
      <c r="K130" s="18" t="n"/>
      <c r="L130" s="18" t="n"/>
    </row>
    <row r="131">
      <c r="A131" s="18" t="n"/>
      <c r="B131" s="18" t="n"/>
      <c r="C131" s="18" t="n"/>
      <c r="D131" s="18" t="n"/>
      <c r="E131" s="18" t="n"/>
      <c r="F131" s="18" t="n"/>
      <c r="G131" s="18" t="n"/>
      <c r="H131" s="18" t="n"/>
      <c r="I131" s="18" t="n"/>
      <c r="J131" s="18" t="n"/>
      <c r="K131" s="18" t="n"/>
      <c r="L131" s="18" t="n"/>
    </row>
    <row r="132">
      <c r="A132" s="18" t="n"/>
      <c r="B132" s="18" t="n"/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18" t="n"/>
      <c r="L132" s="18" t="n"/>
    </row>
    <row r="133">
      <c r="A133" s="18" t="n"/>
      <c r="B133" s="18" t="n"/>
      <c r="C133" s="18" t="n"/>
      <c r="D133" s="18" t="n"/>
      <c r="E133" s="18" t="n"/>
      <c r="F133" s="18" t="n"/>
      <c r="G133" s="18" t="n"/>
      <c r="H133" s="18" t="n"/>
      <c r="I133" s="18" t="n"/>
      <c r="J133" s="18" t="n"/>
      <c r="K133" s="18" t="n"/>
      <c r="L133" s="18" t="n"/>
    </row>
    <row r="134">
      <c r="A134" s="18" t="n"/>
      <c r="B134" s="18" t="n"/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8" t="n"/>
      <c r="L134" s="18" t="n"/>
    </row>
    <row r="135">
      <c r="A135" s="18" t="n"/>
      <c r="B135" s="18" t="n"/>
      <c r="C135" s="18" t="n"/>
      <c r="D135" s="18" t="n"/>
      <c r="E135" s="18" t="n"/>
      <c r="F135" s="18" t="n"/>
      <c r="G135" s="18" t="n"/>
      <c r="H135" s="18" t="n"/>
      <c r="I135" s="18" t="n"/>
      <c r="J135" s="18" t="n"/>
      <c r="K135" s="18" t="n"/>
      <c r="L135" s="18" t="n"/>
    </row>
    <row r="136">
      <c r="A136" s="18" t="n"/>
      <c r="B136" s="18" t="n"/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8" t="n"/>
      <c r="L136" s="18" t="n"/>
    </row>
    <row r="137">
      <c r="A137" s="18" t="n"/>
      <c r="B137" s="18" t="n"/>
      <c r="C137" s="18" t="n"/>
      <c r="D137" s="18" t="n"/>
      <c r="E137" s="18" t="n"/>
      <c r="F137" s="18" t="n"/>
      <c r="G137" s="18" t="n"/>
      <c r="H137" s="18" t="n"/>
      <c r="I137" s="18" t="n"/>
      <c r="J137" s="18" t="n"/>
      <c r="K137" s="18" t="n"/>
      <c r="L137" s="18" t="n"/>
    </row>
    <row r="138">
      <c r="A138" s="18" t="n"/>
      <c r="B138" s="18" t="n"/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8" t="n"/>
      <c r="L138" s="18" t="n"/>
    </row>
    <row r="139">
      <c r="A139" s="18" t="n"/>
      <c r="B139" s="18" t="n"/>
      <c r="C139" s="18" t="n"/>
      <c r="D139" s="18" t="n"/>
      <c r="E139" s="18" t="n"/>
      <c r="F139" s="18" t="n"/>
      <c r="G139" s="18" t="n"/>
      <c r="H139" s="18" t="n"/>
      <c r="I139" s="18" t="n"/>
      <c r="J139" s="18" t="n"/>
      <c r="K139" s="18" t="n"/>
      <c r="L139" s="18" t="n"/>
    </row>
    <row r="140">
      <c r="A140" s="18" t="n"/>
      <c r="B140" s="18" t="n"/>
      <c r="C140" s="18" t="n"/>
      <c r="D140" s="18" t="n"/>
      <c r="E140" s="18" t="n"/>
      <c r="F140" s="18" t="n"/>
      <c r="G140" s="18" t="n"/>
      <c r="H140" s="18" t="n"/>
      <c r="I140" s="18" t="n"/>
      <c r="J140" s="18" t="n"/>
      <c r="K140" s="18" t="n"/>
      <c r="L140" s="18" t="n"/>
    </row>
    <row r="141">
      <c r="A141" s="18" t="n"/>
      <c r="B141" s="18" t="n"/>
      <c r="C141" s="18" t="n"/>
      <c r="D141" s="18" t="n"/>
      <c r="E141" s="18" t="n"/>
      <c r="F141" s="18" t="n"/>
      <c r="G141" s="18" t="n"/>
      <c r="H141" s="18" t="n"/>
      <c r="I141" s="18" t="n"/>
      <c r="J141" s="18" t="n"/>
      <c r="K141" s="18" t="n"/>
      <c r="L141" s="18" t="n"/>
    </row>
    <row r="142">
      <c r="A142" s="18" t="n"/>
      <c r="B142" s="18" t="n"/>
      <c r="C142" s="18" t="n"/>
      <c r="D142" s="18" t="n"/>
      <c r="E142" s="18" t="n"/>
      <c r="F142" s="18" t="n"/>
      <c r="G142" s="18" t="n"/>
      <c r="H142" s="18" t="n"/>
      <c r="I142" s="18" t="n"/>
      <c r="J142" s="18" t="n"/>
      <c r="K142" s="18" t="n"/>
      <c r="L142" s="18" t="n"/>
    </row>
    <row r="143">
      <c r="A143" s="18" t="n"/>
      <c r="B143" s="18" t="n"/>
      <c r="C143" s="18" t="n"/>
      <c r="D143" s="18" t="n"/>
      <c r="E143" s="18" t="n"/>
      <c r="F143" s="18" t="n"/>
      <c r="G143" s="18" t="n"/>
      <c r="H143" s="18" t="n"/>
      <c r="I143" s="18" t="n"/>
      <c r="J143" s="18" t="n"/>
      <c r="K143" s="18" t="n"/>
      <c r="L143" s="18" t="n"/>
    </row>
    <row r="144">
      <c r="A144" s="18" t="n"/>
      <c r="B144" s="18" t="n"/>
      <c r="C144" s="18" t="n"/>
      <c r="D144" s="18" t="n"/>
      <c r="E144" s="18" t="n"/>
      <c r="F144" s="18" t="n"/>
      <c r="G144" s="18" t="n"/>
      <c r="H144" s="18" t="n"/>
      <c r="I144" s="18" t="n"/>
      <c r="J144" s="18" t="n"/>
      <c r="K144" s="18" t="n"/>
      <c r="L144" s="18" t="n"/>
    </row>
    <row r="145">
      <c r="A145" s="18" t="n"/>
      <c r="B145" s="18" t="n"/>
      <c r="C145" s="18" t="n"/>
      <c r="D145" s="18" t="n"/>
      <c r="E145" s="18" t="n"/>
      <c r="F145" s="18" t="n"/>
      <c r="G145" s="18" t="n"/>
      <c r="H145" s="18" t="n"/>
      <c r="I145" s="18" t="n"/>
      <c r="J145" s="18" t="n"/>
      <c r="K145" s="18" t="n"/>
      <c r="L145" s="18" t="n"/>
    </row>
    <row r="146">
      <c r="A146" s="18" t="n"/>
      <c r="B146" s="18" t="n"/>
      <c r="C146" s="18" t="n"/>
      <c r="D146" s="18" t="n"/>
      <c r="E146" s="18" t="n"/>
      <c r="F146" s="18" t="n"/>
      <c r="G146" s="18" t="n"/>
      <c r="H146" s="18" t="n"/>
      <c r="I146" s="18" t="n"/>
      <c r="J146" s="18" t="n"/>
      <c r="K146" s="18" t="n"/>
      <c r="L146" s="18" t="n"/>
    </row>
    <row r="147">
      <c r="A147" s="18" t="n"/>
      <c r="B147" s="18" t="n"/>
      <c r="C147" s="18" t="n"/>
      <c r="D147" s="18" t="n"/>
      <c r="E147" s="18" t="n"/>
      <c r="F147" s="18" t="n"/>
      <c r="G147" s="18" t="n"/>
      <c r="H147" s="18" t="n"/>
      <c r="I147" s="18" t="n"/>
      <c r="J147" s="18" t="n"/>
      <c r="K147" s="18" t="n"/>
      <c r="L147" s="18" t="n"/>
    </row>
    <row r="148">
      <c r="A148" s="18" t="n"/>
      <c r="B148" s="18" t="n"/>
      <c r="C148" s="18" t="n"/>
      <c r="D148" s="18" t="n"/>
      <c r="E148" s="18" t="n"/>
      <c r="F148" s="18" t="n"/>
      <c r="G148" s="18" t="n"/>
      <c r="H148" s="18" t="n"/>
      <c r="I148" s="18" t="n"/>
      <c r="J148" s="18" t="n"/>
      <c r="K148" s="18" t="n"/>
      <c r="L148" s="18" t="n"/>
    </row>
    <row r="149">
      <c r="A149" s="18" t="n"/>
      <c r="B149" s="18" t="n"/>
      <c r="C149" s="18" t="n"/>
      <c r="D149" s="18" t="n"/>
      <c r="E149" s="18" t="n"/>
      <c r="F149" s="18" t="n"/>
      <c r="G149" s="18" t="n"/>
      <c r="H149" s="18" t="n"/>
      <c r="I149" s="18" t="n"/>
      <c r="J149" s="18" t="n"/>
      <c r="K149" s="18" t="n"/>
      <c r="L149" s="18" t="n"/>
    </row>
    <row r="150">
      <c r="A150" s="18" t="n"/>
      <c r="B150" s="18" t="n"/>
      <c r="C150" s="18" t="n"/>
      <c r="D150" s="18" t="n"/>
      <c r="E150" s="18" t="n"/>
      <c r="F150" s="18" t="n"/>
      <c r="G150" s="18" t="n"/>
      <c r="H150" s="18" t="n"/>
      <c r="I150" s="18" t="n"/>
      <c r="J150" s="18" t="n"/>
      <c r="K150" s="18" t="n"/>
      <c r="L150" s="18" t="n"/>
    </row>
    <row r="151">
      <c r="A151" s="18" t="n"/>
      <c r="B151" s="18" t="n"/>
      <c r="C151" s="18" t="n"/>
      <c r="D151" s="18" t="n"/>
      <c r="E151" s="18" t="n"/>
      <c r="F151" s="18" t="n"/>
      <c r="G151" s="18" t="n"/>
      <c r="H151" s="18" t="n"/>
      <c r="I151" s="18" t="n"/>
      <c r="J151" s="18" t="n"/>
      <c r="K151" s="18" t="n"/>
      <c r="L151" s="18" t="n"/>
    </row>
    <row r="152">
      <c r="A152" s="18" t="n"/>
      <c r="B152" s="18" t="n"/>
      <c r="C152" s="18" t="n"/>
      <c r="D152" s="18" t="n"/>
      <c r="E152" s="18" t="n"/>
      <c r="F152" s="18" t="n"/>
      <c r="G152" s="18" t="n"/>
      <c r="H152" s="18" t="n"/>
      <c r="I152" s="18" t="n"/>
      <c r="J152" s="18" t="n"/>
      <c r="K152" s="18" t="n"/>
      <c r="L152" s="18" t="n"/>
    </row>
    <row r="153">
      <c r="A153" s="18" t="n"/>
      <c r="B153" s="18" t="n"/>
      <c r="C153" s="18" t="n"/>
      <c r="D153" s="18" t="n"/>
      <c r="E153" s="18" t="n"/>
      <c r="F153" s="18" t="n"/>
      <c r="G153" s="18" t="n"/>
      <c r="H153" s="18" t="n"/>
      <c r="I153" s="18" t="n"/>
      <c r="J153" s="18" t="n"/>
      <c r="K153" s="18" t="n"/>
      <c r="L153" s="18" t="n"/>
    </row>
    <row r="154">
      <c r="A154" s="18" t="n"/>
      <c r="B154" s="18" t="n"/>
      <c r="C154" s="18" t="n"/>
      <c r="D154" s="18" t="n"/>
      <c r="E154" s="18" t="n"/>
      <c r="F154" s="18" t="n"/>
      <c r="G154" s="18" t="n"/>
      <c r="H154" s="18" t="n"/>
      <c r="I154" s="18" t="n"/>
      <c r="J154" s="18" t="n"/>
      <c r="K154" s="18" t="n"/>
      <c r="L154" s="18" t="n"/>
    </row>
    <row r="155">
      <c r="A155" s="18" t="n"/>
      <c r="B155" s="18" t="n"/>
      <c r="C155" s="18" t="n"/>
      <c r="D155" s="18" t="n"/>
      <c r="E155" s="18" t="n"/>
      <c r="F155" s="18" t="n"/>
      <c r="G155" s="18" t="n"/>
      <c r="H155" s="18" t="n"/>
      <c r="I155" s="18" t="n"/>
      <c r="J155" s="18" t="n"/>
      <c r="K155" s="18" t="n"/>
      <c r="L155" s="18" t="n"/>
    </row>
    <row r="156">
      <c r="A156" s="18" t="n"/>
      <c r="B156" s="18" t="n"/>
      <c r="C156" s="18" t="n"/>
      <c r="D156" s="18" t="n"/>
      <c r="E156" s="18" t="n"/>
      <c r="F156" s="18" t="n"/>
      <c r="G156" s="18" t="n"/>
      <c r="H156" s="18" t="n"/>
      <c r="I156" s="18" t="n"/>
      <c r="J156" s="18" t="n"/>
      <c r="K156" s="18" t="n"/>
      <c r="L156" s="18" t="n"/>
    </row>
    <row r="157">
      <c r="A157" s="18" t="n"/>
      <c r="B157" s="18" t="n"/>
      <c r="C157" s="18" t="n"/>
      <c r="D157" s="18" t="n"/>
      <c r="E157" s="18" t="n"/>
      <c r="F157" s="18" t="n"/>
      <c r="G157" s="18" t="n"/>
      <c r="H157" s="18" t="n"/>
      <c r="I157" s="18" t="n"/>
      <c r="J157" s="18" t="n"/>
      <c r="K157" s="18" t="n"/>
      <c r="L157" s="18" t="n"/>
    </row>
    <row r="158">
      <c r="A158" s="18" t="n"/>
      <c r="B158" s="18" t="n"/>
      <c r="C158" s="18" t="n"/>
      <c r="D158" s="18" t="n"/>
      <c r="E158" s="18" t="n"/>
      <c r="F158" s="18" t="n"/>
      <c r="G158" s="18" t="n"/>
      <c r="H158" s="18" t="n"/>
      <c r="I158" s="18" t="n"/>
      <c r="J158" s="18" t="n"/>
      <c r="K158" s="18" t="n"/>
      <c r="L158" s="18" t="n"/>
    </row>
    <row r="159">
      <c r="A159" s="18" t="n"/>
      <c r="B159" s="18" t="n"/>
      <c r="C159" s="18" t="n"/>
      <c r="D159" s="18" t="n"/>
      <c r="E159" s="18" t="n"/>
      <c r="F159" s="18" t="n"/>
      <c r="G159" s="18" t="n"/>
      <c r="H159" s="18" t="n"/>
      <c r="I159" s="18" t="n"/>
      <c r="J159" s="18" t="n"/>
      <c r="K159" s="18" t="n"/>
      <c r="L159" s="18" t="n"/>
    </row>
    <row r="160">
      <c r="A160" s="18" t="n"/>
      <c r="B160" s="18" t="n"/>
      <c r="C160" s="18" t="n"/>
      <c r="D160" s="18" t="n"/>
      <c r="E160" s="18" t="n"/>
      <c r="F160" s="18" t="n"/>
      <c r="G160" s="18" t="n"/>
      <c r="H160" s="18" t="n"/>
      <c r="I160" s="18" t="n"/>
      <c r="J160" s="18" t="n"/>
      <c r="K160" s="18" t="n"/>
      <c r="L160" s="18" t="n"/>
    </row>
    <row r="161">
      <c r="A161" s="18" t="n"/>
      <c r="B161" s="18" t="n"/>
      <c r="C161" s="18" t="n"/>
      <c r="D161" s="18" t="n"/>
      <c r="E161" s="18" t="n"/>
      <c r="F161" s="18" t="n"/>
      <c r="G161" s="18" t="n"/>
      <c r="H161" s="18" t="n"/>
      <c r="I161" s="18" t="n"/>
      <c r="J161" s="18" t="n"/>
      <c r="K161" s="18" t="n"/>
      <c r="L161" s="18" t="n"/>
    </row>
    <row r="162">
      <c r="A162" s="18" t="n"/>
      <c r="B162" s="18" t="n"/>
      <c r="C162" s="18" t="n"/>
      <c r="D162" s="18" t="n"/>
      <c r="E162" s="18" t="n"/>
      <c r="F162" s="18" t="n"/>
      <c r="G162" s="18" t="n"/>
      <c r="H162" s="18" t="n"/>
      <c r="I162" s="18" t="n"/>
      <c r="J162" s="18" t="n"/>
      <c r="K162" s="18" t="n"/>
      <c r="L162" s="18" t="n"/>
    </row>
    <row r="163">
      <c r="A163" s="18" t="n"/>
      <c r="B163" s="18" t="n"/>
      <c r="C163" s="18" t="n"/>
      <c r="D163" s="18" t="n"/>
      <c r="E163" s="18" t="n"/>
      <c r="F163" s="18" t="n"/>
      <c r="G163" s="18" t="n"/>
      <c r="H163" s="18" t="n"/>
      <c r="I163" s="18" t="n"/>
      <c r="J163" s="18" t="n"/>
      <c r="K163" s="18" t="n"/>
      <c r="L163" s="18" t="n"/>
    </row>
    <row r="164">
      <c r="A164" s="18" t="n"/>
      <c r="B164" s="18" t="n"/>
      <c r="C164" s="18" t="n"/>
      <c r="D164" s="18" t="n"/>
      <c r="E164" s="18" t="n"/>
      <c r="F164" s="18" t="n"/>
      <c r="G164" s="18" t="n"/>
      <c r="H164" s="18" t="n"/>
      <c r="I164" s="18" t="n"/>
      <c r="J164" s="18" t="n"/>
      <c r="K164" s="18" t="n"/>
      <c r="L164" s="18" t="n"/>
    </row>
    <row r="165">
      <c r="A165" s="18" t="n"/>
      <c r="B165" s="18" t="n"/>
      <c r="C165" s="18" t="n"/>
      <c r="D165" s="18" t="n"/>
      <c r="E165" s="18" t="n"/>
      <c r="F165" s="18" t="n"/>
      <c r="G165" s="18" t="n"/>
      <c r="H165" s="18" t="n"/>
      <c r="I165" s="18" t="n"/>
      <c r="J165" s="18" t="n"/>
      <c r="K165" s="18" t="n"/>
      <c r="L165" s="18" t="n"/>
    </row>
    <row r="166">
      <c r="A166" s="18" t="n"/>
      <c r="B166" s="18" t="n"/>
      <c r="C166" s="18" t="n"/>
      <c r="D166" s="18" t="n"/>
      <c r="E166" s="18" t="n"/>
      <c r="F166" s="18" t="n"/>
      <c r="G166" s="18" t="n"/>
      <c r="H166" s="18" t="n"/>
      <c r="I166" s="18" t="n"/>
      <c r="J166" s="18" t="n"/>
      <c r="K166" s="18" t="n"/>
      <c r="L166" s="18" t="n"/>
    </row>
    <row r="167">
      <c r="A167" s="18" t="n"/>
      <c r="B167" s="18" t="n"/>
      <c r="C167" s="18" t="n"/>
      <c r="D167" s="18" t="n"/>
      <c r="E167" s="18" t="n"/>
      <c r="F167" s="18" t="n"/>
      <c r="G167" s="18" t="n"/>
      <c r="H167" s="18" t="n"/>
      <c r="I167" s="18" t="n"/>
      <c r="J167" s="18" t="n"/>
      <c r="K167" s="18" t="n"/>
      <c r="L167" s="18" t="n"/>
    </row>
    <row r="168">
      <c r="A168" s="18" t="n"/>
      <c r="B168" s="18" t="n"/>
      <c r="C168" s="18" t="n"/>
      <c r="D168" s="18" t="n"/>
      <c r="E168" s="18" t="n"/>
      <c r="F168" s="18" t="n"/>
      <c r="G168" s="18" t="n"/>
      <c r="H168" s="18" t="n"/>
      <c r="I168" s="18" t="n"/>
      <c r="J168" s="18" t="n"/>
      <c r="K168" s="18" t="n"/>
      <c r="L168" s="18" t="n"/>
    </row>
    <row r="169">
      <c r="A169" s="18" t="n"/>
      <c r="B169" s="18" t="n"/>
      <c r="C169" s="18" t="n"/>
      <c r="D169" s="18" t="n"/>
      <c r="E169" s="18" t="n"/>
      <c r="F169" s="18" t="n"/>
      <c r="G169" s="18" t="n"/>
      <c r="H169" s="18" t="n"/>
      <c r="I169" s="18" t="n"/>
      <c r="J169" s="18" t="n"/>
      <c r="K169" s="18" t="n"/>
      <c r="L169" s="18" t="n"/>
    </row>
    <row r="170">
      <c r="A170" s="18" t="n"/>
      <c r="B170" s="18" t="n"/>
      <c r="C170" s="18" t="n"/>
      <c r="D170" s="18" t="n"/>
      <c r="E170" s="18" t="n"/>
      <c r="F170" s="18" t="n"/>
      <c r="G170" s="18" t="n"/>
      <c r="H170" s="18" t="n"/>
      <c r="I170" s="18" t="n"/>
      <c r="J170" s="18" t="n"/>
      <c r="K170" s="18" t="n"/>
      <c r="L170" s="18" t="n"/>
    </row>
    <row r="171">
      <c r="A171" s="18" t="n"/>
      <c r="B171" s="18" t="n"/>
      <c r="C171" s="18" t="n"/>
      <c r="D171" s="18" t="n"/>
      <c r="E171" s="18" t="n"/>
      <c r="F171" s="18" t="n"/>
      <c r="G171" s="18" t="n"/>
      <c r="H171" s="18" t="n"/>
      <c r="I171" s="18" t="n"/>
      <c r="J171" s="18" t="n"/>
      <c r="K171" s="18" t="n"/>
      <c r="L171" s="18" t="n"/>
    </row>
    <row r="172">
      <c r="A172" s="18" t="n"/>
      <c r="B172" s="18" t="n"/>
      <c r="C172" s="18" t="n"/>
      <c r="D172" s="18" t="n"/>
      <c r="E172" s="18" t="n"/>
      <c r="F172" s="18" t="n"/>
      <c r="G172" s="18" t="n"/>
      <c r="H172" s="18" t="n"/>
      <c r="I172" s="18" t="n"/>
      <c r="J172" s="18" t="n"/>
      <c r="K172" s="18" t="n"/>
      <c r="L172" s="18" t="n"/>
    </row>
    <row r="173">
      <c r="A173" s="18" t="n"/>
      <c r="B173" s="18" t="n"/>
      <c r="C173" s="18" t="n"/>
      <c r="D173" s="18" t="n"/>
      <c r="E173" s="18" t="n"/>
      <c r="F173" s="18" t="n"/>
      <c r="G173" s="18" t="n"/>
      <c r="H173" s="18" t="n"/>
      <c r="I173" s="18" t="n"/>
      <c r="J173" s="18" t="n"/>
      <c r="K173" s="18" t="n"/>
      <c r="L173" s="18" t="n"/>
    </row>
    <row r="174">
      <c r="A174" s="18" t="n"/>
      <c r="B174" s="18" t="n"/>
      <c r="C174" s="18" t="n"/>
      <c r="D174" s="18" t="n"/>
      <c r="E174" s="18" t="n"/>
      <c r="F174" s="18" t="n"/>
      <c r="G174" s="18" t="n"/>
      <c r="H174" s="18" t="n"/>
      <c r="I174" s="18" t="n"/>
      <c r="J174" s="18" t="n"/>
      <c r="K174" s="18" t="n"/>
      <c r="L174" s="18" t="n"/>
    </row>
    <row r="175">
      <c r="A175" s="18" t="n"/>
      <c r="B175" s="18" t="n"/>
      <c r="C175" s="18" t="n"/>
      <c r="D175" s="18" t="n"/>
      <c r="E175" s="18" t="n"/>
      <c r="F175" s="18" t="n"/>
      <c r="G175" s="18" t="n"/>
      <c r="H175" s="18" t="n"/>
      <c r="I175" s="18" t="n"/>
      <c r="J175" s="18" t="n"/>
      <c r="K175" s="18" t="n"/>
      <c r="L175" s="18" t="n"/>
    </row>
    <row r="176">
      <c r="A176" s="18" t="n"/>
      <c r="B176" s="18" t="n"/>
      <c r="C176" s="18" t="n"/>
      <c r="D176" s="18" t="n"/>
      <c r="E176" s="18" t="n"/>
      <c r="F176" s="18" t="n"/>
      <c r="G176" s="18" t="n"/>
      <c r="H176" s="18" t="n"/>
      <c r="I176" s="18" t="n"/>
      <c r="J176" s="18" t="n"/>
      <c r="K176" s="18" t="n"/>
      <c r="L176" s="18" t="n"/>
    </row>
    <row r="177">
      <c r="A177" s="18" t="n"/>
      <c r="B177" s="18" t="n"/>
      <c r="C177" s="18" t="n"/>
      <c r="D177" s="18" t="n"/>
      <c r="E177" s="18" t="n"/>
      <c r="F177" s="18" t="n"/>
      <c r="G177" s="18" t="n"/>
      <c r="H177" s="18" t="n"/>
      <c r="I177" s="18" t="n"/>
      <c r="J177" s="18" t="n"/>
      <c r="K177" s="18" t="n"/>
      <c r="L177" s="18" t="n"/>
    </row>
    <row r="178">
      <c r="A178" s="18" t="n"/>
      <c r="B178" s="18" t="n"/>
      <c r="C178" s="18" t="n"/>
      <c r="D178" s="18" t="n"/>
      <c r="E178" s="18" t="n"/>
      <c r="F178" s="18" t="n"/>
      <c r="G178" s="18" t="n"/>
      <c r="H178" s="18" t="n"/>
      <c r="I178" s="18" t="n"/>
      <c r="J178" s="18" t="n"/>
      <c r="K178" s="18" t="n"/>
      <c r="L178" s="18" t="n"/>
    </row>
    <row r="179">
      <c r="A179" s="18" t="n"/>
      <c r="B179" s="18" t="n"/>
      <c r="C179" s="18" t="n"/>
      <c r="D179" s="18" t="n"/>
      <c r="E179" s="18" t="n"/>
      <c r="F179" s="18" t="n"/>
      <c r="G179" s="18" t="n"/>
      <c r="H179" s="18" t="n"/>
      <c r="I179" s="18" t="n"/>
      <c r="J179" s="18" t="n"/>
      <c r="K179" s="18" t="n"/>
      <c r="L179" s="18" t="n"/>
    </row>
    <row r="180">
      <c r="A180" s="18" t="n"/>
      <c r="B180" s="18" t="n"/>
      <c r="C180" s="18" t="n"/>
      <c r="D180" s="18" t="n"/>
      <c r="E180" s="18" t="n"/>
      <c r="F180" s="18" t="n"/>
      <c r="G180" s="18" t="n"/>
      <c r="H180" s="18" t="n"/>
      <c r="I180" s="18" t="n"/>
      <c r="J180" s="18" t="n"/>
      <c r="K180" s="18" t="n"/>
      <c r="L180" s="18" t="n"/>
    </row>
    <row r="181">
      <c r="A181" s="18" t="n"/>
      <c r="B181" s="18" t="n"/>
      <c r="C181" s="18" t="n"/>
      <c r="D181" s="18" t="n"/>
      <c r="E181" s="18" t="n"/>
      <c r="F181" s="18" t="n"/>
      <c r="G181" s="18" t="n"/>
      <c r="H181" s="18" t="n"/>
      <c r="I181" s="18" t="n"/>
      <c r="J181" s="18" t="n"/>
      <c r="K181" s="18" t="n"/>
      <c r="L181" s="18" t="n"/>
    </row>
    <row r="182">
      <c r="A182" s="18" t="n"/>
      <c r="B182" s="18" t="n"/>
      <c r="C182" s="18" t="n"/>
      <c r="D182" s="18" t="n"/>
      <c r="E182" s="18" t="n"/>
      <c r="F182" s="18" t="n"/>
      <c r="G182" s="18" t="n"/>
      <c r="H182" s="18" t="n"/>
      <c r="I182" s="18" t="n"/>
      <c r="J182" s="18" t="n"/>
      <c r="K182" s="18" t="n"/>
      <c r="L182" s="18" t="n"/>
    </row>
    <row r="183">
      <c r="A183" s="18" t="n"/>
      <c r="B183" s="18" t="n"/>
      <c r="C183" s="18" t="n"/>
      <c r="D183" s="18" t="n"/>
      <c r="E183" s="18" t="n"/>
      <c r="F183" s="18" t="n"/>
      <c r="G183" s="18" t="n"/>
      <c r="H183" s="18" t="n"/>
      <c r="I183" s="18" t="n"/>
      <c r="J183" s="18" t="n"/>
      <c r="K183" s="18" t="n"/>
      <c r="L183" s="18" t="n"/>
    </row>
    <row r="184">
      <c r="A184" s="18" t="n"/>
      <c r="B184" s="18" t="n"/>
      <c r="C184" s="18" t="n"/>
      <c r="D184" s="18" t="n"/>
      <c r="E184" s="18" t="n"/>
      <c r="F184" s="18" t="n"/>
      <c r="G184" s="18" t="n"/>
      <c r="H184" s="18" t="n"/>
      <c r="I184" s="18" t="n"/>
      <c r="J184" s="18" t="n"/>
      <c r="K184" s="18" t="n"/>
      <c r="L184" s="18" t="n"/>
    </row>
    <row r="185">
      <c r="A185" s="18" t="n"/>
      <c r="B185" s="18" t="n"/>
      <c r="C185" s="18" t="n"/>
      <c r="D185" s="18" t="n"/>
      <c r="E185" s="18" t="n"/>
      <c r="F185" s="18" t="n"/>
      <c r="G185" s="18" t="n"/>
      <c r="H185" s="18" t="n"/>
      <c r="I185" s="18" t="n"/>
      <c r="J185" s="18" t="n"/>
      <c r="K185" s="18" t="n"/>
      <c r="L185" s="18" t="n"/>
    </row>
    <row r="186">
      <c r="A186" s="18" t="n"/>
      <c r="B186" s="18" t="n"/>
      <c r="C186" s="18" t="n"/>
      <c r="D186" s="18" t="n"/>
      <c r="E186" s="18" t="n"/>
      <c r="F186" s="18" t="n"/>
      <c r="G186" s="18" t="n"/>
      <c r="H186" s="18" t="n"/>
      <c r="I186" s="18" t="n"/>
      <c r="J186" s="18" t="n"/>
      <c r="K186" s="18" t="n"/>
      <c r="L186" s="18" t="n"/>
    </row>
    <row r="187">
      <c r="A187" s="18" t="n"/>
      <c r="B187" s="18" t="n"/>
      <c r="C187" s="18" t="n"/>
      <c r="D187" s="18" t="n"/>
      <c r="E187" s="18" t="n"/>
      <c r="F187" s="18" t="n"/>
      <c r="G187" s="18" t="n"/>
      <c r="H187" s="18" t="n"/>
      <c r="I187" s="18" t="n"/>
      <c r="J187" s="18" t="n"/>
      <c r="K187" s="18" t="n"/>
      <c r="L187" s="18" t="n"/>
    </row>
    <row r="188">
      <c r="A188" s="18" t="n"/>
      <c r="B188" s="18" t="n"/>
      <c r="C188" s="18" t="n"/>
      <c r="D188" s="18" t="n"/>
      <c r="E188" s="18" t="n"/>
      <c r="F188" s="18" t="n"/>
      <c r="G188" s="18" t="n"/>
      <c r="H188" s="18" t="n"/>
      <c r="I188" s="18" t="n"/>
      <c r="J188" s="18" t="n"/>
      <c r="K188" s="18" t="n"/>
      <c r="L188" s="18" t="n"/>
    </row>
    <row r="189">
      <c r="A189" s="18" t="n"/>
      <c r="B189" s="18" t="n"/>
      <c r="C189" s="18" t="n"/>
      <c r="D189" s="18" t="n"/>
      <c r="E189" s="18" t="n"/>
      <c r="F189" s="18" t="n"/>
      <c r="G189" s="18" t="n"/>
      <c r="H189" s="18" t="n"/>
      <c r="I189" s="18" t="n"/>
      <c r="J189" s="18" t="n"/>
      <c r="K189" s="18" t="n"/>
      <c r="L189" s="18" t="n"/>
    </row>
    <row r="190">
      <c r="A190" s="18" t="n"/>
      <c r="B190" s="18" t="n"/>
      <c r="C190" s="18" t="n"/>
      <c r="D190" s="18" t="n"/>
      <c r="E190" s="18" t="n"/>
      <c r="F190" s="18" t="n"/>
      <c r="G190" s="18" t="n"/>
      <c r="H190" s="18" t="n"/>
      <c r="I190" s="18" t="n"/>
      <c r="J190" s="18" t="n"/>
      <c r="K190" s="18" t="n"/>
      <c r="L190" s="18" t="n"/>
    </row>
    <row r="191">
      <c r="A191" s="18" t="n"/>
      <c r="B191" s="18" t="n"/>
      <c r="C191" s="18" t="n"/>
      <c r="D191" s="18" t="n"/>
      <c r="E191" s="18" t="n"/>
      <c r="F191" s="18" t="n"/>
      <c r="G191" s="18" t="n"/>
      <c r="H191" s="18" t="n"/>
      <c r="I191" s="18" t="n"/>
      <c r="J191" s="18" t="n"/>
      <c r="K191" s="18" t="n"/>
      <c r="L191" s="18" t="n"/>
    </row>
    <row r="192">
      <c r="A192" s="18" t="n"/>
      <c r="B192" s="18" t="n"/>
      <c r="C192" s="18" t="n"/>
      <c r="D192" s="18" t="n"/>
      <c r="E192" s="18" t="n"/>
      <c r="F192" s="18" t="n"/>
      <c r="G192" s="18" t="n"/>
      <c r="H192" s="18" t="n"/>
      <c r="I192" s="18" t="n"/>
      <c r="J192" s="18" t="n"/>
      <c r="K192" s="18" t="n"/>
      <c r="L192" s="18" t="n"/>
    </row>
    <row r="193">
      <c r="A193" s="18" t="n"/>
      <c r="B193" s="18" t="n"/>
      <c r="C193" s="18" t="n"/>
      <c r="D193" s="18" t="n"/>
      <c r="E193" s="18" t="n"/>
      <c r="F193" s="18" t="n"/>
      <c r="G193" s="18" t="n"/>
      <c r="H193" s="18" t="n"/>
      <c r="I193" s="18" t="n"/>
      <c r="J193" s="18" t="n"/>
      <c r="K193" s="18" t="n"/>
      <c r="L193" s="18" t="n"/>
    </row>
    <row r="194">
      <c r="A194" s="18" t="n"/>
      <c r="B194" s="18" t="n"/>
      <c r="C194" s="18" t="n"/>
      <c r="D194" s="18" t="n"/>
      <c r="E194" s="18" t="n"/>
      <c r="F194" s="18" t="n"/>
      <c r="G194" s="18" t="n"/>
      <c r="H194" s="18" t="n"/>
      <c r="I194" s="18" t="n"/>
      <c r="J194" s="18" t="n"/>
      <c r="K194" s="18" t="n"/>
      <c r="L194" s="18" t="n"/>
    </row>
    <row r="195">
      <c r="A195" s="18" t="n"/>
      <c r="B195" s="18" t="n"/>
      <c r="C195" s="18" t="n"/>
      <c r="D195" s="18" t="n"/>
      <c r="E195" s="18" t="n"/>
      <c r="F195" s="18" t="n"/>
      <c r="G195" s="18" t="n"/>
      <c r="H195" s="18" t="n"/>
      <c r="I195" s="18" t="n"/>
      <c r="J195" s="18" t="n"/>
      <c r="K195" s="18" t="n"/>
      <c r="L195" s="18" t="n"/>
    </row>
    <row r="196">
      <c r="A196" s="18" t="n"/>
      <c r="B196" s="18" t="n"/>
      <c r="C196" s="18" t="n"/>
      <c r="D196" s="18" t="n"/>
      <c r="E196" s="18" t="n"/>
      <c r="F196" s="18" t="n"/>
      <c r="G196" s="18" t="n"/>
      <c r="H196" s="18" t="n"/>
      <c r="I196" s="18" t="n"/>
      <c r="J196" s="18" t="n"/>
      <c r="K196" s="18" t="n"/>
      <c r="L196" s="18" t="n"/>
    </row>
    <row r="197">
      <c r="A197" s="18" t="n"/>
      <c r="B197" s="18" t="n"/>
      <c r="C197" s="18" t="n"/>
      <c r="D197" s="18" t="n"/>
      <c r="E197" s="18" t="n"/>
      <c r="F197" s="18" t="n"/>
      <c r="G197" s="18" t="n"/>
      <c r="H197" s="18" t="n"/>
      <c r="I197" s="18" t="n"/>
      <c r="J197" s="18" t="n"/>
      <c r="K197" s="18" t="n"/>
      <c r="L197" s="18" t="n"/>
    </row>
    <row r="198">
      <c r="A198" s="18" t="n"/>
      <c r="B198" s="18" t="n"/>
      <c r="C198" s="18" t="n"/>
      <c r="D198" s="18" t="n"/>
      <c r="E198" s="18" t="n"/>
      <c r="F198" s="18" t="n"/>
      <c r="G198" s="18" t="n"/>
      <c r="H198" s="18" t="n"/>
      <c r="I198" s="18" t="n"/>
      <c r="J198" s="18" t="n"/>
      <c r="K198" s="18" t="n"/>
      <c r="L198" s="18" t="n"/>
    </row>
    <row r="199">
      <c r="A199" s="18" t="n"/>
      <c r="B199" s="18" t="n"/>
      <c r="C199" s="18" t="n"/>
      <c r="D199" s="18" t="n"/>
      <c r="E199" s="18" t="n"/>
      <c r="F199" s="18" t="n"/>
      <c r="G199" s="18" t="n"/>
      <c r="H199" s="18" t="n"/>
      <c r="I199" s="18" t="n"/>
      <c r="J199" s="18" t="n"/>
      <c r="K199" s="18" t="n"/>
      <c r="L199" s="18" t="n"/>
    </row>
    <row r="200">
      <c r="A200" s="18" t="n"/>
      <c r="B200" s="18" t="n"/>
      <c r="C200" s="18" t="n"/>
      <c r="D200" s="18" t="n"/>
      <c r="E200" s="18" t="n"/>
      <c r="F200" s="18" t="n"/>
      <c r="G200" s="18" t="n"/>
      <c r="H200" s="18" t="n"/>
      <c r="I200" s="18" t="n"/>
      <c r="J200" s="18" t="n"/>
      <c r="K200" s="18" t="n"/>
      <c r="L200" s="18" t="n"/>
    </row>
    <row r="201">
      <c r="A201" s="18" t="n"/>
      <c r="B201" s="18" t="n"/>
      <c r="C201" s="18" t="n"/>
      <c r="D201" s="18" t="n"/>
      <c r="E201" s="18" t="n"/>
      <c r="F201" s="18" t="n"/>
      <c r="G201" s="18" t="n"/>
      <c r="H201" s="18" t="n"/>
      <c r="I201" s="18" t="n"/>
      <c r="J201" s="18" t="n"/>
      <c r="K201" s="18" t="n"/>
      <c r="L201" s="18" t="n"/>
    </row>
    <row r="202">
      <c r="A202" t="inlineStr">
        <is>
          <t>Q-19</t>
        </is>
      </c>
      <c r="B202" t="inlineStr">
        <is>
          <t>方法</t>
        </is>
      </c>
      <c r="C202" t="inlineStr">
        <is>
          <t>ALL</t>
        </is>
      </c>
      <c r="D202" t="inlineStr">
        <is>
          <t>范式口径更正：课题为 CLCA（边际预测），框架文献 Guyomarc'h 2024 为 ALCA——按范式三分类情况③（不同），放弃文献分配因子，课题走边际供应商＋副产品替代</t>
        </is>
      </c>
      <c r="E202" t="inlineStr">
        <is>
          <t>用户 2026-09-29 指示；原 Q-07 决定</t>
        </is>
      </c>
      <c r="F202" t="inlineStr">
        <is>
          <t>分配因子不进入课题模型；功能三需建替代接口与边际供应商</t>
        </is>
      </c>
      <c r="G202" t="inlineStr">
        <is>
          <t>四套 AF（PA-AF-*）保留候选作对照留档</t>
        </is>
      </c>
      <c r="H202" t="inlineStr">
        <is>
          <t>用户决定（2026-09-29）：课题 CLCA，放弃文献分配因子；边际供应商＋副产品替代待功能三确定</t>
        </is>
      </c>
      <c r="I202" t="inlineStr">
        <is>
          <t>已解决</t>
        </is>
      </c>
      <c r="J202" t="inlineStr">
        <is>
          <t>项目说明.建模模式／分配政策／副产品替代状态</t>
        </is>
      </c>
      <c r="K202" t="inlineStr">
        <is>
          <t>2026-09-29</t>
        </is>
      </c>
      <c r="L202" t="inlineStr">
        <is>
          <t>取代 Q-07 的 attributional 口径</t>
        </is>
      </c>
    </row>
  </sheetData>
  <conditionalFormatting sqref="I5:I204">
    <cfRule type="containsText" priority="1" operator="containsText" dxfId="0" text="未解决"/>
  </conditionalFormatting>
  <dataValidations count="1">
    <dataValidation sqref="I5:I204" showDropDown="0" showInputMessage="0" showErrorMessage="0" allowBlank="0" type="list">
      <formula1>"未解决,待用户决定,已决定待执行,已解决,保留说明,不适用"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55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  <col width="20" customWidth="1" min="8" max="8"/>
    <col width="14" customWidth="1" min="9" max="9"/>
    <col width="34" customWidth="1" min="10" max="10"/>
    <col width="16" customWidth="1" min="11" max="11"/>
    <col width="16" customWidth="1" min="12" max="12"/>
    <col width="14" customWidth="1" min="13" max="13"/>
    <col width="20" customWidth="1" min="14" max="14"/>
    <col width="20" customWidth="1" min="15" max="15"/>
    <col width="18" customWidth="1" min="16" max="16"/>
    <col width="18" customWidth="1" min="17" max="17"/>
    <col width="22" customWidth="1" min="18" max="18"/>
    <col width="18" customWidth="1" min="19" max="19"/>
    <col width="18" customWidth="1" min="20" max="20"/>
    <col width="34" customWidth="1" min="21" max="21"/>
  </cols>
  <sheetData>
    <row r="1" ht="24" customHeight="1">
      <c r="A1" s="1" t="inlineStr">
        <is>
          <t>绘图确认</t>
        </is>
      </c>
    </row>
    <row r="2" ht="24" customHeight="1">
      <c r="A2" s="2" t="inlineStr">
        <is>
          <t>科学字段由模型过程和模型流派生；用户只确认展开、显示、标签和样式。</t>
        </is>
      </c>
    </row>
    <row r="3">
      <c r="A3" t="inlineStr">
        <is>
          <t>只确认展开、显示和标签；L/M列自动引用模型流，不能手填科学数值。</t>
        </is>
      </c>
    </row>
    <row r="4" ht="34" customHeight="1">
      <c r="A4" s="14" t="inlineStr">
        <is>
          <t>对象ID</t>
        </is>
      </c>
      <c r="B4" s="15" t="inlineStr">
        <is>
          <t>对象类型</t>
        </is>
      </c>
      <c r="C4" s="15" t="inlineStr">
        <is>
          <t>来源ID</t>
        </is>
      </c>
      <c r="D4" s="15" t="inlineStr">
        <is>
          <t>所属车间</t>
        </is>
      </c>
      <c r="E4" s="15" t="inlineStr">
        <is>
          <t>来源过程ID</t>
        </is>
      </c>
      <c r="F4" s="15" t="inlineStr">
        <is>
          <t>目标过程ID</t>
        </is>
      </c>
      <c r="G4" s="15" t="inlineStr">
        <is>
          <t>主支线ID</t>
        </is>
      </c>
      <c r="H4" s="15" t="inlineStr">
        <is>
          <t>展开方式</t>
        </is>
      </c>
      <c r="I4" s="15" t="inlineStr">
        <is>
          <t>是否显示</t>
        </is>
      </c>
      <c r="J4" s="15" t="inlineStr">
        <is>
          <t>显示标签</t>
        </is>
      </c>
      <c r="K4" s="15" t="inlineStr">
        <is>
          <t>是否显示数值</t>
        </is>
      </c>
      <c r="L4" s="15" t="inlineStr">
        <is>
          <t>代表值</t>
        </is>
      </c>
      <c r="M4" s="15" t="inlineStr">
        <is>
          <t>单位</t>
        </is>
      </c>
      <c r="N4" s="15" t="inlineStr">
        <is>
          <t>标签模式</t>
        </is>
      </c>
      <c r="O4" s="15" t="inlineStr">
        <is>
          <t>样式角色</t>
        </is>
      </c>
      <c r="P4" s="15" t="inlineStr">
        <is>
          <t>数据功能确认</t>
        </is>
      </c>
      <c r="Q4" s="15" t="inlineStr">
        <is>
          <t>绘图功能确认</t>
        </is>
      </c>
      <c r="R4" s="15" t="inlineStr">
        <is>
          <t>Draw.io对象ID</t>
        </is>
      </c>
      <c r="S4" s="15" t="inlineStr">
        <is>
          <t>QA状态</t>
        </is>
      </c>
      <c r="T4" s="15" t="inlineStr">
        <is>
          <t>关联问题ID</t>
        </is>
      </c>
      <c r="U4" s="16" t="inlineStr">
        <is>
          <t>备注</t>
        </is>
      </c>
    </row>
    <row r="5">
      <c r="A5" s="18" t="inlineStr">
        <is>
          <t>FL-RM</t>
        </is>
      </c>
      <c r="B5" s="18" t="inlineStr">
        <is>
          <t>Edge</t>
        </is>
      </c>
      <c r="C5" s="18" t="n"/>
      <c r="D5" s="18" t="n"/>
      <c r="E5" s="18" t="n"/>
      <c r="F5" s="18" t="inlineStr">
        <is>
          <t>PR01-OP1</t>
        </is>
      </c>
      <c r="G5" s="18" t="inlineStr">
        <is>
          <t>主线</t>
        </is>
      </c>
      <c r="H5" s="18" t="n"/>
      <c r="I5" s="18" t="inlineStr">
        <is>
          <t>是</t>
        </is>
      </c>
      <c r="J5" s="18" t="inlineStr">
        <is>
          <t>原料奶 583</t>
        </is>
      </c>
      <c r="K5" s="18" t="n"/>
      <c r="L5" s="51">
        <f>IF(A5="","",IF(B5="Edge",IFERROR(IF(INDEX('模型流与公式'!$P$5:$P$204,MATCH(A5,'模型流与公式'!$A$5:$A$204,0))="","",INDEX('模型流与公式'!$P$5:$P$204,MATCH(A5,'模型流与公式'!$A$5:$A$204,0))),""),""))</f>
        <v/>
      </c>
      <c r="M5" s="18">
        <f>IF(A5="","",IF(B5="Edge",IFERROR(IF(INDEX('模型流与公式'!$Q$5:$Q$204,MATCH(A5,'模型流与公式'!$A$5:$A$204,0))="","",INDEX('模型流与公式'!$Q$5:$Q$204,MATCH(A5,'模型流与公式'!$A$5:$A$204,0))),""),""))</f>
        <v/>
      </c>
      <c r="N5" s="18" t="n"/>
      <c r="O5" s="18" t="n"/>
      <c r="P5" s="18" t="n"/>
      <c r="Q5" s="18" t="n"/>
      <c r="R5" s="18" t="n"/>
      <c r="S5" s="18" t="n"/>
      <c r="T5" s="18" t="n"/>
      <c r="U5" s="18" t="n"/>
    </row>
    <row r="6">
      <c r="A6" s="18" t="inlineStr">
        <is>
          <t>FL-SKIM</t>
        </is>
      </c>
      <c r="B6" s="18" t="inlineStr">
        <is>
          <t>Edge</t>
        </is>
      </c>
      <c r="C6" s="18" t="n"/>
      <c r="D6" s="18" t="n"/>
      <c r="E6" s="18" t="inlineStr">
        <is>
          <t>PR02-OP1</t>
        </is>
      </c>
      <c r="F6" s="18" t="inlineStr">
        <is>
          <t>PR04-OP1</t>
        </is>
      </c>
      <c r="G6" s="18" t="inlineStr">
        <is>
          <t>主线</t>
        </is>
      </c>
      <c r="H6" s="18" t="n"/>
      <c r="I6" s="18" t="inlineStr">
        <is>
          <t>是</t>
        </is>
      </c>
      <c r="J6" s="18" t="inlineStr">
        <is>
          <t>脱脂奶 525</t>
        </is>
      </c>
      <c r="K6" s="18" t="n"/>
      <c r="L6" s="51">
        <f>IF(A6="","",IF(B6="Edge",IFERROR(IF(INDEX('模型流与公式'!$P$5:$P$204,MATCH(A6,'模型流与公式'!$A$5:$A$204,0))="","",INDEX('模型流与公式'!$P$5:$P$204,MATCH(A6,'模型流与公式'!$A$5:$A$204,0))),""),""))</f>
        <v/>
      </c>
      <c r="M6" s="18">
        <f>IF(A6="","",IF(B6="Edge",IFERROR(IF(INDEX('模型流与公式'!$Q$5:$Q$204,MATCH(A6,'模型流与公式'!$A$5:$A$204,0))="","",INDEX('模型流与公式'!$Q$5:$Q$204,MATCH(A6,'模型流与公式'!$A$5:$A$204,0))),""),""))</f>
        <v/>
      </c>
      <c r="N6" s="18" t="n"/>
      <c r="O6" s="18" t="n"/>
      <c r="P6" s="18" t="n"/>
      <c r="Q6" s="18" t="n"/>
      <c r="R6" s="18" t="n"/>
      <c r="S6" s="18" t="n"/>
      <c r="T6" s="18" t="n"/>
      <c r="U6" s="18" t="n"/>
    </row>
    <row r="7">
      <c r="A7" s="18" t="inlineStr">
        <is>
          <t>FL-CREAM</t>
        </is>
      </c>
      <c r="B7" s="18" t="inlineStr">
        <is>
          <t>Edge</t>
        </is>
      </c>
      <c r="C7" s="18" t="n"/>
      <c r="D7" s="18" t="n"/>
      <c r="E7" s="18" t="inlineStr">
        <is>
          <t>PR02-OP1</t>
        </is>
      </c>
      <c r="F7" s="18" t="inlineStr">
        <is>
          <t>PR03-OP1</t>
        </is>
      </c>
      <c r="G7" s="18" t="inlineStr">
        <is>
          <t>支线（奶油）</t>
        </is>
      </c>
      <c r="H7" s="18" t="n"/>
      <c r="I7" s="18" t="inlineStr">
        <is>
          <t>是</t>
        </is>
      </c>
      <c r="J7" s="18" t="inlineStr">
        <is>
          <t>稀奶油 58</t>
        </is>
      </c>
      <c r="K7" s="18" t="n"/>
      <c r="L7" s="51">
        <f>IF(A7="","",IF(B7="Edge",IFERROR(IF(INDEX('模型流与公式'!$P$5:$P$204,MATCH(A7,'模型流与公式'!$A$5:$A$204,0))="","",INDEX('模型流与公式'!$P$5:$P$204,MATCH(A7,'模型流与公式'!$A$5:$A$204,0))),""),""))</f>
        <v/>
      </c>
      <c r="M7" s="18">
        <f>IF(A7="","",IF(B7="Edge",IFERROR(IF(INDEX('模型流与公式'!$Q$5:$Q$204,MATCH(A7,'模型流与公式'!$A$5:$A$204,0))="","",INDEX('模型流与公式'!$Q$5:$Q$204,MATCH(A7,'模型流与公式'!$A$5:$A$204,0))),""),""))</f>
        <v/>
      </c>
      <c r="N7" s="18" t="n"/>
      <c r="O7" s="18" t="n"/>
      <c r="P7" s="18" t="n"/>
      <c r="Q7" s="18" t="n"/>
      <c r="R7" s="18" t="n"/>
      <c r="S7" s="18" t="n"/>
      <c r="T7" s="18" t="n"/>
      <c r="U7" s="18" t="n"/>
    </row>
    <row r="8">
      <c r="A8" s="18" t="inlineStr">
        <is>
          <t>FL-CAS</t>
        </is>
      </c>
      <c r="B8" s="18" t="inlineStr">
        <is>
          <t>Edge</t>
        </is>
      </c>
      <c r="C8" s="18" t="n"/>
      <c r="D8" s="18" t="n"/>
      <c r="E8" s="18" t="inlineStr">
        <is>
          <t>PR05-OP1</t>
        </is>
      </c>
      <c r="F8" s="18" t="inlineStr">
        <is>
          <t>PR06-OP1</t>
        </is>
      </c>
      <c r="G8" s="18" t="inlineStr">
        <is>
          <t>支线（胶束酪蛋白）</t>
        </is>
      </c>
      <c r="H8" s="18" t="n"/>
      <c r="I8" s="18" t="inlineStr">
        <is>
          <t>是</t>
        </is>
      </c>
      <c r="J8" s="18" t="inlineStr">
        <is>
          <t>胶束酪蛋白 175</t>
        </is>
      </c>
      <c r="K8" s="18" t="n"/>
      <c r="L8" s="51">
        <f>IF(A8="","",IF(B8="Edge",IFERROR(IF(INDEX('模型流与公式'!$P$5:$P$204,MATCH(A8,'模型流与公式'!$A$5:$A$204,0))="","",INDEX('模型流与公式'!$P$5:$P$204,MATCH(A8,'模型流与公式'!$A$5:$A$204,0))),""),""))</f>
        <v/>
      </c>
      <c r="M8" s="18">
        <f>IF(A8="","",IF(B8="Edge",IFERROR(IF(INDEX('模型流与公式'!$Q$5:$Q$204,MATCH(A8,'模型流与公式'!$A$5:$A$204,0))="","",INDEX('模型流与公式'!$Q$5:$Q$204,MATCH(A8,'模型流与公式'!$A$5:$A$204,0))),""),""))</f>
        <v/>
      </c>
      <c r="N8" s="18" t="n"/>
      <c r="O8" s="18" t="n"/>
      <c r="P8" s="18" t="n"/>
      <c r="Q8" s="18" t="n"/>
      <c r="R8" s="18" t="n"/>
      <c r="S8" s="18" t="n"/>
      <c r="T8" s="18" t="n"/>
      <c r="U8" s="18" t="n"/>
    </row>
    <row r="9">
      <c r="A9" s="18" t="inlineStr">
        <is>
          <t>FL-WHEY</t>
        </is>
      </c>
      <c r="B9" s="18" t="inlineStr">
        <is>
          <t>Edge</t>
        </is>
      </c>
      <c r="C9" s="18" t="n"/>
      <c r="D9" s="18" t="n"/>
      <c r="E9" s="18" t="inlineStr">
        <is>
          <t>PR05-OP1</t>
        </is>
      </c>
      <c r="F9" s="18" t="inlineStr">
        <is>
          <t>PR07-OP1</t>
        </is>
      </c>
      <c r="G9" s="18" t="inlineStr">
        <is>
          <t>主线</t>
        </is>
      </c>
      <c r="H9" s="18" t="n"/>
      <c r="I9" s="18" t="inlineStr">
        <is>
          <t>是</t>
        </is>
      </c>
      <c r="J9" s="18" t="inlineStr">
        <is>
          <t>乳清 350</t>
        </is>
      </c>
      <c r="K9" s="18" t="n"/>
      <c r="L9" s="51">
        <f>IF(A9="","",IF(B9="Edge",IFERROR(IF(INDEX('模型流与公式'!$P$5:$P$204,MATCH(A9,'模型流与公式'!$A$5:$A$204,0))="","",INDEX('模型流与公式'!$P$5:$P$204,MATCH(A9,'模型流与公式'!$A$5:$A$204,0))),""),""))</f>
        <v/>
      </c>
      <c r="M9" s="18">
        <f>IF(A9="","",IF(B9="Edge",IFERROR(IF(INDEX('模型流与公式'!$Q$5:$Q$204,MATCH(A9,'模型流与公式'!$A$5:$A$204,0))="","",INDEX('模型流与公式'!$Q$5:$Q$204,MATCH(A9,'模型流与公式'!$A$5:$A$204,0))),""),""))</f>
        <v/>
      </c>
      <c r="N9" s="18" t="n"/>
      <c r="O9" s="18" t="n"/>
      <c r="P9" s="18" t="n"/>
      <c r="Q9" s="18" t="n"/>
      <c r="R9" s="18" t="n"/>
      <c r="S9" s="18" t="n"/>
      <c r="T9" s="18" t="n"/>
      <c r="U9" s="18" t="n"/>
    </row>
    <row r="10">
      <c r="A10" s="18" t="inlineStr">
        <is>
          <t>FL-W08</t>
        </is>
      </c>
      <c r="B10" s="18" t="inlineStr">
        <is>
          <t>Edge</t>
        </is>
      </c>
      <c r="C10" s="18" t="n"/>
      <c r="D10" s="18" t="n"/>
      <c r="E10" s="18" t="n"/>
      <c r="F10" s="18" t="inlineStr">
        <is>
          <t>PR08-OP1</t>
        </is>
      </c>
      <c r="G10" s="18" t="inlineStr">
        <is>
          <t>主线</t>
        </is>
      </c>
      <c r="H10" s="18" t="n"/>
      <c r="I10" s="18" t="inlineStr">
        <is>
          <t>是</t>
        </is>
      </c>
      <c r="J10" s="18" t="inlineStr">
        <is>
          <t>UF10透析水 63</t>
        </is>
      </c>
      <c r="K10" s="18" t="n"/>
      <c r="L10" s="51">
        <f>IF(A10="","",IF(B10="Edge",IFERROR(IF(INDEX('模型流与公式'!$P$5:$P$204,MATCH(A10,'模型流与公式'!$A$5:$A$204,0))="","",INDEX('模型流与公式'!$P$5:$P$204,MATCH(A10,'模型流与公式'!$A$5:$A$204,0))),""),""))</f>
        <v/>
      </c>
      <c r="M10" s="18">
        <f>IF(A10="","",IF(B10="Edge",IFERROR(IF(INDEX('模型流与公式'!$Q$5:$Q$204,MATCH(A10,'模型流与公式'!$A$5:$A$204,0))="","",INDEX('模型流与公式'!$Q$5:$Q$204,MATCH(A10,'模型流与公式'!$A$5:$A$204,0))),""),""))</f>
        <v/>
      </c>
      <c r="N10" s="18" t="n"/>
      <c r="O10" s="18" t="n"/>
      <c r="P10" s="18" t="n"/>
      <c r="Q10" s="18" t="n"/>
      <c r="R10" s="18" t="n"/>
      <c r="S10" s="18" t="n"/>
      <c r="T10" s="18" t="n"/>
      <c r="U10" s="18" t="n"/>
    </row>
    <row r="11">
      <c r="A11" s="18" t="inlineStr">
        <is>
          <t>FL-WPI</t>
        </is>
      </c>
      <c r="B11" s="18" t="inlineStr">
        <is>
          <t>Edge</t>
        </is>
      </c>
      <c r="C11" s="18" t="n"/>
      <c r="D11" s="18" t="n"/>
      <c r="E11" s="18" t="inlineStr">
        <is>
          <t>PR08-OP1</t>
        </is>
      </c>
      <c r="F11" s="18" t="inlineStr">
        <is>
          <t>PR09-OP1</t>
        </is>
      </c>
      <c r="G11" s="18" t="inlineStr">
        <is>
          <t>主线</t>
        </is>
      </c>
      <c r="H11" s="18" t="n"/>
      <c r="I11" s="18" t="inlineStr">
        <is>
          <t>是</t>
        </is>
      </c>
      <c r="J11" s="18" t="inlineStr">
        <is>
          <t>WPI浓缩液 11.7</t>
        </is>
      </c>
      <c r="K11" s="18" t="n"/>
      <c r="L11" s="51">
        <f>IF(A11="","",IF(B11="Edge",IFERROR(IF(INDEX('模型流与公式'!$P$5:$P$204,MATCH(A11,'模型流与公式'!$A$5:$A$204,0))="","",INDEX('模型流与公式'!$P$5:$P$204,MATCH(A11,'模型流与公式'!$A$5:$A$204,0))),""),""))</f>
        <v/>
      </c>
      <c r="M11" s="18">
        <f>IF(A11="","",IF(B11="Edge",IFERROR(IF(INDEX('模型流与公式'!$Q$5:$Q$204,MATCH(A11,'模型流与公式'!$A$5:$A$204,0))="","",INDEX('模型流与公式'!$Q$5:$Q$204,MATCH(A11,'模型流与公式'!$A$5:$A$204,0))),""),""))</f>
        <v/>
      </c>
      <c r="N11" s="18" t="n"/>
      <c r="O11" s="18" t="n"/>
      <c r="P11" s="18" t="n"/>
      <c r="Q11" s="18" t="n"/>
      <c r="R11" s="18" t="n"/>
      <c r="S11" s="18" t="n"/>
      <c r="T11" s="18" t="n"/>
      <c r="U11" s="18" t="n"/>
    </row>
    <row r="12">
      <c r="A12" s="18" t="inlineStr">
        <is>
          <t>FL-LACP</t>
        </is>
      </c>
      <c r="B12" s="18" t="inlineStr">
        <is>
          <t>Edge</t>
        </is>
      </c>
      <c r="C12" s="18" t="n"/>
      <c r="D12" s="18" t="n"/>
      <c r="E12" s="18" t="inlineStr">
        <is>
          <t>PR08-OP1</t>
        </is>
      </c>
      <c r="F12" s="18" t="inlineStr">
        <is>
          <t>PR11-OP1</t>
        </is>
      </c>
      <c r="G12" s="18" t="inlineStr">
        <is>
          <t>支线（乳糖）</t>
        </is>
      </c>
      <c r="H12" s="18" t="n"/>
      <c r="I12" s="18" t="inlineStr">
        <is>
          <t>是</t>
        </is>
      </c>
      <c r="J12" s="18" t="inlineStr">
        <is>
          <t>乳糖渗透液 401.3</t>
        </is>
      </c>
      <c r="K12" s="18" t="n"/>
      <c r="L12" s="51">
        <f>IF(A12="","",IF(B12="Edge",IFERROR(IF(INDEX('模型流与公式'!$P$5:$P$204,MATCH(A12,'模型流与公式'!$A$5:$A$204,0))="","",INDEX('模型流与公式'!$P$5:$P$204,MATCH(A12,'模型流与公式'!$A$5:$A$204,0))),""),""))</f>
        <v/>
      </c>
      <c r="M12" s="18">
        <f>IF(A12="","",IF(B12="Edge",IFERROR(IF(INDEX('模型流与公式'!$Q$5:$Q$204,MATCH(A12,'模型流与公式'!$A$5:$A$204,0))="","",INDEX('模型流与公式'!$Q$5:$Q$204,MATCH(A12,'模型流与公式'!$A$5:$A$204,0))),""),""))</f>
        <v/>
      </c>
      <c r="N12" s="18" t="n"/>
      <c r="O12" s="18" t="n"/>
      <c r="P12" s="18" t="n"/>
      <c r="Q12" s="18" t="n"/>
      <c r="R12" s="18" t="n"/>
      <c r="S12" s="18" t="n"/>
      <c r="T12" s="18" t="n"/>
      <c r="U12" s="18" t="n"/>
    </row>
    <row r="13">
      <c r="A13" s="18" t="inlineStr">
        <is>
          <t>FL-OSM</t>
        </is>
      </c>
      <c r="B13" s="18" t="inlineStr">
        <is>
          <t>Edge</t>
        </is>
      </c>
      <c r="C13" s="18" t="n"/>
      <c r="D13" s="18" t="n"/>
      <c r="E13" s="18" t="inlineStr">
        <is>
          <t>PR11-OP1</t>
        </is>
      </c>
      <c r="F13" s="18" t="n"/>
      <c r="G13" s="18" t="inlineStr">
        <is>
          <t>支线（乳糖）</t>
        </is>
      </c>
      <c r="H13" s="18" t="n"/>
      <c r="I13" s="18" t="inlineStr">
        <is>
          <t>是</t>
        </is>
      </c>
      <c r="J13" s="18" t="inlineStr">
        <is>
          <t>渗透水 316</t>
        </is>
      </c>
      <c r="K13" s="18" t="n"/>
      <c r="L13" s="51">
        <f>IF(A13="","",IF(B13="Edge",IFERROR(IF(INDEX('模型流与公式'!$P$5:$P$204,MATCH(A13,'模型流与公式'!$A$5:$A$204,0))="","",INDEX('模型流与公式'!$P$5:$P$204,MATCH(A13,'模型流与公式'!$A$5:$A$204,0))),""),""))</f>
        <v/>
      </c>
      <c r="M13" s="18">
        <f>IF(A13="","",IF(B13="Edge",IFERROR(IF(INDEX('模型流与公式'!$Q$5:$Q$204,MATCH(A13,'模型流与公式'!$A$5:$A$204,0))="","",INDEX('模型流与公式'!$Q$5:$Q$204,MATCH(A13,'模型流与公式'!$A$5:$A$204,0))),""),""))</f>
        <v/>
      </c>
      <c r="N13" s="18" t="n"/>
      <c r="O13" s="18" t="n"/>
      <c r="P13" s="18" t="n"/>
      <c r="Q13" s="18" t="n"/>
      <c r="R13" s="18" t="n"/>
      <c r="S13" s="18" t="n"/>
      <c r="T13" s="18" t="n"/>
      <c r="U13" s="18" t="n"/>
    </row>
    <row r="14">
      <c r="A14" s="18" t="inlineStr">
        <is>
          <t>FL-LAC</t>
        </is>
      </c>
      <c r="B14" s="18" t="inlineStr">
        <is>
          <t>Edge</t>
        </is>
      </c>
      <c r="C14" s="18" t="n"/>
      <c r="D14" s="18" t="n"/>
      <c r="E14" s="18" t="inlineStr">
        <is>
          <t>PR11-OP1</t>
        </is>
      </c>
      <c r="F14" s="18" t="inlineStr">
        <is>
          <t>PR12-OP1</t>
        </is>
      </c>
      <c r="G14" s="18" t="inlineStr">
        <is>
          <t>支线（乳糖）</t>
        </is>
      </c>
      <c r="H14" s="18" t="n"/>
      <c r="I14" s="18" t="inlineStr">
        <is>
          <t>是</t>
        </is>
      </c>
      <c r="J14" s="18" t="inlineStr">
        <is>
          <t>浓缩乳糖 85.3</t>
        </is>
      </c>
      <c r="K14" s="18" t="n"/>
      <c r="L14" s="51">
        <f>IF(A14="","",IF(B14="Edge",IFERROR(IF(INDEX('模型流与公式'!$P$5:$P$204,MATCH(A14,'模型流与公式'!$A$5:$A$204,0))="","",INDEX('模型流与公式'!$P$5:$P$204,MATCH(A14,'模型流与公式'!$A$5:$A$204,0))),""),""))</f>
        <v/>
      </c>
      <c r="M14" s="18">
        <f>IF(A14="","",IF(B14="Edge",IFERROR(IF(INDEX('模型流与公式'!$Q$5:$Q$204,MATCH(A14,'模型流与公式'!$A$5:$A$204,0))="","",INDEX('模型流与公式'!$Q$5:$Q$204,MATCH(A14,'模型流与公式'!$A$5:$A$204,0))),""),""))</f>
        <v/>
      </c>
      <c r="N14" s="18" t="n"/>
      <c r="O14" s="18" t="n"/>
      <c r="P14" s="18" t="n"/>
      <c r="Q14" s="18" t="n"/>
      <c r="R14" s="18" t="n"/>
      <c r="S14" s="18" t="n"/>
      <c r="T14" s="18" t="n"/>
      <c r="U14" s="18" t="n"/>
    </row>
    <row r="15">
      <c r="A15" s="18" t="inlineStr">
        <is>
          <t>FL-TKM-10</t>
        </is>
      </c>
      <c r="B15" s="18" t="inlineStr">
        <is>
          <t>Edge</t>
        </is>
      </c>
      <c r="C15" s="18" t="n"/>
      <c r="D15" s="18" t="n"/>
      <c r="E15" s="18" t="n"/>
      <c r="F15" s="18" t="inlineStr">
        <is>
          <t>PR10-OP1</t>
        </is>
      </c>
      <c r="G15" s="18" t="inlineStr">
        <is>
          <t>主线</t>
        </is>
      </c>
      <c r="H15" s="18" t="n"/>
      <c r="I15" s="18" t="inlineStr">
        <is>
          <t>是</t>
        </is>
      </c>
      <c r="J15" s="18" t="inlineStr">
        <is>
          <t>WPI冷藏运输 1,370 t·km</t>
        </is>
      </c>
      <c r="K15" s="18" t="n"/>
      <c r="L15" s="51">
        <f>IF(A15="","",IF(B15="Edge",IFERROR(IF(INDEX('模型流与公式'!$P$5:$P$204,MATCH(A15,'模型流与公式'!$A$5:$A$204,0))="","",INDEX('模型流与公式'!$P$5:$P$204,MATCH(A15,'模型流与公式'!$A$5:$A$204,0))),""),""))</f>
        <v/>
      </c>
      <c r="M15" s="18">
        <f>IF(A15="","",IF(B15="Edge",IFERROR(IF(INDEX('模型流与公式'!$Q$5:$Q$204,MATCH(A15,'模型流与公式'!$A$5:$A$204,0))="","",INDEX('模型流与公式'!$Q$5:$Q$204,MATCH(A15,'模型流与公式'!$A$5:$A$204,0))),""),""))</f>
        <v/>
      </c>
      <c r="N15" s="18" t="n"/>
      <c r="O15" s="18" t="n"/>
      <c r="P15" s="18" t="n"/>
      <c r="Q15" s="18" t="n"/>
      <c r="R15" s="18" t="n"/>
      <c r="S15" s="18" t="n"/>
      <c r="T15" s="18" t="n"/>
      <c r="U15" s="18" t="n"/>
    </row>
    <row r="16">
      <c r="A16" s="18" t="inlineStr">
        <is>
          <t>FL-SLURRY-20</t>
        </is>
      </c>
      <c r="B16" s="18" t="inlineStr">
        <is>
          <t>Edge</t>
        </is>
      </c>
      <c r="C16" s="18" t="n"/>
      <c r="D16" s="18" t="n"/>
      <c r="E16" s="18" t="n"/>
      <c r="F16" s="18" t="inlineStr">
        <is>
          <t>PR20-OP1</t>
        </is>
      </c>
      <c r="G16" s="18" t="inlineStr">
        <is>
          <t>支线（三废处理）</t>
        </is>
      </c>
      <c r="H16" s="18" t="n"/>
      <c r="I16" s="18" t="inlineStr">
        <is>
          <t>是</t>
        </is>
      </c>
      <c r="J16" s="18" t="inlineStr">
        <is>
          <t>污泥运输 45.6 t·km</t>
        </is>
      </c>
      <c r="K16" s="18" t="n"/>
      <c r="L16" s="51">
        <f>IF(A16="","",IF(B16="Edge",IFERROR(IF(INDEX('模型流与公式'!$P$5:$P$204,MATCH(A16,'模型流与公式'!$A$5:$A$204,0))="","",INDEX('模型流与公式'!$P$5:$P$204,MATCH(A16,'模型流与公式'!$A$5:$A$204,0))),""),""))</f>
        <v/>
      </c>
      <c r="M16" s="18">
        <f>IF(A16="","",IF(B16="Edge",IFERROR(IF(INDEX('模型流与公式'!$Q$5:$Q$204,MATCH(A16,'模型流与公式'!$A$5:$A$204,0))="","",INDEX('模型流与公式'!$Q$5:$Q$204,MATCH(A16,'模型流与公式'!$A$5:$A$204,0))),""),""))</f>
        <v/>
      </c>
      <c r="N16" s="18" t="n"/>
      <c r="O16" s="18" t="n"/>
      <c r="P16" s="18" t="n"/>
      <c r="Q16" s="18" t="n"/>
      <c r="R16" s="18" t="n"/>
      <c r="S16" s="18" t="n"/>
      <c r="T16" s="18" t="n"/>
      <c r="U16" s="18" t="n"/>
    </row>
    <row r="17">
      <c r="A17" s="18" t="inlineStr">
        <is>
          <t>FL-O-CREAM</t>
        </is>
      </c>
      <c r="B17" s="18" t="inlineStr">
        <is>
          <t>Edge</t>
        </is>
      </c>
      <c r="C17" s="18" t="n"/>
      <c r="D17" s="18" t="n"/>
      <c r="E17" s="18" t="inlineStr">
        <is>
          <t>PR03-OP1</t>
        </is>
      </c>
      <c r="F17" s="18" t="n"/>
      <c r="G17" s="18" t="inlineStr">
        <is>
          <t>支线（奶油）</t>
        </is>
      </c>
      <c r="H17" s="18" t="n"/>
      <c r="I17" s="18" t="inlineStr">
        <is>
          <t>是</t>
        </is>
      </c>
      <c r="J17" s="18" t="inlineStr">
        <is>
          <t>奶油（联产品）58</t>
        </is>
      </c>
      <c r="K17" s="18" t="n"/>
      <c r="L17" s="51">
        <f>IF(A17="","",IF(B17="Edge",IFERROR(IF(INDEX('模型流与公式'!$P$5:$P$204,MATCH(A17,'模型流与公式'!$A$5:$A$204,0))="","",INDEX('模型流与公式'!$P$5:$P$204,MATCH(A17,'模型流与公式'!$A$5:$A$204,0))),""),""))</f>
        <v/>
      </c>
      <c r="M17" s="18">
        <f>IF(A17="","",IF(B17="Edge",IFERROR(IF(INDEX('模型流与公式'!$Q$5:$Q$204,MATCH(A17,'模型流与公式'!$A$5:$A$204,0))="","",INDEX('模型流与公式'!$Q$5:$Q$204,MATCH(A17,'模型流与公式'!$A$5:$A$204,0))),""),""))</f>
        <v/>
      </c>
      <c r="N17" s="18" t="n"/>
      <c r="O17" s="18" t="n"/>
      <c r="P17" s="18" t="n"/>
      <c r="Q17" s="18" t="n"/>
      <c r="R17" s="18" t="n"/>
      <c r="S17" s="18" t="n"/>
      <c r="T17" s="18" t="n"/>
      <c r="U17" s="18" t="n"/>
    </row>
    <row r="18">
      <c r="A18" s="18" t="inlineStr">
        <is>
          <t>FL-O-CAS</t>
        </is>
      </c>
      <c r="B18" s="18" t="inlineStr">
        <is>
          <t>Edge</t>
        </is>
      </c>
      <c r="C18" s="18" t="n"/>
      <c r="D18" s="18" t="n"/>
      <c r="E18" s="18" t="inlineStr">
        <is>
          <t>PR06-OP1</t>
        </is>
      </c>
      <c r="F18" s="18" t="n"/>
      <c r="G18" s="18" t="inlineStr">
        <is>
          <t>支线（胶束酪蛋白）</t>
        </is>
      </c>
      <c r="H18" s="18" t="n"/>
      <c r="I18" s="18" t="inlineStr">
        <is>
          <t>是</t>
        </is>
      </c>
      <c r="J18" s="18" t="inlineStr">
        <is>
          <t>酪蛋白（联产品）175</t>
        </is>
      </c>
      <c r="K18" s="18" t="n"/>
      <c r="L18" s="51">
        <f>IF(A18="","",IF(B18="Edge",IFERROR(IF(INDEX('模型流与公式'!$P$5:$P$204,MATCH(A18,'模型流与公式'!$A$5:$A$204,0))="","",INDEX('模型流与公式'!$P$5:$P$204,MATCH(A18,'模型流与公式'!$A$5:$A$204,0))),""),""))</f>
        <v/>
      </c>
      <c r="M18" s="18">
        <f>IF(A18="","",IF(B18="Edge",IFERROR(IF(INDEX('模型流与公式'!$Q$5:$Q$204,MATCH(A18,'模型流与公式'!$A$5:$A$204,0))="","",INDEX('模型流与公式'!$Q$5:$Q$204,MATCH(A18,'模型流与公式'!$A$5:$A$204,0))),""),""))</f>
        <v/>
      </c>
      <c r="N18" s="18" t="n"/>
      <c r="O18" s="18" t="n"/>
      <c r="P18" s="18" t="n"/>
      <c r="Q18" s="18" t="n"/>
      <c r="R18" s="18" t="n"/>
      <c r="S18" s="18" t="n"/>
      <c r="T18" s="18" t="n"/>
      <c r="U18" s="18" t="n"/>
    </row>
    <row r="19">
      <c r="A19" s="18" t="inlineStr">
        <is>
          <t>FL-O-LAC</t>
        </is>
      </c>
      <c r="B19" s="18" t="inlineStr">
        <is>
          <t>Edge</t>
        </is>
      </c>
      <c r="C19" s="18" t="n"/>
      <c r="D19" s="18" t="n"/>
      <c r="E19" s="18" t="inlineStr">
        <is>
          <t>PR12-OP1</t>
        </is>
      </c>
      <c r="F19" s="18" t="n"/>
      <c r="G19" s="18" t="inlineStr">
        <is>
          <t>支线（乳糖）</t>
        </is>
      </c>
      <c r="H19" s="18" t="n"/>
      <c r="I19" s="18" t="inlineStr">
        <is>
          <t>是</t>
        </is>
      </c>
      <c r="J19" s="18" t="inlineStr">
        <is>
          <t>乳糖（联产品）85.3</t>
        </is>
      </c>
      <c r="K19" s="18" t="n"/>
      <c r="L19" s="51">
        <f>IF(A19="","",IF(B19="Edge",IFERROR(IF(INDEX('模型流与公式'!$P$5:$P$204,MATCH(A19,'模型流与公式'!$A$5:$A$204,0))="","",INDEX('模型流与公式'!$P$5:$P$204,MATCH(A19,'模型流与公式'!$A$5:$A$204,0))),""),""))</f>
        <v/>
      </c>
      <c r="M19" s="18">
        <f>IF(A19="","",IF(B19="Edge",IFERROR(IF(INDEX('模型流与公式'!$Q$5:$Q$204,MATCH(A19,'模型流与公式'!$A$5:$A$204,0))="","",INDEX('模型流与公式'!$Q$5:$Q$204,MATCH(A19,'模型流与公式'!$A$5:$A$204,0))),""),""))</f>
        <v/>
      </c>
      <c r="N19" s="18" t="n"/>
      <c r="O19" s="18" t="n"/>
      <c r="P19" s="18" t="n"/>
      <c r="Q19" s="18" t="n"/>
      <c r="R19" s="18" t="n"/>
      <c r="S19" s="18" t="n"/>
      <c r="T19" s="18" t="n"/>
      <c r="U19" s="18" t="n"/>
    </row>
    <row r="20">
      <c r="A20" s="18" t="inlineStr">
        <is>
          <t>FL-O-WPI</t>
        </is>
      </c>
      <c r="B20" s="18" t="inlineStr">
        <is>
          <t>Edge</t>
        </is>
      </c>
      <c r="C20" s="18" t="n"/>
      <c r="D20" s="18" t="n"/>
      <c r="E20" s="18" t="inlineStr">
        <is>
          <t>PR10-OP1</t>
        </is>
      </c>
      <c r="F20" s="18" t="n"/>
      <c r="G20" s="18" t="inlineStr">
        <is>
          <t>主线</t>
        </is>
      </c>
      <c r="H20" s="18" t="n"/>
      <c r="I20" s="18" t="inlineStr">
        <is>
          <t>是</t>
        </is>
      </c>
      <c r="J20" s="18" t="inlineStr">
        <is>
          <t>WPI浓缩液（出厂）11.7</t>
        </is>
      </c>
      <c r="K20" s="18" t="n"/>
      <c r="L20" s="51">
        <f>IF(A20="","",IF(B20="Edge",IFERROR(IF(INDEX('模型流与公式'!$P$5:$P$204,MATCH(A20,'模型流与公式'!$A$5:$A$204,0))="","",INDEX('模型流与公式'!$P$5:$P$204,MATCH(A20,'模型流与公式'!$A$5:$A$204,0))),""),""))</f>
        <v/>
      </c>
      <c r="M20" s="18">
        <f>IF(A20="","",IF(B20="Edge",IFERROR(IF(INDEX('模型流与公式'!$Q$5:$Q$204,MATCH(A20,'模型流与公式'!$A$5:$A$204,0))="","",INDEX('模型流与公式'!$Q$5:$Q$204,MATCH(A20,'模型流与公式'!$A$5:$A$204,0))),""),""))</f>
        <v/>
      </c>
      <c r="N20" s="18" t="n"/>
      <c r="O20" s="18" t="n"/>
      <c r="P20" s="18" t="n"/>
      <c r="Q20" s="18" t="n"/>
      <c r="R20" s="18" t="n"/>
      <c r="S20" s="18" t="n"/>
      <c r="T20" s="18" t="n"/>
      <c r="U20" s="18" t="n"/>
    </row>
    <row r="21">
      <c r="A21" s="18" t="inlineStr">
        <is>
          <t>FL-NH3-03</t>
        </is>
      </c>
      <c r="B21" s="18" t="inlineStr">
        <is>
          <t>Edge</t>
        </is>
      </c>
      <c r="C21" s="18" t="n"/>
      <c r="D21" s="18" t="n"/>
      <c r="E21" s="18" t="n"/>
      <c r="F21" s="18" t="n"/>
      <c r="G21" s="18" t="n"/>
      <c r="H21" s="18" t="n"/>
      <c r="I21" s="18" t="inlineStr">
        <is>
          <t>否</t>
        </is>
      </c>
      <c r="J21" s="18" t="n"/>
      <c r="K21" s="18" t="n"/>
      <c r="L21" s="51">
        <f>IF(A21="","",IF(B21="Edge",IFERROR(IF(INDEX('模型流与公式'!$P$5:$P$204,MATCH(A21,'模型流与公式'!$A$5:$A$204,0))="","",INDEX('模型流与公式'!$P$5:$P$204,MATCH(A21,'模型流与公式'!$A$5:$A$204,0))),""),""))</f>
        <v/>
      </c>
      <c r="M21" s="18">
        <f>IF(A21="","",IF(B21="Edge",IFERROR(IF(INDEX('模型流与公式'!$Q$5:$Q$204,MATCH(A21,'模型流与公式'!$A$5:$A$204,0))="","",INDEX('模型流与公式'!$Q$5:$Q$204,MATCH(A21,'模型流与公式'!$A$5:$A$204,0))),""),""))</f>
        <v/>
      </c>
      <c r="N21" s="18" t="n"/>
      <c r="O21" s="18" t="n"/>
      <c r="P21" s="18" t="n"/>
      <c r="Q21" s="18" t="n"/>
      <c r="R21" s="18" t="n"/>
      <c r="S21" s="18" t="n"/>
      <c r="T21" s="18" t="n"/>
      <c r="U21" s="18" t="inlineStr">
        <is>
          <t>制冷剂NH3补加逐条见冻结清单（1_RCS为m³/d）</t>
        </is>
      </c>
    </row>
    <row r="22">
      <c r="A22" s="18" t="inlineStr">
        <is>
          <t>FL-NH3-05</t>
        </is>
      </c>
      <c r="B22" s="18" t="inlineStr">
        <is>
          <t>Edge</t>
        </is>
      </c>
      <c r="C22" s="18" t="n"/>
      <c r="D22" s="18" t="n"/>
      <c r="E22" s="18" t="n"/>
      <c r="F22" s="18" t="n"/>
      <c r="G22" s="18" t="n"/>
      <c r="H22" s="18" t="n"/>
      <c r="I22" s="18" t="inlineStr">
        <is>
          <t>否</t>
        </is>
      </c>
      <c r="J22" s="18" t="n"/>
      <c r="K22" s="18" t="n"/>
      <c r="L22" s="51">
        <f>IF(A22="","",IF(B22="Edge",IFERROR(IF(INDEX('模型流与公式'!$P$5:$P$204,MATCH(A22,'模型流与公式'!$A$5:$A$204,0))="","",INDEX('模型流与公式'!$P$5:$P$204,MATCH(A22,'模型流与公式'!$A$5:$A$204,0))),""),""))</f>
        <v/>
      </c>
      <c r="M22" s="18">
        <f>IF(A22="","",IF(B22="Edge",IFERROR(IF(INDEX('模型流与公式'!$Q$5:$Q$204,MATCH(A22,'模型流与公式'!$A$5:$A$204,0))="","",INDEX('模型流与公式'!$Q$5:$Q$204,MATCH(A22,'模型流与公式'!$A$5:$A$204,0))),""),""))</f>
        <v/>
      </c>
      <c r="N22" s="18" t="n"/>
      <c r="O22" s="18" t="n"/>
      <c r="P22" s="18" t="n"/>
      <c r="Q22" s="18" t="n"/>
      <c r="R22" s="18" t="n"/>
      <c r="S22" s="18" t="n"/>
      <c r="T22" s="18" t="n"/>
      <c r="U22" s="18" t="inlineStr">
        <is>
          <t>制冷剂NH3补加逐条见冻结清单（1_RCS为m³/d）</t>
        </is>
      </c>
    </row>
    <row r="23">
      <c r="A23" s="18" t="inlineStr">
        <is>
          <t>FL-NH3-06</t>
        </is>
      </c>
      <c r="B23" s="18" t="inlineStr">
        <is>
          <t>Edge</t>
        </is>
      </c>
      <c r="C23" s="18" t="n"/>
      <c r="D23" s="18" t="n"/>
      <c r="E23" s="18" t="n"/>
      <c r="F23" s="18" t="n"/>
      <c r="G23" s="18" t="n"/>
      <c r="H23" s="18" t="n"/>
      <c r="I23" s="18" t="inlineStr">
        <is>
          <t>否</t>
        </is>
      </c>
      <c r="J23" s="18" t="n"/>
      <c r="K23" s="18" t="n"/>
      <c r="L23" s="51">
        <f>IF(A23="","",IF(B23="Edge",IFERROR(IF(INDEX('模型流与公式'!$P$5:$P$204,MATCH(A23,'模型流与公式'!$A$5:$A$204,0))="","",INDEX('模型流与公式'!$P$5:$P$204,MATCH(A23,'模型流与公式'!$A$5:$A$204,0))),""),""))</f>
        <v/>
      </c>
      <c r="M23" s="18">
        <f>IF(A23="","",IF(B23="Edge",IFERROR(IF(INDEX('模型流与公式'!$Q$5:$Q$204,MATCH(A23,'模型流与公式'!$A$5:$A$204,0))="","",INDEX('模型流与公式'!$Q$5:$Q$204,MATCH(A23,'模型流与公式'!$A$5:$A$204,0))),""),""))</f>
        <v/>
      </c>
      <c r="N23" s="18" t="n"/>
      <c r="O23" s="18" t="n"/>
      <c r="P23" s="18" t="n"/>
      <c r="Q23" s="18" t="n"/>
      <c r="R23" s="18" t="n"/>
      <c r="S23" s="18" t="n"/>
      <c r="T23" s="18" t="n"/>
      <c r="U23" s="18" t="inlineStr">
        <is>
          <t>制冷剂NH3补加逐条见冻结清单（1_RCS为m³/d）</t>
        </is>
      </c>
    </row>
    <row r="24">
      <c r="A24" s="18" t="inlineStr">
        <is>
          <t>FL-NH3-08</t>
        </is>
      </c>
      <c r="B24" s="18" t="inlineStr">
        <is>
          <t>Edge</t>
        </is>
      </c>
      <c r="C24" s="18" t="n"/>
      <c r="D24" s="18" t="n"/>
      <c r="E24" s="18" t="n"/>
      <c r="F24" s="18" t="n"/>
      <c r="G24" s="18" t="n"/>
      <c r="H24" s="18" t="n"/>
      <c r="I24" s="18" t="inlineStr">
        <is>
          <t>否</t>
        </is>
      </c>
      <c r="J24" s="18" t="n"/>
      <c r="K24" s="18" t="n"/>
      <c r="L24" s="51">
        <f>IF(A24="","",IF(B24="Edge",IFERROR(IF(INDEX('模型流与公式'!$P$5:$P$204,MATCH(A24,'模型流与公式'!$A$5:$A$204,0))="","",INDEX('模型流与公式'!$P$5:$P$204,MATCH(A24,'模型流与公式'!$A$5:$A$204,0))),""),""))</f>
        <v/>
      </c>
      <c r="M24" s="18">
        <f>IF(A24="","",IF(B24="Edge",IFERROR(IF(INDEX('模型流与公式'!$Q$5:$Q$204,MATCH(A24,'模型流与公式'!$A$5:$A$204,0))="","",INDEX('模型流与公式'!$Q$5:$Q$204,MATCH(A24,'模型流与公式'!$A$5:$A$204,0))),""),""))</f>
        <v/>
      </c>
      <c r="N24" s="18" t="n"/>
      <c r="O24" s="18" t="n"/>
      <c r="P24" s="18" t="n"/>
      <c r="Q24" s="18" t="n"/>
      <c r="R24" s="18" t="n"/>
      <c r="S24" s="18" t="n"/>
      <c r="T24" s="18" t="n"/>
      <c r="U24" s="18" t="inlineStr">
        <is>
          <t>制冷剂NH3补加逐条见冻结清单（1_RCS为m³/d）</t>
        </is>
      </c>
    </row>
    <row r="25">
      <c r="A25" s="18" t="inlineStr">
        <is>
          <t>FL-NH3-09</t>
        </is>
      </c>
      <c r="B25" s="18" t="inlineStr">
        <is>
          <t>Edge</t>
        </is>
      </c>
      <c r="C25" s="18" t="n"/>
      <c r="D25" s="18" t="n"/>
      <c r="E25" s="18" t="n"/>
      <c r="F25" s="18" t="n"/>
      <c r="G25" s="18" t="n"/>
      <c r="H25" s="18" t="n"/>
      <c r="I25" s="18" t="inlineStr">
        <is>
          <t>否</t>
        </is>
      </c>
      <c r="J25" s="18" t="n"/>
      <c r="K25" s="18" t="n"/>
      <c r="L25" s="51">
        <f>IF(A25="","",IF(B25="Edge",IFERROR(IF(INDEX('模型流与公式'!$P$5:$P$204,MATCH(A25,'模型流与公式'!$A$5:$A$204,0))="","",INDEX('模型流与公式'!$P$5:$P$204,MATCH(A25,'模型流与公式'!$A$5:$A$204,0))),""),""))</f>
        <v/>
      </c>
      <c r="M25" s="18">
        <f>IF(A25="","",IF(B25="Edge",IFERROR(IF(INDEX('模型流与公式'!$Q$5:$Q$204,MATCH(A25,'模型流与公式'!$A$5:$A$204,0))="","",INDEX('模型流与公式'!$Q$5:$Q$204,MATCH(A25,'模型流与公式'!$A$5:$A$204,0))),""),""))</f>
        <v/>
      </c>
      <c r="N25" s="18" t="n"/>
      <c r="O25" s="18" t="n"/>
      <c r="P25" s="18" t="n"/>
      <c r="Q25" s="18" t="n"/>
      <c r="R25" s="18" t="n"/>
      <c r="S25" s="18" t="n"/>
      <c r="T25" s="18" t="n"/>
      <c r="U25" s="18" t="inlineStr">
        <is>
          <t>制冷剂NH3补加逐条见冻结清单（1_RCS为m³/d）</t>
        </is>
      </c>
    </row>
    <row r="26">
      <c r="A26" s="18" t="inlineStr">
        <is>
          <t>FL-NH3-12</t>
        </is>
      </c>
      <c r="B26" s="18" t="inlineStr">
        <is>
          <t>Edge</t>
        </is>
      </c>
      <c r="C26" s="18" t="n"/>
      <c r="D26" s="18" t="n"/>
      <c r="E26" s="18" t="n"/>
      <c r="F26" s="18" t="n"/>
      <c r="G26" s="18" t="n"/>
      <c r="H26" s="18" t="n"/>
      <c r="I26" s="18" t="inlineStr">
        <is>
          <t>否</t>
        </is>
      </c>
      <c r="J26" s="18" t="n"/>
      <c r="K26" s="18" t="n"/>
      <c r="L26" s="51">
        <f>IF(A26="","",IF(B26="Edge",IFERROR(IF(INDEX('模型流与公式'!$P$5:$P$204,MATCH(A26,'模型流与公式'!$A$5:$A$204,0))="","",INDEX('模型流与公式'!$P$5:$P$204,MATCH(A26,'模型流与公式'!$A$5:$A$204,0))),""),""))</f>
        <v/>
      </c>
      <c r="M26" s="18">
        <f>IF(A26="","",IF(B26="Edge",IFERROR(IF(INDEX('模型流与公式'!$Q$5:$Q$204,MATCH(A26,'模型流与公式'!$A$5:$A$204,0))="","",INDEX('模型流与公式'!$Q$5:$Q$204,MATCH(A26,'模型流与公式'!$A$5:$A$204,0))),""),""))</f>
        <v/>
      </c>
      <c r="N26" s="18" t="n"/>
      <c r="O26" s="18" t="n"/>
      <c r="P26" s="18" t="n"/>
      <c r="Q26" s="18" t="n"/>
      <c r="R26" s="18" t="n"/>
      <c r="S26" s="18" t="n"/>
      <c r="T26" s="18" t="n"/>
      <c r="U26" s="18" t="inlineStr">
        <is>
          <t>制冷剂NH3补加逐条见冻结清单（1_RCS为m³/d）</t>
        </is>
      </c>
    </row>
    <row r="27">
      <c r="A27" s="18" t="inlineStr">
        <is>
          <t>FL-CLW-01</t>
        </is>
      </c>
      <c r="B27" s="18" t="inlineStr">
        <is>
          <t>Edge</t>
        </is>
      </c>
      <c r="C27" s="18" t="n"/>
      <c r="D27" s="18" t="n"/>
      <c r="E27" s="18" t="n"/>
      <c r="F27" s="18" t="n"/>
      <c r="G27" s="18" t="n"/>
      <c r="H27" s="18" t="n"/>
      <c r="I27" s="18" t="inlineStr">
        <is>
          <t>否</t>
        </is>
      </c>
      <c r="J27" s="18" t="n"/>
      <c r="K27" s="18" t="n"/>
      <c r="L27" s="51">
        <f>IF(A27="","",IF(B27="Edge",IFERROR(IF(INDEX('模型流与公式'!$P$5:$P$204,MATCH(A27,'模型流与公式'!$A$5:$A$204,0))="","",INDEX('模型流与公式'!$P$5:$P$204,MATCH(A27,'模型流与公式'!$A$5:$A$204,0))),""),""))</f>
        <v/>
      </c>
      <c r="M27" s="18">
        <f>IF(A27="","",IF(B27="Edge",IFERROR(IF(INDEX('模型流与公式'!$Q$5:$Q$204,MATCH(A27,'模型流与公式'!$A$5:$A$204,0))="","",INDEX('模型流与公式'!$Q$5:$Q$204,MATCH(A27,'模型流与公式'!$A$5:$A$204,0))),""),""))</f>
        <v/>
      </c>
      <c r="N27" s="18" t="n"/>
      <c r="O27" s="18" t="n"/>
      <c r="P27" s="18" t="n"/>
      <c r="Q27" s="18" t="n"/>
      <c r="R27" s="18" t="n"/>
      <c r="S27" s="18" t="n"/>
      <c r="T27" s="18" t="n"/>
      <c r="U27" s="18" t="inlineStr">
        <is>
          <t>清洗水逐条见冻结清单</t>
        </is>
      </c>
    </row>
    <row r="28">
      <c r="A28" s="18" t="inlineStr">
        <is>
          <t>FL-CLC-01A</t>
        </is>
      </c>
      <c r="B28" s="18" t="inlineStr">
        <is>
          <t>Edge</t>
        </is>
      </c>
      <c r="C28" s="18" t="n"/>
      <c r="D28" s="18" t="n"/>
      <c r="E28" s="18" t="n"/>
      <c r="F28" s="18" t="n"/>
      <c r="G28" s="18" t="n"/>
      <c r="H28" s="18" t="n"/>
      <c r="I28" s="18" t="inlineStr">
        <is>
          <t>否</t>
        </is>
      </c>
      <c r="J28" s="18" t="n"/>
      <c r="K28" s="18" t="n"/>
      <c r="L28" s="51">
        <f>IF(A28="","",IF(B28="Edge",IFERROR(IF(INDEX('模型流与公式'!$P$5:$P$204,MATCH(A28,'模型流与公式'!$A$5:$A$204,0))="","",INDEX('模型流与公式'!$P$5:$P$204,MATCH(A28,'模型流与公式'!$A$5:$A$204,0))),""),""))</f>
        <v/>
      </c>
      <c r="M28" s="18">
        <f>IF(A28="","",IF(B28="Edge",IFERROR(IF(INDEX('模型流与公式'!$Q$5:$Q$204,MATCH(A28,'模型流与公式'!$A$5:$A$204,0))="","",INDEX('模型流与公式'!$Q$5:$Q$204,MATCH(A28,'模型流与公式'!$A$5:$A$204,0))),""),""))</f>
        <v/>
      </c>
      <c r="N28" s="18" t="n"/>
      <c r="O28" s="18" t="n"/>
      <c r="P28" s="18" t="n"/>
      <c r="Q28" s="18" t="n"/>
      <c r="R28" s="18" t="n"/>
      <c r="S28" s="18" t="n"/>
      <c r="T28" s="18" t="n"/>
      <c r="U28" s="18" t="inlineStr">
        <is>
          <t>CIP清洗剂逐条见冻结清单</t>
        </is>
      </c>
    </row>
    <row r="29">
      <c r="A29" s="18" t="inlineStr">
        <is>
          <t>FL-CLC-01B</t>
        </is>
      </c>
      <c r="B29" s="18" t="inlineStr">
        <is>
          <t>Edge</t>
        </is>
      </c>
      <c r="C29" s="18" t="n"/>
      <c r="D29" s="18" t="n"/>
      <c r="E29" s="18" t="n"/>
      <c r="F29" s="18" t="n"/>
      <c r="G29" s="18" t="n"/>
      <c r="H29" s="18" t="n"/>
      <c r="I29" s="18" t="inlineStr">
        <is>
          <t>否</t>
        </is>
      </c>
      <c r="J29" s="18" t="n"/>
      <c r="K29" s="18" t="n"/>
      <c r="L29" s="51">
        <f>IF(A29="","",IF(B29="Edge",IFERROR(IF(INDEX('模型流与公式'!$P$5:$P$204,MATCH(A29,'模型流与公式'!$A$5:$A$204,0))="","",INDEX('模型流与公式'!$P$5:$P$204,MATCH(A29,'模型流与公式'!$A$5:$A$204,0))),""),""))</f>
        <v/>
      </c>
      <c r="M29" s="18">
        <f>IF(A29="","",IF(B29="Edge",IFERROR(IF(INDEX('模型流与公式'!$Q$5:$Q$204,MATCH(A29,'模型流与公式'!$A$5:$A$204,0))="","",INDEX('模型流与公式'!$Q$5:$Q$204,MATCH(A29,'模型流与公式'!$A$5:$A$204,0))),""),""))</f>
        <v/>
      </c>
      <c r="N29" s="18" t="n"/>
      <c r="O29" s="18" t="n"/>
      <c r="P29" s="18" t="n"/>
      <c r="Q29" s="18" t="n"/>
      <c r="R29" s="18" t="n"/>
      <c r="S29" s="18" t="n"/>
      <c r="T29" s="18" t="n"/>
      <c r="U29" s="18" t="inlineStr">
        <is>
          <t>CIP清洗剂逐条见冻结清单</t>
        </is>
      </c>
    </row>
    <row r="30">
      <c r="A30" s="18" t="inlineStr">
        <is>
          <t>FL-CLC-01C</t>
        </is>
      </c>
      <c r="B30" s="18" t="inlineStr">
        <is>
          <t>Edge</t>
        </is>
      </c>
      <c r="C30" s="18" t="n"/>
      <c r="D30" s="18" t="n"/>
      <c r="E30" s="18" t="n"/>
      <c r="F30" s="18" t="n"/>
      <c r="G30" s="18" t="n"/>
      <c r="H30" s="18" t="n"/>
      <c r="I30" s="18" t="inlineStr">
        <is>
          <t>否</t>
        </is>
      </c>
      <c r="J30" s="18" t="n"/>
      <c r="K30" s="18" t="n"/>
      <c r="L30" s="51">
        <f>IF(A30="","",IF(B30="Edge",IFERROR(IF(INDEX('模型流与公式'!$P$5:$P$204,MATCH(A30,'模型流与公式'!$A$5:$A$204,0))="","",INDEX('模型流与公式'!$P$5:$P$204,MATCH(A30,'模型流与公式'!$A$5:$A$204,0))),""),""))</f>
        <v/>
      </c>
      <c r="M30" s="18">
        <f>IF(A30="","",IF(B30="Edge",IFERROR(IF(INDEX('模型流与公式'!$Q$5:$Q$204,MATCH(A30,'模型流与公式'!$A$5:$A$204,0))="","",INDEX('模型流与公式'!$Q$5:$Q$204,MATCH(A30,'模型流与公式'!$A$5:$A$204,0))),""),""))</f>
        <v/>
      </c>
      <c r="N30" s="18" t="n"/>
      <c r="O30" s="18" t="n"/>
      <c r="P30" s="18" t="n"/>
      <c r="Q30" s="18" t="n"/>
      <c r="R30" s="18" t="n"/>
      <c r="S30" s="18" t="n"/>
      <c r="T30" s="18" t="n"/>
      <c r="U30" s="18" t="inlineStr">
        <is>
          <t>CIP清洗剂逐条见冻结清单</t>
        </is>
      </c>
    </row>
    <row r="31">
      <c r="A31" s="18" t="inlineStr">
        <is>
          <t>FL-CLC-01D</t>
        </is>
      </c>
      <c r="B31" s="18" t="inlineStr">
        <is>
          <t>Edge</t>
        </is>
      </c>
      <c r="C31" s="18" t="n"/>
      <c r="D31" s="18" t="n"/>
      <c r="E31" s="18" t="n"/>
      <c r="F31" s="18" t="n"/>
      <c r="G31" s="18" t="n"/>
      <c r="H31" s="18" t="n"/>
      <c r="I31" s="18" t="inlineStr">
        <is>
          <t>否</t>
        </is>
      </c>
      <c r="J31" s="18" t="n"/>
      <c r="K31" s="18" t="n"/>
      <c r="L31" s="51">
        <f>IF(A31="","",IF(B31="Edge",IFERROR(IF(INDEX('模型流与公式'!$P$5:$P$204,MATCH(A31,'模型流与公式'!$A$5:$A$204,0))="","",INDEX('模型流与公式'!$P$5:$P$204,MATCH(A31,'模型流与公式'!$A$5:$A$204,0))),""),""))</f>
        <v/>
      </c>
      <c r="M31" s="18">
        <f>IF(A31="","",IF(B31="Edge",IFERROR(IF(INDEX('模型流与公式'!$Q$5:$Q$204,MATCH(A31,'模型流与公式'!$A$5:$A$204,0))="","",INDEX('模型流与公式'!$Q$5:$Q$204,MATCH(A31,'模型流与公式'!$A$5:$A$204,0))),""),""))</f>
        <v/>
      </c>
      <c r="N31" s="18" t="n"/>
      <c r="O31" s="18" t="n"/>
      <c r="P31" s="18" t="n"/>
      <c r="Q31" s="18" t="n"/>
      <c r="R31" s="18" t="n"/>
      <c r="S31" s="18" t="n"/>
      <c r="T31" s="18" t="n"/>
      <c r="U31" s="18" t="inlineStr">
        <is>
          <t>CIP清洗剂逐条见冻结清单</t>
        </is>
      </c>
    </row>
    <row r="32">
      <c r="A32" s="18" t="inlineStr">
        <is>
          <t>FL-CLC-01E</t>
        </is>
      </c>
      <c r="B32" s="18" t="inlineStr">
        <is>
          <t>Edge</t>
        </is>
      </c>
      <c r="C32" s="18" t="n"/>
      <c r="D32" s="18" t="n"/>
      <c r="E32" s="18" t="n"/>
      <c r="F32" s="18" t="n"/>
      <c r="G32" s="18" t="n"/>
      <c r="H32" s="18" t="n"/>
      <c r="I32" s="18" t="inlineStr">
        <is>
          <t>否</t>
        </is>
      </c>
      <c r="J32" s="18" t="n"/>
      <c r="K32" s="18" t="n"/>
      <c r="L32" s="51">
        <f>IF(A32="","",IF(B32="Edge",IFERROR(IF(INDEX('模型流与公式'!$P$5:$P$204,MATCH(A32,'模型流与公式'!$A$5:$A$204,0))="","",INDEX('模型流与公式'!$P$5:$P$204,MATCH(A32,'模型流与公式'!$A$5:$A$204,0))),""),""))</f>
        <v/>
      </c>
      <c r="M32" s="18">
        <f>IF(A32="","",IF(B32="Edge",IFERROR(IF(INDEX('模型流与公式'!$Q$5:$Q$204,MATCH(A32,'模型流与公式'!$A$5:$A$204,0))="","",INDEX('模型流与公式'!$Q$5:$Q$204,MATCH(A32,'模型流与公式'!$A$5:$A$204,0))),""),""))</f>
        <v/>
      </c>
      <c r="N32" s="18" t="n"/>
      <c r="O32" s="18" t="n"/>
      <c r="P32" s="18" t="n"/>
      <c r="Q32" s="18" t="n"/>
      <c r="R32" s="18" t="n"/>
      <c r="S32" s="18" t="n"/>
      <c r="T32" s="18" t="n"/>
      <c r="U32" s="18" t="inlineStr">
        <is>
          <t>CIP清洗剂逐条见冻结清单</t>
        </is>
      </c>
    </row>
    <row r="33">
      <c r="A33" s="18" t="inlineStr">
        <is>
          <t>FL-CLC-01F</t>
        </is>
      </c>
      <c r="B33" s="18" t="inlineStr">
        <is>
          <t>Edge</t>
        </is>
      </c>
      <c r="C33" s="18" t="n"/>
      <c r="D33" s="18" t="n"/>
      <c r="E33" s="18" t="n"/>
      <c r="F33" s="18" t="n"/>
      <c r="G33" s="18" t="n"/>
      <c r="H33" s="18" t="n"/>
      <c r="I33" s="18" t="inlineStr">
        <is>
          <t>否</t>
        </is>
      </c>
      <c r="J33" s="18" t="n"/>
      <c r="K33" s="18" t="n"/>
      <c r="L33" s="51">
        <f>IF(A33="","",IF(B33="Edge",IFERROR(IF(INDEX('模型流与公式'!$P$5:$P$204,MATCH(A33,'模型流与公式'!$A$5:$A$204,0))="","",INDEX('模型流与公式'!$P$5:$P$204,MATCH(A33,'模型流与公式'!$A$5:$A$204,0))),""),""))</f>
        <v/>
      </c>
      <c r="M33" s="18">
        <f>IF(A33="","",IF(B33="Edge",IFERROR(IF(INDEX('模型流与公式'!$Q$5:$Q$204,MATCH(A33,'模型流与公式'!$A$5:$A$204,0))="","",INDEX('模型流与公式'!$Q$5:$Q$204,MATCH(A33,'模型流与公式'!$A$5:$A$204,0))),""),""))</f>
        <v/>
      </c>
      <c r="N33" s="18" t="n"/>
      <c r="O33" s="18" t="n"/>
      <c r="P33" s="18" t="n"/>
      <c r="Q33" s="18" t="n"/>
      <c r="R33" s="18" t="n"/>
      <c r="S33" s="18" t="n"/>
      <c r="T33" s="18" t="n"/>
      <c r="U33" s="18" t="inlineStr">
        <is>
          <t>CIP清洗剂逐条见冻结清单</t>
        </is>
      </c>
    </row>
    <row r="34">
      <c r="A34" s="18" t="inlineStr">
        <is>
          <t>FL-CLT-01</t>
        </is>
      </c>
      <c r="B34" s="18" t="inlineStr">
        <is>
          <t>Edge</t>
        </is>
      </c>
      <c r="C34" s="18" t="n"/>
      <c r="D34" s="18" t="n"/>
      <c r="E34" s="18" t="n"/>
      <c r="F34" s="18" t="n"/>
      <c r="G34" s="18" t="n"/>
      <c r="H34" s="18" t="n"/>
      <c r="I34" s="18" t="inlineStr">
        <is>
          <t>否</t>
        </is>
      </c>
      <c r="J34" s="18" t="n"/>
      <c r="K34" s="18" t="n"/>
      <c r="L34" s="51">
        <f>IF(A34="","",IF(B34="Edge",IFERROR(IF(INDEX('模型流与公式'!$P$5:$P$204,MATCH(A34,'模型流与公式'!$A$5:$A$204,0))="","",INDEX('模型流与公式'!$P$5:$P$204,MATCH(A34,'模型流与公式'!$A$5:$A$204,0))),""),""))</f>
        <v/>
      </c>
      <c r="M34" s="18">
        <f>IF(A34="","",IF(B34="Edge",IFERROR(IF(INDEX('模型流与公式'!$Q$5:$Q$204,MATCH(A34,'模型流与公式'!$A$5:$A$204,0))="","",INDEX('模型流与公式'!$Q$5:$Q$204,MATCH(A34,'模型流与公式'!$A$5:$A$204,0))),""),""))</f>
        <v/>
      </c>
      <c r="N34" s="18" t="n"/>
      <c r="O34" s="18" t="n"/>
      <c r="P34" s="18" t="n"/>
      <c r="Q34" s="18" t="n"/>
      <c r="R34" s="18" t="n"/>
      <c r="S34" s="18" t="n"/>
      <c r="T34" s="18" t="n"/>
      <c r="U34" s="18" t="inlineStr">
        <is>
          <t>清洗回路设备材料逐条见冻结清单</t>
        </is>
      </c>
    </row>
    <row r="35">
      <c r="A35" s="18" t="inlineStr">
        <is>
          <t>FL-CLCOD-01</t>
        </is>
      </c>
      <c r="B35" s="18" t="inlineStr">
        <is>
          <t>Edge</t>
        </is>
      </c>
      <c r="C35" s="18" t="n"/>
      <c r="D35" s="18" t="n"/>
      <c r="E35" s="18" t="n"/>
      <c r="F35" s="18" t="n"/>
      <c r="G35" s="18" t="n"/>
      <c r="H35" s="18" t="n"/>
      <c r="I35" s="18" t="inlineStr">
        <is>
          <t>否</t>
        </is>
      </c>
      <c r="J35" s="18" t="n"/>
      <c r="K35" s="18" t="n"/>
      <c r="L35" s="51">
        <f>IF(A35="","",IF(B35="Edge",IFERROR(IF(INDEX('模型流与公式'!$P$5:$P$204,MATCH(A35,'模型流与公式'!$A$5:$A$204,0))="","",INDEX('模型流与公式'!$P$5:$P$204,MATCH(A35,'模型流与公式'!$A$5:$A$204,0))),""),""))</f>
        <v/>
      </c>
      <c r="M35" s="18">
        <f>IF(A35="","",IF(B35="Edge",IFERROR(IF(INDEX('模型流与公式'!$Q$5:$Q$204,MATCH(A35,'模型流与公式'!$A$5:$A$204,0))="","",INDEX('模型流与公式'!$Q$5:$Q$204,MATCH(A35,'模型流与公式'!$A$5:$A$204,0))),""),""))</f>
        <v/>
      </c>
      <c r="N35" s="18" t="n"/>
      <c r="O35" s="18" t="n"/>
      <c r="P35" s="18" t="n"/>
      <c r="Q35" s="18" t="n"/>
      <c r="R35" s="18" t="n"/>
      <c r="S35" s="18" t="n"/>
      <c r="T35" s="18" t="n"/>
      <c r="U35" s="18" t="inlineStr">
        <is>
          <t>清洗废水COD见冻结清单</t>
        </is>
      </c>
    </row>
    <row r="36">
      <c r="A36" s="18" t="inlineStr">
        <is>
          <t>FL-CLDM-01</t>
        </is>
      </c>
      <c r="B36" s="18" t="inlineStr">
        <is>
          <t>Edge</t>
        </is>
      </c>
      <c r="C36" s="18" t="n"/>
      <c r="D36" s="18" t="n"/>
      <c r="E36" s="18" t="n"/>
      <c r="F36" s="18" t="n"/>
      <c r="G36" s="18" t="n"/>
      <c r="H36" s="18" t="n"/>
      <c r="I36" s="18" t="inlineStr">
        <is>
          <t>否</t>
        </is>
      </c>
      <c r="J36" s="18" t="n"/>
      <c r="K36" s="18" t="n"/>
      <c r="L36" s="51">
        <f>IF(A36="","",IF(B36="Edge",IFERROR(IF(INDEX('模型流与公式'!$P$5:$P$204,MATCH(A36,'模型流与公式'!$A$5:$A$204,0))="","",INDEX('模型流与公式'!$P$5:$P$204,MATCH(A36,'模型流与公式'!$A$5:$A$204,0))),""),""))</f>
        <v/>
      </c>
      <c r="M36" s="18">
        <f>IF(A36="","",IF(B36="Edge",IFERROR(IF(INDEX('模型流与公式'!$Q$5:$Q$204,MATCH(A36,'模型流与公式'!$A$5:$A$204,0))="","",INDEX('模型流与公式'!$Q$5:$Q$204,MATCH(A36,'模型流与公式'!$A$5:$A$204,0))),""),""))</f>
        <v/>
      </c>
      <c r="N36" s="18" t="n"/>
      <c r="O36" s="18" t="n"/>
      <c r="P36" s="18" t="n"/>
      <c r="Q36" s="18" t="n"/>
      <c r="R36" s="18" t="n"/>
      <c r="S36" s="18" t="n"/>
      <c r="T36" s="18" t="n"/>
      <c r="U36" s="18" t="inlineStr">
        <is>
          <t>清洗废水干物质见冻结清单</t>
        </is>
      </c>
    </row>
    <row r="37">
      <c r="A37" s="18" t="inlineStr">
        <is>
          <t>FL-CLW-02</t>
        </is>
      </c>
      <c r="B37" s="18" t="inlineStr">
        <is>
          <t>Edge</t>
        </is>
      </c>
      <c r="C37" s="18" t="n"/>
      <c r="D37" s="18" t="n"/>
      <c r="E37" s="18" t="n"/>
      <c r="F37" s="18" t="n"/>
      <c r="G37" s="18" t="n"/>
      <c r="H37" s="18" t="n"/>
      <c r="I37" s="18" t="inlineStr">
        <is>
          <t>否</t>
        </is>
      </c>
      <c r="J37" s="18" t="n"/>
      <c r="K37" s="18" t="n"/>
      <c r="L37" s="51">
        <f>IF(A37="","",IF(B37="Edge",IFERROR(IF(INDEX('模型流与公式'!$P$5:$P$204,MATCH(A37,'模型流与公式'!$A$5:$A$204,0))="","",INDEX('模型流与公式'!$P$5:$P$204,MATCH(A37,'模型流与公式'!$A$5:$A$204,0))),""),""))</f>
        <v/>
      </c>
      <c r="M37" s="18">
        <f>IF(A37="","",IF(B37="Edge",IFERROR(IF(INDEX('模型流与公式'!$Q$5:$Q$204,MATCH(A37,'模型流与公式'!$A$5:$A$204,0))="","",INDEX('模型流与公式'!$Q$5:$Q$204,MATCH(A37,'模型流与公式'!$A$5:$A$204,0))),""),""))</f>
        <v/>
      </c>
      <c r="N37" s="18" t="n"/>
      <c r="O37" s="18" t="n"/>
      <c r="P37" s="18" t="n"/>
      <c r="Q37" s="18" t="n"/>
      <c r="R37" s="18" t="n"/>
      <c r="S37" s="18" t="n"/>
      <c r="T37" s="18" t="n"/>
      <c r="U37" s="18" t="inlineStr">
        <is>
          <t>清洗水逐条见冻结清单</t>
        </is>
      </c>
    </row>
    <row r="38">
      <c r="A38" s="18" t="inlineStr">
        <is>
          <t>FL-CLC-02A</t>
        </is>
      </c>
      <c r="B38" s="18" t="inlineStr">
        <is>
          <t>Edge</t>
        </is>
      </c>
      <c r="C38" s="18" t="n"/>
      <c r="D38" s="18" t="n"/>
      <c r="E38" s="18" t="n"/>
      <c r="F38" s="18" t="n"/>
      <c r="G38" s="18" t="n"/>
      <c r="H38" s="18" t="n"/>
      <c r="I38" s="18" t="inlineStr">
        <is>
          <t>否</t>
        </is>
      </c>
      <c r="J38" s="18" t="n"/>
      <c r="K38" s="18" t="n"/>
      <c r="L38" s="51">
        <f>IF(A38="","",IF(B38="Edge",IFERROR(IF(INDEX('模型流与公式'!$P$5:$P$204,MATCH(A38,'模型流与公式'!$A$5:$A$204,0))="","",INDEX('模型流与公式'!$P$5:$P$204,MATCH(A38,'模型流与公式'!$A$5:$A$204,0))),""),""))</f>
        <v/>
      </c>
      <c r="M38" s="18">
        <f>IF(A38="","",IF(B38="Edge",IFERROR(IF(INDEX('模型流与公式'!$Q$5:$Q$204,MATCH(A38,'模型流与公式'!$A$5:$A$204,0))="","",INDEX('模型流与公式'!$Q$5:$Q$204,MATCH(A38,'模型流与公式'!$A$5:$A$204,0))),""),""))</f>
        <v/>
      </c>
      <c r="N38" s="18" t="n"/>
      <c r="O38" s="18" t="n"/>
      <c r="P38" s="18" t="n"/>
      <c r="Q38" s="18" t="n"/>
      <c r="R38" s="18" t="n"/>
      <c r="S38" s="18" t="n"/>
      <c r="T38" s="18" t="n"/>
      <c r="U38" s="18" t="inlineStr">
        <is>
          <t>CIP清洗剂逐条见冻结清单</t>
        </is>
      </c>
    </row>
    <row r="39">
      <c r="A39" s="18" t="inlineStr">
        <is>
          <t>FL-CLC-02B</t>
        </is>
      </c>
      <c r="B39" s="18" t="inlineStr">
        <is>
          <t>Edge</t>
        </is>
      </c>
      <c r="C39" s="18" t="n"/>
      <c r="D39" s="18" t="n"/>
      <c r="E39" s="18" t="n"/>
      <c r="F39" s="18" t="n"/>
      <c r="G39" s="18" t="n"/>
      <c r="H39" s="18" t="n"/>
      <c r="I39" s="18" t="inlineStr">
        <is>
          <t>否</t>
        </is>
      </c>
      <c r="J39" s="18" t="n"/>
      <c r="K39" s="18" t="n"/>
      <c r="L39" s="51">
        <f>IF(A39="","",IF(B39="Edge",IFERROR(IF(INDEX('模型流与公式'!$P$5:$P$204,MATCH(A39,'模型流与公式'!$A$5:$A$204,0))="","",INDEX('模型流与公式'!$P$5:$P$204,MATCH(A39,'模型流与公式'!$A$5:$A$204,0))),""),""))</f>
        <v/>
      </c>
      <c r="M39" s="18">
        <f>IF(A39="","",IF(B39="Edge",IFERROR(IF(INDEX('模型流与公式'!$Q$5:$Q$204,MATCH(A39,'模型流与公式'!$A$5:$A$204,0))="","",INDEX('模型流与公式'!$Q$5:$Q$204,MATCH(A39,'模型流与公式'!$A$5:$A$204,0))),""),""))</f>
        <v/>
      </c>
      <c r="N39" s="18" t="n"/>
      <c r="O39" s="18" t="n"/>
      <c r="P39" s="18" t="n"/>
      <c r="Q39" s="18" t="n"/>
      <c r="R39" s="18" t="n"/>
      <c r="S39" s="18" t="n"/>
      <c r="T39" s="18" t="n"/>
      <c r="U39" s="18" t="inlineStr">
        <is>
          <t>CIP清洗剂逐条见冻结清单</t>
        </is>
      </c>
    </row>
    <row r="40">
      <c r="A40" s="18" t="inlineStr">
        <is>
          <t>FL-CLC-02C</t>
        </is>
      </c>
      <c r="B40" s="18" t="inlineStr">
        <is>
          <t>Edge</t>
        </is>
      </c>
      <c r="C40" s="18" t="n"/>
      <c r="D40" s="18" t="n"/>
      <c r="E40" s="18" t="n"/>
      <c r="F40" s="18" t="n"/>
      <c r="G40" s="18" t="n"/>
      <c r="H40" s="18" t="n"/>
      <c r="I40" s="18" t="inlineStr">
        <is>
          <t>否</t>
        </is>
      </c>
      <c r="J40" s="18" t="n"/>
      <c r="K40" s="18" t="n"/>
      <c r="L40" s="51">
        <f>IF(A40="","",IF(B40="Edge",IFERROR(IF(INDEX('模型流与公式'!$P$5:$P$204,MATCH(A40,'模型流与公式'!$A$5:$A$204,0))="","",INDEX('模型流与公式'!$P$5:$P$204,MATCH(A40,'模型流与公式'!$A$5:$A$204,0))),""),""))</f>
        <v/>
      </c>
      <c r="M40" s="18">
        <f>IF(A40="","",IF(B40="Edge",IFERROR(IF(INDEX('模型流与公式'!$Q$5:$Q$204,MATCH(A40,'模型流与公式'!$A$5:$A$204,0))="","",INDEX('模型流与公式'!$Q$5:$Q$204,MATCH(A40,'模型流与公式'!$A$5:$A$204,0))),""),""))</f>
        <v/>
      </c>
      <c r="N40" s="18" t="n"/>
      <c r="O40" s="18" t="n"/>
      <c r="P40" s="18" t="n"/>
      <c r="Q40" s="18" t="n"/>
      <c r="R40" s="18" t="n"/>
      <c r="S40" s="18" t="n"/>
      <c r="T40" s="18" t="n"/>
      <c r="U40" s="18" t="inlineStr">
        <is>
          <t>CIP清洗剂逐条见冻结清单</t>
        </is>
      </c>
    </row>
    <row r="41">
      <c r="A41" s="18" t="inlineStr">
        <is>
          <t>FL-CLC-02D</t>
        </is>
      </c>
      <c r="B41" s="18" t="inlineStr">
        <is>
          <t>Edge</t>
        </is>
      </c>
      <c r="C41" s="18" t="n"/>
      <c r="D41" s="18" t="n"/>
      <c r="E41" s="18" t="n"/>
      <c r="F41" s="18" t="n"/>
      <c r="G41" s="18" t="n"/>
      <c r="H41" s="18" t="n"/>
      <c r="I41" s="18" t="inlineStr">
        <is>
          <t>否</t>
        </is>
      </c>
      <c r="J41" s="18" t="n"/>
      <c r="K41" s="18" t="n"/>
      <c r="L41" s="51">
        <f>IF(A41="","",IF(B41="Edge",IFERROR(IF(INDEX('模型流与公式'!$P$5:$P$204,MATCH(A41,'模型流与公式'!$A$5:$A$204,0))="","",INDEX('模型流与公式'!$P$5:$P$204,MATCH(A41,'模型流与公式'!$A$5:$A$204,0))),""),""))</f>
        <v/>
      </c>
      <c r="M41" s="18">
        <f>IF(A41="","",IF(B41="Edge",IFERROR(IF(INDEX('模型流与公式'!$Q$5:$Q$204,MATCH(A41,'模型流与公式'!$A$5:$A$204,0))="","",INDEX('模型流与公式'!$Q$5:$Q$204,MATCH(A41,'模型流与公式'!$A$5:$A$204,0))),""),""))</f>
        <v/>
      </c>
      <c r="N41" s="18" t="n"/>
      <c r="O41" s="18" t="n"/>
      <c r="P41" s="18" t="n"/>
      <c r="Q41" s="18" t="n"/>
      <c r="R41" s="18" t="n"/>
      <c r="S41" s="18" t="n"/>
      <c r="T41" s="18" t="n"/>
      <c r="U41" s="18" t="inlineStr">
        <is>
          <t>CIP清洗剂逐条见冻结清单</t>
        </is>
      </c>
    </row>
    <row r="42">
      <c r="A42" s="18" t="inlineStr">
        <is>
          <t>FL-CLC-02E</t>
        </is>
      </c>
      <c r="B42" s="18" t="inlineStr">
        <is>
          <t>Edge</t>
        </is>
      </c>
      <c r="C42" s="18" t="n"/>
      <c r="D42" s="18" t="n"/>
      <c r="E42" s="18" t="n"/>
      <c r="F42" s="18" t="n"/>
      <c r="G42" s="18" t="n"/>
      <c r="H42" s="18" t="n"/>
      <c r="I42" s="18" t="inlineStr">
        <is>
          <t>否</t>
        </is>
      </c>
      <c r="J42" s="18" t="n"/>
      <c r="K42" s="18" t="n"/>
      <c r="L42" s="51">
        <f>IF(A42="","",IF(B42="Edge",IFERROR(IF(INDEX('模型流与公式'!$P$5:$P$204,MATCH(A42,'模型流与公式'!$A$5:$A$204,0))="","",INDEX('模型流与公式'!$P$5:$P$204,MATCH(A42,'模型流与公式'!$A$5:$A$204,0))),""),""))</f>
        <v/>
      </c>
      <c r="M42" s="18">
        <f>IF(A42="","",IF(B42="Edge",IFERROR(IF(INDEX('模型流与公式'!$Q$5:$Q$204,MATCH(A42,'模型流与公式'!$A$5:$A$204,0))="","",INDEX('模型流与公式'!$Q$5:$Q$204,MATCH(A42,'模型流与公式'!$A$5:$A$204,0))),""),""))</f>
        <v/>
      </c>
      <c r="N42" s="18" t="n"/>
      <c r="O42" s="18" t="n"/>
      <c r="P42" s="18" t="n"/>
      <c r="Q42" s="18" t="n"/>
      <c r="R42" s="18" t="n"/>
      <c r="S42" s="18" t="n"/>
      <c r="T42" s="18" t="n"/>
      <c r="U42" s="18" t="inlineStr">
        <is>
          <t>CIP清洗剂逐条见冻结清单</t>
        </is>
      </c>
    </row>
    <row r="43">
      <c r="A43" s="18" t="inlineStr">
        <is>
          <t>FL-CLC-02F</t>
        </is>
      </c>
      <c r="B43" s="18" t="inlineStr">
        <is>
          <t>Edge</t>
        </is>
      </c>
      <c r="C43" s="18" t="n"/>
      <c r="D43" s="18" t="n"/>
      <c r="E43" s="18" t="n"/>
      <c r="F43" s="18" t="n"/>
      <c r="G43" s="18" t="n"/>
      <c r="H43" s="18" t="n"/>
      <c r="I43" s="18" t="inlineStr">
        <is>
          <t>否</t>
        </is>
      </c>
      <c r="J43" s="18" t="n"/>
      <c r="K43" s="18" t="n"/>
      <c r="L43" s="51">
        <f>IF(A43="","",IF(B43="Edge",IFERROR(IF(INDEX('模型流与公式'!$P$5:$P$204,MATCH(A43,'模型流与公式'!$A$5:$A$204,0))="","",INDEX('模型流与公式'!$P$5:$P$204,MATCH(A43,'模型流与公式'!$A$5:$A$204,0))),""),""))</f>
        <v/>
      </c>
      <c r="M43" s="18">
        <f>IF(A43="","",IF(B43="Edge",IFERROR(IF(INDEX('模型流与公式'!$Q$5:$Q$204,MATCH(A43,'模型流与公式'!$A$5:$A$204,0))="","",INDEX('模型流与公式'!$Q$5:$Q$204,MATCH(A43,'模型流与公式'!$A$5:$A$204,0))),""),""))</f>
        <v/>
      </c>
      <c r="N43" s="18" t="n"/>
      <c r="O43" s="18" t="n"/>
      <c r="P43" s="18" t="n"/>
      <c r="Q43" s="18" t="n"/>
      <c r="R43" s="18" t="n"/>
      <c r="S43" s="18" t="n"/>
      <c r="T43" s="18" t="n"/>
      <c r="U43" s="18" t="inlineStr">
        <is>
          <t>CIP清洗剂逐条见冻结清单</t>
        </is>
      </c>
    </row>
    <row r="44">
      <c r="A44" s="18" t="inlineStr">
        <is>
          <t>FL-CLT-02</t>
        </is>
      </c>
      <c r="B44" s="18" t="inlineStr">
        <is>
          <t>Edge</t>
        </is>
      </c>
      <c r="C44" s="18" t="n"/>
      <c r="D44" s="18" t="n"/>
      <c r="E44" s="18" t="n"/>
      <c r="F44" s="18" t="n"/>
      <c r="G44" s="18" t="n"/>
      <c r="H44" s="18" t="n"/>
      <c r="I44" s="18" t="inlineStr">
        <is>
          <t>否</t>
        </is>
      </c>
      <c r="J44" s="18" t="n"/>
      <c r="K44" s="18" t="n"/>
      <c r="L44" s="51">
        <f>IF(A44="","",IF(B44="Edge",IFERROR(IF(INDEX('模型流与公式'!$P$5:$P$204,MATCH(A44,'模型流与公式'!$A$5:$A$204,0))="","",INDEX('模型流与公式'!$P$5:$P$204,MATCH(A44,'模型流与公式'!$A$5:$A$204,0))),""),""))</f>
        <v/>
      </c>
      <c r="M44" s="18">
        <f>IF(A44="","",IF(B44="Edge",IFERROR(IF(INDEX('模型流与公式'!$Q$5:$Q$204,MATCH(A44,'模型流与公式'!$A$5:$A$204,0))="","",INDEX('模型流与公式'!$Q$5:$Q$204,MATCH(A44,'模型流与公式'!$A$5:$A$204,0))),""),""))</f>
        <v/>
      </c>
      <c r="N44" s="18" t="n"/>
      <c r="O44" s="18" t="n"/>
      <c r="P44" s="18" t="n"/>
      <c r="Q44" s="18" t="n"/>
      <c r="R44" s="18" t="n"/>
      <c r="S44" s="18" t="n"/>
      <c r="T44" s="18" t="n"/>
      <c r="U44" s="18" t="inlineStr">
        <is>
          <t>清洗回路设备材料逐条见冻结清单</t>
        </is>
      </c>
    </row>
    <row r="45">
      <c r="A45" s="18" t="inlineStr">
        <is>
          <t>FL-CLCOD-02</t>
        </is>
      </c>
      <c r="B45" s="18" t="inlineStr">
        <is>
          <t>Edge</t>
        </is>
      </c>
      <c r="C45" s="18" t="n"/>
      <c r="D45" s="18" t="n"/>
      <c r="E45" s="18" t="n"/>
      <c r="F45" s="18" t="n"/>
      <c r="G45" s="18" t="n"/>
      <c r="H45" s="18" t="n"/>
      <c r="I45" s="18" t="inlineStr">
        <is>
          <t>否</t>
        </is>
      </c>
      <c r="J45" s="18" t="n"/>
      <c r="K45" s="18" t="n"/>
      <c r="L45" s="51">
        <f>IF(A45="","",IF(B45="Edge",IFERROR(IF(INDEX('模型流与公式'!$P$5:$P$204,MATCH(A45,'模型流与公式'!$A$5:$A$204,0))="","",INDEX('模型流与公式'!$P$5:$P$204,MATCH(A45,'模型流与公式'!$A$5:$A$204,0))),""),""))</f>
        <v/>
      </c>
      <c r="M45" s="18">
        <f>IF(A45="","",IF(B45="Edge",IFERROR(IF(INDEX('模型流与公式'!$Q$5:$Q$204,MATCH(A45,'模型流与公式'!$A$5:$A$204,0))="","",INDEX('模型流与公式'!$Q$5:$Q$204,MATCH(A45,'模型流与公式'!$A$5:$A$204,0))),""),""))</f>
        <v/>
      </c>
      <c r="N45" s="18" t="n"/>
      <c r="O45" s="18" t="n"/>
      <c r="P45" s="18" t="n"/>
      <c r="Q45" s="18" t="n"/>
      <c r="R45" s="18" t="n"/>
      <c r="S45" s="18" t="n"/>
      <c r="T45" s="18" t="n"/>
      <c r="U45" s="18" t="inlineStr">
        <is>
          <t>清洗废水COD见冻结清单</t>
        </is>
      </c>
    </row>
    <row r="46">
      <c r="A46" s="18" t="inlineStr">
        <is>
          <t>FL-CLDM-02</t>
        </is>
      </c>
      <c r="B46" s="18" t="inlineStr">
        <is>
          <t>Edge</t>
        </is>
      </c>
      <c r="C46" s="18" t="n"/>
      <c r="D46" s="18" t="n"/>
      <c r="E46" s="18" t="n"/>
      <c r="F46" s="18" t="n"/>
      <c r="G46" s="18" t="n"/>
      <c r="H46" s="18" t="n"/>
      <c r="I46" s="18" t="inlineStr">
        <is>
          <t>否</t>
        </is>
      </c>
      <c r="J46" s="18" t="n"/>
      <c r="K46" s="18" t="n"/>
      <c r="L46" s="51">
        <f>IF(A46="","",IF(B46="Edge",IFERROR(IF(INDEX('模型流与公式'!$P$5:$P$204,MATCH(A46,'模型流与公式'!$A$5:$A$204,0))="","",INDEX('模型流与公式'!$P$5:$P$204,MATCH(A46,'模型流与公式'!$A$5:$A$204,0))),""),""))</f>
        <v/>
      </c>
      <c r="M46" s="18">
        <f>IF(A46="","",IF(B46="Edge",IFERROR(IF(INDEX('模型流与公式'!$Q$5:$Q$204,MATCH(A46,'模型流与公式'!$A$5:$A$204,0))="","",INDEX('模型流与公式'!$Q$5:$Q$204,MATCH(A46,'模型流与公式'!$A$5:$A$204,0))),""),""))</f>
        <v/>
      </c>
      <c r="N46" s="18" t="n"/>
      <c r="O46" s="18" t="n"/>
      <c r="P46" s="18" t="n"/>
      <c r="Q46" s="18" t="n"/>
      <c r="R46" s="18" t="n"/>
      <c r="S46" s="18" t="n"/>
      <c r="T46" s="18" t="n"/>
      <c r="U46" s="18" t="inlineStr">
        <is>
          <t>清洗废水干物质见冻结清单</t>
        </is>
      </c>
    </row>
    <row r="47">
      <c r="A47" s="18" t="inlineStr">
        <is>
          <t>FL-CLW-03</t>
        </is>
      </c>
      <c r="B47" s="18" t="inlineStr">
        <is>
          <t>Edge</t>
        </is>
      </c>
      <c r="C47" s="18" t="n"/>
      <c r="D47" s="18" t="n"/>
      <c r="E47" s="18" t="n"/>
      <c r="F47" s="18" t="n"/>
      <c r="G47" s="18" t="n"/>
      <c r="H47" s="18" t="n"/>
      <c r="I47" s="18" t="inlineStr">
        <is>
          <t>否</t>
        </is>
      </c>
      <c r="J47" s="18" t="n"/>
      <c r="K47" s="18" t="n"/>
      <c r="L47" s="51">
        <f>IF(A47="","",IF(B47="Edge",IFERROR(IF(INDEX('模型流与公式'!$P$5:$P$204,MATCH(A47,'模型流与公式'!$A$5:$A$204,0))="","",INDEX('模型流与公式'!$P$5:$P$204,MATCH(A47,'模型流与公式'!$A$5:$A$204,0))),""),""))</f>
        <v/>
      </c>
      <c r="M47" s="18">
        <f>IF(A47="","",IF(B47="Edge",IFERROR(IF(INDEX('模型流与公式'!$Q$5:$Q$204,MATCH(A47,'模型流与公式'!$A$5:$A$204,0))="","",INDEX('模型流与公式'!$Q$5:$Q$204,MATCH(A47,'模型流与公式'!$A$5:$A$204,0))),""),""))</f>
        <v/>
      </c>
      <c r="N47" s="18" t="n"/>
      <c r="O47" s="18" t="n"/>
      <c r="P47" s="18" t="n"/>
      <c r="Q47" s="18" t="n"/>
      <c r="R47" s="18" t="n"/>
      <c r="S47" s="18" t="n"/>
      <c r="T47" s="18" t="n"/>
      <c r="U47" s="18" t="inlineStr">
        <is>
          <t>清洗水逐条见冻结清单</t>
        </is>
      </c>
    </row>
    <row r="48">
      <c r="A48" s="18" t="inlineStr">
        <is>
          <t>FL-CLC-03A</t>
        </is>
      </c>
      <c r="B48" s="18" t="inlineStr">
        <is>
          <t>Edge</t>
        </is>
      </c>
      <c r="C48" s="18" t="n"/>
      <c r="D48" s="18" t="n"/>
      <c r="E48" s="18" t="n"/>
      <c r="F48" s="18" t="n"/>
      <c r="G48" s="18" t="n"/>
      <c r="H48" s="18" t="n"/>
      <c r="I48" s="18" t="inlineStr">
        <is>
          <t>否</t>
        </is>
      </c>
      <c r="J48" s="18" t="n"/>
      <c r="K48" s="18" t="n"/>
      <c r="L48" s="51">
        <f>IF(A48="","",IF(B48="Edge",IFERROR(IF(INDEX('模型流与公式'!$P$5:$P$204,MATCH(A48,'模型流与公式'!$A$5:$A$204,0))="","",INDEX('模型流与公式'!$P$5:$P$204,MATCH(A48,'模型流与公式'!$A$5:$A$204,0))),""),""))</f>
        <v/>
      </c>
      <c r="M48" s="18">
        <f>IF(A48="","",IF(B48="Edge",IFERROR(IF(INDEX('模型流与公式'!$Q$5:$Q$204,MATCH(A48,'模型流与公式'!$A$5:$A$204,0))="","",INDEX('模型流与公式'!$Q$5:$Q$204,MATCH(A48,'模型流与公式'!$A$5:$A$204,0))),""),""))</f>
        <v/>
      </c>
      <c r="N48" s="18" t="n"/>
      <c r="O48" s="18" t="n"/>
      <c r="P48" s="18" t="n"/>
      <c r="Q48" s="18" t="n"/>
      <c r="R48" s="18" t="n"/>
      <c r="S48" s="18" t="n"/>
      <c r="T48" s="18" t="n"/>
      <c r="U48" s="18" t="inlineStr">
        <is>
          <t>CIP清洗剂逐条见冻结清单</t>
        </is>
      </c>
    </row>
    <row r="49">
      <c r="A49" s="18" t="inlineStr">
        <is>
          <t>FL-CLC-03B</t>
        </is>
      </c>
      <c r="B49" s="18" t="inlineStr">
        <is>
          <t>Edge</t>
        </is>
      </c>
      <c r="C49" s="18" t="n"/>
      <c r="D49" s="18" t="n"/>
      <c r="E49" s="18" t="n"/>
      <c r="F49" s="18" t="n"/>
      <c r="G49" s="18" t="n"/>
      <c r="H49" s="18" t="n"/>
      <c r="I49" s="18" t="inlineStr">
        <is>
          <t>否</t>
        </is>
      </c>
      <c r="J49" s="18" t="n"/>
      <c r="K49" s="18" t="n"/>
      <c r="L49" s="51">
        <f>IF(A49="","",IF(B49="Edge",IFERROR(IF(INDEX('模型流与公式'!$P$5:$P$204,MATCH(A49,'模型流与公式'!$A$5:$A$204,0))="","",INDEX('模型流与公式'!$P$5:$P$204,MATCH(A49,'模型流与公式'!$A$5:$A$204,0))),""),""))</f>
        <v/>
      </c>
      <c r="M49" s="18">
        <f>IF(A49="","",IF(B49="Edge",IFERROR(IF(INDEX('模型流与公式'!$Q$5:$Q$204,MATCH(A49,'模型流与公式'!$A$5:$A$204,0))="","",INDEX('模型流与公式'!$Q$5:$Q$204,MATCH(A49,'模型流与公式'!$A$5:$A$204,0))),""),""))</f>
        <v/>
      </c>
      <c r="N49" s="18" t="n"/>
      <c r="O49" s="18" t="n"/>
      <c r="P49" s="18" t="n"/>
      <c r="Q49" s="18" t="n"/>
      <c r="R49" s="18" t="n"/>
      <c r="S49" s="18" t="n"/>
      <c r="T49" s="18" t="n"/>
      <c r="U49" s="18" t="inlineStr">
        <is>
          <t>CIP清洗剂逐条见冻结清单</t>
        </is>
      </c>
    </row>
    <row r="50">
      <c r="A50" s="18" t="inlineStr">
        <is>
          <t>FL-CLC-03C</t>
        </is>
      </c>
      <c r="B50" s="18" t="inlineStr">
        <is>
          <t>Edge</t>
        </is>
      </c>
      <c r="C50" s="18" t="n"/>
      <c r="D50" s="18" t="n"/>
      <c r="E50" s="18" t="n"/>
      <c r="F50" s="18" t="n"/>
      <c r="G50" s="18" t="n"/>
      <c r="H50" s="18" t="n"/>
      <c r="I50" s="18" t="inlineStr">
        <is>
          <t>否</t>
        </is>
      </c>
      <c r="J50" s="18" t="n"/>
      <c r="K50" s="18" t="n"/>
      <c r="L50" s="51">
        <f>IF(A50="","",IF(B50="Edge",IFERROR(IF(INDEX('模型流与公式'!$P$5:$P$204,MATCH(A50,'模型流与公式'!$A$5:$A$204,0))="","",INDEX('模型流与公式'!$P$5:$P$204,MATCH(A50,'模型流与公式'!$A$5:$A$204,0))),""),""))</f>
        <v/>
      </c>
      <c r="M50" s="18">
        <f>IF(A50="","",IF(B50="Edge",IFERROR(IF(INDEX('模型流与公式'!$Q$5:$Q$204,MATCH(A50,'模型流与公式'!$A$5:$A$204,0))="","",INDEX('模型流与公式'!$Q$5:$Q$204,MATCH(A50,'模型流与公式'!$A$5:$A$204,0))),""),""))</f>
        <v/>
      </c>
      <c r="N50" s="18" t="n"/>
      <c r="O50" s="18" t="n"/>
      <c r="P50" s="18" t="n"/>
      <c r="Q50" s="18" t="n"/>
      <c r="R50" s="18" t="n"/>
      <c r="S50" s="18" t="n"/>
      <c r="T50" s="18" t="n"/>
      <c r="U50" s="18" t="inlineStr">
        <is>
          <t>CIP清洗剂逐条见冻结清单</t>
        </is>
      </c>
    </row>
    <row r="51">
      <c r="A51" s="18" t="inlineStr">
        <is>
          <t>FL-CLC-03D</t>
        </is>
      </c>
      <c r="B51" s="18" t="inlineStr">
        <is>
          <t>Edge</t>
        </is>
      </c>
      <c r="C51" s="18" t="n"/>
      <c r="D51" s="18" t="n"/>
      <c r="E51" s="18" t="n"/>
      <c r="F51" s="18" t="n"/>
      <c r="G51" s="18" t="n"/>
      <c r="H51" s="18" t="n"/>
      <c r="I51" s="18" t="inlineStr">
        <is>
          <t>否</t>
        </is>
      </c>
      <c r="J51" s="18" t="n"/>
      <c r="K51" s="18" t="n"/>
      <c r="L51" s="51">
        <f>IF(A51="","",IF(B51="Edge",IFERROR(IF(INDEX('模型流与公式'!$P$5:$P$204,MATCH(A51,'模型流与公式'!$A$5:$A$204,0))="","",INDEX('模型流与公式'!$P$5:$P$204,MATCH(A51,'模型流与公式'!$A$5:$A$204,0))),""),""))</f>
        <v/>
      </c>
      <c r="M51" s="18">
        <f>IF(A51="","",IF(B51="Edge",IFERROR(IF(INDEX('模型流与公式'!$Q$5:$Q$204,MATCH(A51,'模型流与公式'!$A$5:$A$204,0))="","",INDEX('模型流与公式'!$Q$5:$Q$204,MATCH(A51,'模型流与公式'!$A$5:$A$204,0))),""),""))</f>
        <v/>
      </c>
      <c r="N51" s="18" t="n"/>
      <c r="O51" s="18" t="n"/>
      <c r="P51" s="18" t="n"/>
      <c r="Q51" s="18" t="n"/>
      <c r="R51" s="18" t="n"/>
      <c r="S51" s="18" t="n"/>
      <c r="T51" s="18" t="n"/>
      <c r="U51" s="18" t="inlineStr">
        <is>
          <t>CIP清洗剂逐条见冻结清单</t>
        </is>
      </c>
    </row>
    <row r="52">
      <c r="A52" s="18" t="inlineStr">
        <is>
          <t>FL-CLC-03E</t>
        </is>
      </c>
      <c r="B52" s="18" t="inlineStr">
        <is>
          <t>Edge</t>
        </is>
      </c>
      <c r="C52" s="18" t="n"/>
      <c r="D52" s="18" t="n"/>
      <c r="E52" s="18" t="n"/>
      <c r="F52" s="18" t="n"/>
      <c r="G52" s="18" t="n"/>
      <c r="H52" s="18" t="n"/>
      <c r="I52" s="18" t="inlineStr">
        <is>
          <t>否</t>
        </is>
      </c>
      <c r="J52" s="18" t="n"/>
      <c r="K52" s="18" t="n"/>
      <c r="L52" s="51">
        <f>IF(A52="","",IF(B52="Edge",IFERROR(IF(INDEX('模型流与公式'!$P$5:$P$204,MATCH(A52,'模型流与公式'!$A$5:$A$204,0))="","",INDEX('模型流与公式'!$P$5:$P$204,MATCH(A52,'模型流与公式'!$A$5:$A$204,0))),""),""))</f>
        <v/>
      </c>
      <c r="M52" s="18">
        <f>IF(A52="","",IF(B52="Edge",IFERROR(IF(INDEX('模型流与公式'!$Q$5:$Q$204,MATCH(A52,'模型流与公式'!$A$5:$A$204,0))="","",INDEX('模型流与公式'!$Q$5:$Q$204,MATCH(A52,'模型流与公式'!$A$5:$A$204,0))),""),""))</f>
        <v/>
      </c>
      <c r="N52" s="18" t="n"/>
      <c r="O52" s="18" t="n"/>
      <c r="P52" s="18" t="n"/>
      <c r="Q52" s="18" t="n"/>
      <c r="R52" s="18" t="n"/>
      <c r="S52" s="18" t="n"/>
      <c r="T52" s="18" t="n"/>
      <c r="U52" s="18" t="inlineStr">
        <is>
          <t>CIP清洗剂逐条见冻结清单</t>
        </is>
      </c>
    </row>
    <row r="53">
      <c r="A53" s="18" t="inlineStr">
        <is>
          <t>FL-CLC-03F</t>
        </is>
      </c>
      <c r="B53" s="18" t="inlineStr">
        <is>
          <t>Edge</t>
        </is>
      </c>
      <c r="C53" s="18" t="n"/>
      <c r="D53" s="18" t="n"/>
      <c r="E53" s="18" t="n"/>
      <c r="F53" s="18" t="n"/>
      <c r="G53" s="18" t="n"/>
      <c r="H53" s="18" t="n"/>
      <c r="I53" s="18" t="inlineStr">
        <is>
          <t>否</t>
        </is>
      </c>
      <c r="J53" s="18" t="n"/>
      <c r="K53" s="18" t="n"/>
      <c r="L53" s="51">
        <f>IF(A53="","",IF(B53="Edge",IFERROR(IF(INDEX('模型流与公式'!$P$5:$P$204,MATCH(A53,'模型流与公式'!$A$5:$A$204,0))="","",INDEX('模型流与公式'!$P$5:$P$204,MATCH(A53,'模型流与公式'!$A$5:$A$204,0))),""),""))</f>
        <v/>
      </c>
      <c r="M53" s="18">
        <f>IF(A53="","",IF(B53="Edge",IFERROR(IF(INDEX('模型流与公式'!$Q$5:$Q$204,MATCH(A53,'模型流与公式'!$A$5:$A$204,0))="","",INDEX('模型流与公式'!$Q$5:$Q$204,MATCH(A53,'模型流与公式'!$A$5:$A$204,0))),""),""))</f>
        <v/>
      </c>
      <c r="N53" s="18" t="n"/>
      <c r="O53" s="18" t="n"/>
      <c r="P53" s="18" t="n"/>
      <c r="Q53" s="18" t="n"/>
      <c r="R53" s="18" t="n"/>
      <c r="S53" s="18" t="n"/>
      <c r="T53" s="18" t="n"/>
      <c r="U53" s="18" t="inlineStr">
        <is>
          <t>CIP清洗剂逐条见冻结清单</t>
        </is>
      </c>
    </row>
    <row r="54">
      <c r="A54" s="18" t="inlineStr">
        <is>
          <t>FL-CLT-03</t>
        </is>
      </c>
      <c r="B54" s="18" t="inlineStr">
        <is>
          <t>Edge</t>
        </is>
      </c>
      <c r="C54" s="18" t="n"/>
      <c r="D54" s="18" t="n"/>
      <c r="E54" s="18" t="n"/>
      <c r="F54" s="18" t="n"/>
      <c r="G54" s="18" t="n"/>
      <c r="H54" s="18" t="n"/>
      <c r="I54" s="18" t="inlineStr">
        <is>
          <t>否</t>
        </is>
      </c>
      <c r="J54" s="18" t="n"/>
      <c r="K54" s="18" t="n"/>
      <c r="L54" s="51">
        <f>IF(A54="","",IF(B54="Edge",IFERROR(IF(INDEX('模型流与公式'!$P$5:$P$204,MATCH(A54,'模型流与公式'!$A$5:$A$204,0))="","",INDEX('模型流与公式'!$P$5:$P$204,MATCH(A54,'模型流与公式'!$A$5:$A$204,0))),""),""))</f>
        <v/>
      </c>
      <c r="M54" s="18">
        <f>IF(A54="","",IF(B54="Edge",IFERROR(IF(INDEX('模型流与公式'!$Q$5:$Q$204,MATCH(A54,'模型流与公式'!$A$5:$A$204,0))="","",INDEX('模型流与公式'!$Q$5:$Q$204,MATCH(A54,'模型流与公式'!$A$5:$A$204,0))),""),""))</f>
        <v/>
      </c>
      <c r="N54" s="18" t="n"/>
      <c r="O54" s="18" t="n"/>
      <c r="P54" s="18" t="n"/>
      <c r="Q54" s="18" t="n"/>
      <c r="R54" s="18" t="n"/>
      <c r="S54" s="18" t="n"/>
      <c r="T54" s="18" t="n"/>
      <c r="U54" s="18" t="inlineStr">
        <is>
          <t>清洗回路设备材料逐条见冻结清单</t>
        </is>
      </c>
    </row>
    <row r="55">
      <c r="A55" s="18" t="inlineStr">
        <is>
          <t>FL-CLCOD-03</t>
        </is>
      </c>
      <c r="B55" s="18" t="inlineStr">
        <is>
          <t>Edge</t>
        </is>
      </c>
      <c r="C55" s="18" t="n"/>
      <c r="D55" s="18" t="n"/>
      <c r="E55" s="18" t="n"/>
      <c r="F55" s="18" t="n"/>
      <c r="G55" s="18" t="n"/>
      <c r="H55" s="18" t="n"/>
      <c r="I55" s="18" t="inlineStr">
        <is>
          <t>否</t>
        </is>
      </c>
      <c r="J55" s="18" t="n"/>
      <c r="K55" s="18" t="n"/>
      <c r="L55" s="51">
        <f>IF(A55="","",IF(B55="Edge",IFERROR(IF(INDEX('模型流与公式'!$P$5:$P$204,MATCH(A55,'模型流与公式'!$A$5:$A$204,0))="","",INDEX('模型流与公式'!$P$5:$P$204,MATCH(A55,'模型流与公式'!$A$5:$A$204,0))),""),""))</f>
        <v/>
      </c>
      <c r="M55" s="18">
        <f>IF(A55="","",IF(B55="Edge",IFERROR(IF(INDEX('模型流与公式'!$Q$5:$Q$204,MATCH(A55,'模型流与公式'!$A$5:$A$204,0))="","",INDEX('模型流与公式'!$Q$5:$Q$204,MATCH(A55,'模型流与公式'!$A$5:$A$204,0))),""),""))</f>
        <v/>
      </c>
      <c r="N55" s="18" t="n"/>
      <c r="O55" s="18" t="n"/>
      <c r="P55" s="18" t="n"/>
      <c r="Q55" s="18" t="n"/>
      <c r="R55" s="18" t="n"/>
      <c r="S55" s="18" t="n"/>
      <c r="T55" s="18" t="n"/>
      <c r="U55" s="18" t="inlineStr">
        <is>
          <t>清洗废水COD见冻结清单</t>
        </is>
      </c>
    </row>
    <row r="56">
      <c r="A56" s="18" t="inlineStr">
        <is>
          <t>FL-CLDM-03</t>
        </is>
      </c>
      <c r="B56" s="18" t="inlineStr">
        <is>
          <t>Edge</t>
        </is>
      </c>
      <c r="C56" s="18" t="n"/>
      <c r="D56" s="18" t="n"/>
      <c r="E56" s="18" t="n"/>
      <c r="F56" s="18" t="n"/>
      <c r="G56" s="18" t="n"/>
      <c r="H56" s="18" t="n"/>
      <c r="I56" s="18" t="inlineStr">
        <is>
          <t>否</t>
        </is>
      </c>
      <c r="J56" s="18" t="n"/>
      <c r="K56" s="18" t="n"/>
      <c r="L56" s="51">
        <f>IF(A56="","",IF(B56="Edge",IFERROR(IF(INDEX('模型流与公式'!$P$5:$P$204,MATCH(A56,'模型流与公式'!$A$5:$A$204,0))="","",INDEX('模型流与公式'!$P$5:$P$204,MATCH(A56,'模型流与公式'!$A$5:$A$204,0))),""),""))</f>
        <v/>
      </c>
      <c r="M56" s="18">
        <f>IF(A56="","",IF(B56="Edge",IFERROR(IF(INDEX('模型流与公式'!$Q$5:$Q$204,MATCH(A56,'模型流与公式'!$A$5:$A$204,0))="","",INDEX('模型流与公式'!$Q$5:$Q$204,MATCH(A56,'模型流与公式'!$A$5:$A$204,0))),""),""))</f>
        <v/>
      </c>
      <c r="N56" s="18" t="n"/>
      <c r="O56" s="18" t="n"/>
      <c r="P56" s="18" t="n"/>
      <c r="Q56" s="18" t="n"/>
      <c r="R56" s="18" t="n"/>
      <c r="S56" s="18" t="n"/>
      <c r="T56" s="18" t="n"/>
      <c r="U56" s="18" t="inlineStr">
        <is>
          <t>清洗废水干物质见冻结清单</t>
        </is>
      </c>
    </row>
    <row r="57">
      <c r="A57" s="18" t="inlineStr">
        <is>
          <t>FL-CLW-04</t>
        </is>
      </c>
      <c r="B57" s="18" t="inlineStr">
        <is>
          <t>Edge</t>
        </is>
      </c>
      <c r="C57" s="18" t="n"/>
      <c r="D57" s="18" t="n"/>
      <c r="E57" s="18" t="n"/>
      <c r="F57" s="18" t="n"/>
      <c r="G57" s="18" t="n"/>
      <c r="H57" s="18" t="n"/>
      <c r="I57" s="18" t="inlineStr">
        <is>
          <t>否</t>
        </is>
      </c>
      <c r="J57" s="18" t="n"/>
      <c r="K57" s="18" t="n"/>
      <c r="L57" s="51">
        <f>IF(A57="","",IF(B57="Edge",IFERROR(IF(INDEX('模型流与公式'!$P$5:$P$204,MATCH(A57,'模型流与公式'!$A$5:$A$204,0))="","",INDEX('模型流与公式'!$P$5:$P$204,MATCH(A57,'模型流与公式'!$A$5:$A$204,0))),""),""))</f>
        <v/>
      </c>
      <c r="M57" s="18">
        <f>IF(A57="","",IF(B57="Edge",IFERROR(IF(INDEX('模型流与公式'!$Q$5:$Q$204,MATCH(A57,'模型流与公式'!$A$5:$A$204,0))="","",INDEX('模型流与公式'!$Q$5:$Q$204,MATCH(A57,'模型流与公式'!$A$5:$A$204,0))),""),""))</f>
        <v/>
      </c>
      <c r="N57" s="18" t="n"/>
      <c r="O57" s="18" t="n"/>
      <c r="P57" s="18" t="n"/>
      <c r="Q57" s="18" t="n"/>
      <c r="R57" s="18" t="n"/>
      <c r="S57" s="18" t="n"/>
      <c r="T57" s="18" t="n"/>
      <c r="U57" s="18" t="inlineStr">
        <is>
          <t>清洗水逐条见冻结清单</t>
        </is>
      </c>
    </row>
    <row r="58">
      <c r="A58" s="18" t="inlineStr">
        <is>
          <t>FL-CLC-04A</t>
        </is>
      </c>
      <c r="B58" s="18" t="inlineStr">
        <is>
          <t>Edge</t>
        </is>
      </c>
      <c r="C58" s="18" t="n"/>
      <c r="D58" s="18" t="n"/>
      <c r="E58" s="18" t="n"/>
      <c r="F58" s="18" t="n"/>
      <c r="G58" s="18" t="n"/>
      <c r="H58" s="18" t="n"/>
      <c r="I58" s="18" t="inlineStr">
        <is>
          <t>否</t>
        </is>
      </c>
      <c r="J58" s="18" t="n"/>
      <c r="K58" s="18" t="n"/>
      <c r="L58" s="51">
        <f>IF(A58="","",IF(B58="Edge",IFERROR(IF(INDEX('模型流与公式'!$P$5:$P$204,MATCH(A58,'模型流与公式'!$A$5:$A$204,0))="","",INDEX('模型流与公式'!$P$5:$P$204,MATCH(A58,'模型流与公式'!$A$5:$A$204,0))),""),""))</f>
        <v/>
      </c>
      <c r="M58" s="18">
        <f>IF(A58="","",IF(B58="Edge",IFERROR(IF(INDEX('模型流与公式'!$Q$5:$Q$204,MATCH(A58,'模型流与公式'!$A$5:$A$204,0))="","",INDEX('模型流与公式'!$Q$5:$Q$204,MATCH(A58,'模型流与公式'!$A$5:$A$204,0))),""),""))</f>
        <v/>
      </c>
      <c r="N58" s="18" t="n"/>
      <c r="O58" s="18" t="n"/>
      <c r="P58" s="18" t="n"/>
      <c r="Q58" s="18" t="n"/>
      <c r="R58" s="18" t="n"/>
      <c r="S58" s="18" t="n"/>
      <c r="T58" s="18" t="n"/>
      <c r="U58" s="18" t="inlineStr">
        <is>
          <t>CIP清洗剂逐条见冻结清单</t>
        </is>
      </c>
    </row>
    <row r="59">
      <c r="A59" s="18" t="inlineStr">
        <is>
          <t>FL-CLC-04B</t>
        </is>
      </c>
      <c r="B59" s="18" t="inlineStr">
        <is>
          <t>Edge</t>
        </is>
      </c>
      <c r="C59" s="18" t="n"/>
      <c r="D59" s="18" t="n"/>
      <c r="E59" s="18" t="n"/>
      <c r="F59" s="18" t="n"/>
      <c r="G59" s="18" t="n"/>
      <c r="H59" s="18" t="n"/>
      <c r="I59" s="18" t="inlineStr">
        <is>
          <t>否</t>
        </is>
      </c>
      <c r="J59" s="18" t="n"/>
      <c r="K59" s="18" t="n"/>
      <c r="L59" s="51">
        <f>IF(A59="","",IF(B59="Edge",IFERROR(IF(INDEX('模型流与公式'!$P$5:$P$204,MATCH(A59,'模型流与公式'!$A$5:$A$204,0))="","",INDEX('模型流与公式'!$P$5:$P$204,MATCH(A59,'模型流与公式'!$A$5:$A$204,0))),""),""))</f>
        <v/>
      </c>
      <c r="M59" s="18">
        <f>IF(A59="","",IF(B59="Edge",IFERROR(IF(INDEX('模型流与公式'!$Q$5:$Q$204,MATCH(A59,'模型流与公式'!$A$5:$A$204,0))="","",INDEX('模型流与公式'!$Q$5:$Q$204,MATCH(A59,'模型流与公式'!$A$5:$A$204,0))),""),""))</f>
        <v/>
      </c>
      <c r="N59" s="18" t="n"/>
      <c r="O59" s="18" t="n"/>
      <c r="P59" s="18" t="n"/>
      <c r="Q59" s="18" t="n"/>
      <c r="R59" s="18" t="n"/>
      <c r="S59" s="18" t="n"/>
      <c r="T59" s="18" t="n"/>
      <c r="U59" s="18" t="inlineStr">
        <is>
          <t>CIP清洗剂逐条见冻结清单</t>
        </is>
      </c>
    </row>
    <row r="60">
      <c r="A60" s="18" t="inlineStr">
        <is>
          <t>FL-CLC-04C</t>
        </is>
      </c>
      <c r="B60" s="18" t="inlineStr">
        <is>
          <t>Edge</t>
        </is>
      </c>
      <c r="C60" s="18" t="n"/>
      <c r="D60" s="18" t="n"/>
      <c r="E60" s="18" t="n"/>
      <c r="F60" s="18" t="n"/>
      <c r="G60" s="18" t="n"/>
      <c r="H60" s="18" t="n"/>
      <c r="I60" s="18" t="inlineStr">
        <is>
          <t>否</t>
        </is>
      </c>
      <c r="J60" s="18" t="n"/>
      <c r="K60" s="18" t="n"/>
      <c r="L60" s="51">
        <f>IF(A60="","",IF(B60="Edge",IFERROR(IF(INDEX('模型流与公式'!$P$5:$P$204,MATCH(A60,'模型流与公式'!$A$5:$A$204,0))="","",INDEX('模型流与公式'!$P$5:$P$204,MATCH(A60,'模型流与公式'!$A$5:$A$204,0))),""),""))</f>
        <v/>
      </c>
      <c r="M60" s="18">
        <f>IF(A60="","",IF(B60="Edge",IFERROR(IF(INDEX('模型流与公式'!$Q$5:$Q$204,MATCH(A60,'模型流与公式'!$A$5:$A$204,0))="","",INDEX('模型流与公式'!$Q$5:$Q$204,MATCH(A60,'模型流与公式'!$A$5:$A$204,0))),""),""))</f>
        <v/>
      </c>
      <c r="N60" s="18" t="n"/>
      <c r="O60" s="18" t="n"/>
      <c r="P60" s="18" t="n"/>
      <c r="Q60" s="18" t="n"/>
      <c r="R60" s="18" t="n"/>
      <c r="S60" s="18" t="n"/>
      <c r="T60" s="18" t="n"/>
      <c r="U60" s="18" t="inlineStr">
        <is>
          <t>CIP清洗剂逐条见冻结清单</t>
        </is>
      </c>
    </row>
    <row r="61">
      <c r="A61" s="18" t="inlineStr">
        <is>
          <t>FL-CLC-04D</t>
        </is>
      </c>
      <c r="B61" s="18" t="inlineStr">
        <is>
          <t>Edge</t>
        </is>
      </c>
      <c r="C61" s="18" t="n"/>
      <c r="D61" s="18" t="n"/>
      <c r="E61" s="18" t="n"/>
      <c r="F61" s="18" t="n"/>
      <c r="G61" s="18" t="n"/>
      <c r="H61" s="18" t="n"/>
      <c r="I61" s="18" t="inlineStr">
        <is>
          <t>否</t>
        </is>
      </c>
      <c r="J61" s="18" t="n"/>
      <c r="K61" s="18" t="n"/>
      <c r="L61" s="51">
        <f>IF(A61="","",IF(B61="Edge",IFERROR(IF(INDEX('模型流与公式'!$P$5:$P$204,MATCH(A61,'模型流与公式'!$A$5:$A$204,0))="","",INDEX('模型流与公式'!$P$5:$P$204,MATCH(A61,'模型流与公式'!$A$5:$A$204,0))),""),""))</f>
        <v/>
      </c>
      <c r="M61" s="18">
        <f>IF(A61="","",IF(B61="Edge",IFERROR(IF(INDEX('模型流与公式'!$Q$5:$Q$204,MATCH(A61,'模型流与公式'!$A$5:$A$204,0))="","",INDEX('模型流与公式'!$Q$5:$Q$204,MATCH(A61,'模型流与公式'!$A$5:$A$204,0))),""),""))</f>
        <v/>
      </c>
      <c r="N61" s="18" t="n"/>
      <c r="O61" s="18" t="n"/>
      <c r="P61" s="18" t="n"/>
      <c r="Q61" s="18" t="n"/>
      <c r="R61" s="18" t="n"/>
      <c r="S61" s="18" t="n"/>
      <c r="T61" s="18" t="n"/>
      <c r="U61" s="18" t="inlineStr">
        <is>
          <t>CIP清洗剂逐条见冻结清单</t>
        </is>
      </c>
    </row>
    <row r="62">
      <c r="A62" s="18" t="inlineStr">
        <is>
          <t>FL-CLC-04E</t>
        </is>
      </c>
      <c r="B62" s="18" t="inlineStr">
        <is>
          <t>Edge</t>
        </is>
      </c>
      <c r="C62" s="18" t="n"/>
      <c r="D62" s="18" t="n"/>
      <c r="E62" s="18" t="n"/>
      <c r="F62" s="18" t="n"/>
      <c r="G62" s="18" t="n"/>
      <c r="H62" s="18" t="n"/>
      <c r="I62" s="18" t="inlineStr">
        <is>
          <t>否</t>
        </is>
      </c>
      <c r="J62" s="18" t="n"/>
      <c r="K62" s="18" t="n"/>
      <c r="L62" s="51">
        <f>IF(A62="","",IF(B62="Edge",IFERROR(IF(INDEX('模型流与公式'!$P$5:$P$204,MATCH(A62,'模型流与公式'!$A$5:$A$204,0))="","",INDEX('模型流与公式'!$P$5:$P$204,MATCH(A62,'模型流与公式'!$A$5:$A$204,0))),""),""))</f>
        <v/>
      </c>
      <c r="M62" s="18">
        <f>IF(A62="","",IF(B62="Edge",IFERROR(IF(INDEX('模型流与公式'!$Q$5:$Q$204,MATCH(A62,'模型流与公式'!$A$5:$A$204,0))="","",INDEX('模型流与公式'!$Q$5:$Q$204,MATCH(A62,'模型流与公式'!$A$5:$A$204,0))),""),""))</f>
        <v/>
      </c>
      <c r="N62" s="18" t="n"/>
      <c r="O62" s="18" t="n"/>
      <c r="P62" s="18" t="n"/>
      <c r="Q62" s="18" t="n"/>
      <c r="R62" s="18" t="n"/>
      <c r="S62" s="18" t="n"/>
      <c r="T62" s="18" t="n"/>
      <c r="U62" s="18" t="inlineStr">
        <is>
          <t>CIP清洗剂逐条见冻结清单</t>
        </is>
      </c>
    </row>
    <row r="63">
      <c r="A63" s="18" t="inlineStr">
        <is>
          <t>FL-CLC-04F</t>
        </is>
      </c>
      <c r="B63" s="18" t="inlineStr">
        <is>
          <t>Edge</t>
        </is>
      </c>
      <c r="C63" s="18" t="n"/>
      <c r="D63" s="18" t="n"/>
      <c r="E63" s="18" t="n"/>
      <c r="F63" s="18" t="n"/>
      <c r="G63" s="18" t="n"/>
      <c r="H63" s="18" t="n"/>
      <c r="I63" s="18" t="inlineStr">
        <is>
          <t>否</t>
        </is>
      </c>
      <c r="J63" s="18" t="n"/>
      <c r="K63" s="18" t="n"/>
      <c r="L63" s="51">
        <f>IF(A63="","",IF(B63="Edge",IFERROR(IF(INDEX('模型流与公式'!$P$5:$P$204,MATCH(A63,'模型流与公式'!$A$5:$A$204,0))="","",INDEX('模型流与公式'!$P$5:$P$204,MATCH(A63,'模型流与公式'!$A$5:$A$204,0))),""),""))</f>
        <v/>
      </c>
      <c r="M63" s="18">
        <f>IF(A63="","",IF(B63="Edge",IFERROR(IF(INDEX('模型流与公式'!$Q$5:$Q$204,MATCH(A63,'模型流与公式'!$A$5:$A$204,0))="","",INDEX('模型流与公式'!$Q$5:$Q$204,MATCH(A63,'模型流与公式'!$A$5:$A$204,0))),""),""))</f>
        <v/>
      </c>
      <c r="N63" s="18" t="n"/>
      <c r="O63" s="18" t="n"/>
      <c r="P63" s="18" t="n"/>
      <c r="Q63" s="18" t="n"/>
      <c r="R63" s="18" t="n"/>
      <c r="S63" s="18" t="n"/>
      <c r="T63" s="18" t="n"/>
      <c r="U63" s="18" t="inlineStr">
        <is>
          <t>CIP清洗剂逐条见冻结清单</t>
        </is>
      </c>
    </row>
    <row r="64">
      <c r="A64" s="18" t="inlineStr">
        <is>
          <t>FL-CLT-04</t>
        </is>
      </c>
      <c r="B64" s="18" t="inlineStr">
        <is>
          <t>Edge</t>
        </is>
      </c>
      <c r="C64" s="18" t="n"/>
      <c r="D64" s="18" t="n"/>
      <c r="E64" s="18" t="n"/>
      <c r="F64" s="18" t="n"/>
      <c r="G64" s="18" t="n"/>
      <c r="H64" s="18" t="n"/>
      <c r="I64" s="18" t="inlineStr">
        <is>
          <t>否</t>
        </is>
      </c>
      <c r="J64" s="18" t="n"/>
      <c r="K64" s="18" t="n"/>
      <c r="L64" s="51">
        <f>IF(A64="","",IF(B64="Edge",IFERROR(IF(INDEX('模型流与公式'!$P$5:$P$204,MATCH(A64,'模型流与公式'!$A$5:$A$204,0))="","",INDEX('模型流与公式'!$P$5:$P$204,MATCH(A64,'模型流与公式'!$A$5:$A$204,0))),""),""))</f>
        <v/>
      </c>
      <c r="M64" s="18">
        <f>IF(A64="","",IF(B64="Edge",IFERROR(IF(INDEX('模型流与公式'!$Q$5:$Q$204,MATCH(A64,'模型流与公式'!$A$5:$A$204,0))="","",INDEX('模型流与公式'!$Q$5:$Q$204,MATCH(A64,'模型流与公式'!$A$5:$A$204,0))),""),""))</f>
        <v/>
      </c>
      <c r="N64" s="18" t="n"/>
      <c r="O64" s="18" t="n"/>
      <c r="P64" s="18" t="n"/>
      <c r="Q64" s="18" t="n"/>
      <c r="R64" s="18" t="n"/>
      <c r="S64" s="18" t="n"/>
      <c r="T64" s="18" t="n"/>
      <c r="U64" s="18" t="inlineStr">
        <is>
          <t>清洗回路设备材料逐条见冻结清单</t>
        </is>
      </c>
    </row>
    <row r="65">
      <c r="A65" s="18" t="inlineStr">
        <is>
          <t>FL-CLCOD-04</t>
        </is>
      </c>
      <c r="B65" s="18" t="inlineStr">
        <is>
          <t>Edge</t>
        </is>
      </c>
      <c r="C65" s="18" t="n"/>
      <c r="D65" s="18" t="n"/>
      <c r="E65" s="18" t="n"/>
      <c r="F65" s="18" t="n"/>
      <c r="G65" s="18" t="n"/>
      <c r="H65" s="18" t="n"/>
      <c r="I65" s="18" t="inlineStr">
        <is>
          <t>否</t>
        </is>
      </c>
      <c r="J65" s="18" t="n"/>
      <c r="K65" s="18" t="n"/>
      <c r="L65" s="51">
        <f>IF(A65="","",IF(B65="Edge",IFERROR(IF(INDEX('模型流与公式'!$P$5:$P$204,MATCH(A65,'模型流与公式'!$A$5:$A$204,0))="","",INDEX('模型流与公式'!$P$5:$P$204,MATCH(A65,'模型流与公式'!$A$5:$A$204,0))),""),""))</f>
        <v/>
      </c>
      <c r="M65" s="18">
        <f>IF(A65="","",IF(B65="Edge",IFERROR(IF(INDEX('模型流与公式'!$Q$5:$Q$204,MATCH(A65,'模型流与公式'!$A$5:$A$204,0))="","",INDEX('模型流与公式'!$Q$5:$Q$204,MATCH(A65,'模型流与公式'!$A$5:$A$204,0))),""),""))</f>
        <v/>
      </c>
      <c r="N65" s="18" t="n"/>
      <c r="O65" s="18" t="n"/>
      <c r="P65" s="18" t="n"/>
      <c r="Q65" s="18" t="n"/>
      <c r="R65" s="18" t="n"/>
      <c r="S65" s="18" t="n"/>
      <c r="T65" s="18" t="n"/>
      <c r="U65" s="18" t="inlineStr">
        <is>
          <t>清洗废水COD见冻结清单</t>
        </is>
      </c>
    </row>
    <row r="66">
      <c r="A66" s="18" t="inlineStr">
        <is>
          <t>FL-CLDM-04</t>
        </is>
      </c>
      <c r="B66" s="18" t="inlineStr">
        <is>
          <t>Edge</t>
        </is>
      </c>
      <c r="C66" s="18" t="n"/>
      <c r="D66" s="18" t="n"/>
      <c r="E66" s="18" t="n"/>
      <c r="F66" s="18" t="n"/>
      <c r="G66" s="18" t="n"/>
      <c r="H66" s="18" t="n"/>
      <c r="I66" s="18" t="inlineStr">
        <is>
          <t>否</t>
        </is>
      </c>
      <c r="J66" s="18" t="n"/>
      <c r="K66" s="18" t="n"/>
      <c r="L66" s="51">
        <f>IF(A66="","",IF(B66="Edge",IFERROR(IF(INDEX('模型流与公式'!$P$5:$P$204,MATCH(A66,'模型流与公式'!$A$5:$A$204,0))="","",INDEX('模型流与公式'!$P$5:$P$204,MATCH(A66,'模型流与公式'!$A$5:$A$204,0))),""),""))</f>
        <v/>
      </c>
      <c r="M66" s="18">
        <f>IF(A66="","",IF(B66="Edge",IFERROR(IF(INDEX('模型流与公式'!$Q$5:$Q$204,MATCH(A66,'模型流与公式'!$A$5:$A$204,0))="","",INDEX('模型流与公式'!$Q$5:$Q$204,MATCH(A66,'模型流与公式'!$A$5:$A$204,0))),""),""))</f>
        <v/>
      </c>
      <c r="N66" s="18" t="n"/>
      <c r="O66" s="18" t="n"/>
      <c r="P66" s="18" t="n"/>
      <c r="Q66" s="18" t="n"/>
      <c r="R66" s="18" t="n"/>
      <c r="S66" s="18" t="n"/>
      <c r="T66" s="18" t="n"/>
      <c r="U66" s="18" t="inlineStr">
        <is>
          <t>清洗废水干物质见冻结清单</t>
        </is>
      </c>
    </row>
    <row r="67">
      <c r="A67" s="18" t="inlineStr">
        <is>
          <t>FL-CLW-05</t>
        </is>
      </c>
      <c r="B67" s="18" t="inlineStr">
        <is>
          <t>Edge</t>
        </is>
      </c>
      <c r="C67" s="18" t="n"/>
      <c r="D67" s="18" t="n"/>
      <c r="E67" s="18" t="n"/>
      <c r="F67" s="18" t="n"/>
      <c r="G67" s="18" t="n"/>
      <c r="H67" s="18" t="n"/>
      <c r="I67" s="18" t="inlineStr">
        <is>
          <t>否</t>
        </is>
      </c>
      <c r="J67" s="18" t="n"/>
      <c r="K67" s="18" t="n"/>
      <c r="L67" s="51">
        <f>IF(A67="","",IF(B67="Edge",IFERROR(IF(INDEX('模型流与公式'!$P$5:$P$204,MATCH(A67,'模型流与公式'!$A$5:$A$204,0))="","",INDEX('模型流与公式'!$P$5:$P$204,MATCH(A67,'模型流与公式'!$A$5:$A$204,0))),""),""))</f>
        <v/>
      </c>
      <c r="M67" s="18">
        <f>IF(A67="","",IF(B67="Edge",IFERROR(IF(INDEX('模型流与公式'!$Q$5:$Q$204,MATCH(A67,'模型流与公式'!$A$5:$A$204,0))="","",INDEX('模型流与公式'!$Q$5:$Q$204,MATCH(A67,'模型流与公式'!$A$5:$A$204,0))),""),""))</f>
        <v/>
      </c>
      <c r="N67" s="18" t="n"/>
      <c r="O67" s="18" t="n"/>
      <c r="P67" s="18" t="n"/>
      <c r="Q67" s="18" t="n"/>
      <c r="R67" s="18" t="n"/>
      <c r="S67" s="18" t="n"/>
      <c r="T67" s="18" t="n"/>
      <c r="U67" s="18" t="inlineStr">
        <is>
          <t>清洗水逐条见冻结清单</t>
        </is>
      </c>
    </row>
    <row r="68">
      <c r="A68" s="18" t="inlineStr">
        <is>
          <t>FL-CLC-05A</t>
        </is>
      </c>
      <c r="B68" s="18" t="inlineStr">
        <is>
          <t>Edge</t>
        </is>
      </c>
      <c r="C68" s="18" t="n"/>
      <c r="D68" s="18" t="n"/>
      <c r="E68" s="18" t="n"/>
      <c r="F68" s="18" t="n"/>
      <c r="G68" s="18" t="n"/>
      <c r="H68" s="18" t="n"/>
      <c r="I68" s="18" t="inlineStr">
        <is>
          <t>否</t>
        </is>
      </c>
      <c r="J68" s="18" t="n"/>
      <c r="K68" s="18" t="n"/>
      <c r="L68" s="51">
        <f>IF(A68="","",IF(B68="Edge",IFERROR(IF(INDEX('模型流与公式'!$P$5:$P$204,MATCH(A68,'模型流与公式'!$A$5:$A$204,0))="","",INDEX('模型流与公式'!$P$5:$P$204,MATCH(A68,'模型流与公式'!$A$5:$A$204,0))),""),""))</f>
        <v/>
      </c>
      <c r="M68" s="18">
        <f>IF(A68="","",IF(B68="Edge",IFERROR(IF(INDEX('模型流与公式'!$Q$5:$Q$204,MATCH(A68,'模型流与公式'!$A$5:$A$204,0))="","",INDEX('模型流与公式'!$Q$5:$Q$204,MATCH(A68,'模型流与公式'!$A$5:$A$204,0))),""),""))</f>
        <v/>
      </c>
      <c r="N68" s="18" t="n"/>
      <c r="O68" s="18" t="n"/>
      <c r="P68" s="18" t="n"/>
      <c r="Q68" s="18" t="n"/>
      <c r="R68" s="18" t="n"/>
      <c r="S68" s="18" t="n"/>
      <c r="T68" s="18" t="n"/>
      <c r="U68" s="18" t="inlineStr">
        <is>
          <t>CIP清洗剂逐条见冻结清单</t>
        </is>
      </c>
    </row>
    <row r="69">
      <c r="A69" s="18" t="inlineStr">
        <is>
          <t>FL-CLC-05B</t>
        </is>
      </c>
      <c r="B69" s="18" t="inlineStr">
        <is>
          <t>Edge</t>
        </is>
      </c>
      <c r="C69" s="18" t="n"/>
      <c r="D69" s="18" t="n"/>
      <c r="E69" s="18" t="n"/>
      <c r="F69" s="18" t="n"/>
      <c r="G69" s="18" t="n"/>
      <c r="H69" s="18" t="n"/>
      <c r="I69" s="18" t="inlineStr">
        <is>
          <t>否</t>
        </is>
      </c>
      <c r="J69" s="18" t="n"/>
      <c r="K69" s="18" t="n"/>
      <c r="L69" s="51">
        <f>IF(A69="","",IF(B69="Edge",IFERROR(IF(INDEX('模型流与公式'!$P$5:$P$204,MATCH(A69,'模型流与公式'!$A$5:$A$204,0))="","",INDEX('模型流与公式'!$P$5:$P$204,MATCH(A69,'模型流与公式'!$A$5:$A$204,0))),""),""))</f>
        <v/>
      </c>
      <c r="M69" s="18">
        <f>IF(A69="","",IF(B69="Edge",IFERROR(IF(INDEX('模型流与公式'!$Q$5:$Q$204,MATCH(A69,'模型流与公式'!$A$5:$A$204,0))="","",INDEX('模型流与公式'!$Q$5:$Q$204,MATCH(A69,'模型流与公式'!$A$5:$A$204,0))),""),""))</f>
        <v/>
      </c>
      <c r="N69" s="18" t="n"/>
      <c r="O69" s="18" t="n"/>
      <c r="P69" s="18" t="n"/>
      <c r="Q69" s="18" t="n"/>
      <c r="R69" s="18" t="n"/>
      <c r="S69" s="18" t="n"/>
      <c r="T69" s="18" t="n"/>
      <c r="U69" s="18" t="inlineStr">
        <is>
          <t>CIP清洗剂逐条见冻结清单</t>
        </is>
      </c>
    </row>
    <row r="70">
      <c r="A70" s="18" t="inlineStr">
        <is>
          <t>FL-CLC-05C</t>
        </is>
      </c>
      <c r="B70" s="18" t="inlineStr">
        <is>
          <t>Edge</t>
        </is>
      </c>
      <c r="C70" s="18" t="n"/>
      <c r="D70" s="18" t="n"/>
      <c r="E70" s="18" t="n"/>
      <c r="F70" s="18" t="n"/>
      <c r="G70" s="18" t="n"/>
      <c r="H70" s="18" t="n"/>
      <c r="I70" s="18" t="inlineStr">
        <is>
          <t>否</t>
        </is>
      </c>
      <c r="J70" s="18" t="n"/>
      <c r="K70" s="18" t="n"/>
      <c r="L70" s="51">
        <f>IF(A70="","",IF(B70="Edge",IFERROR(IF(INDEX('模型流与公式'!$P$5:$P$204,MATCH(A70,'模型流与公式'!$A$5:$A$204,0))="","",INDEX('模型流与公式'!$P$5:$P$204,MATCH(A70,'模型流与公式'!$A$5:$A$204,0))),""),""))</f>
        <v/>
      </c>
      <c r="M70" s="18">
        <f>IF(A70="","",IF(B70="Edge",IFERROR(IF(INDEX('模型流与公式'!$Q$5:$Q$204,MATCH(A70,'模型流与公式'!$A$5:$A$204,0))="","",INDEX('模型流与公式'!$Q$5:$Q$204,MATCH(A70,'模型流与公式'!$A$5:$A$204,0))),""),""))</f>
        <v/>
      </c>
      <c r="N70" s="18" t="n"/>
      <c r="O70" s="18" t="n"/>
      <c r="P70" s="18" t="n"/>
      <c r="Q70" s="18" t="n"/>
      <c r="R70" s="18" t="n"/>
      <c r="S70" s="18" t="n"/>
      <c r="T70" s="18" t="n"/>
      <c r="U70" s="18" t="inlineStr">
        <is>
          <t>CIP清洗剂逐条见冻结清单</t>
        </is>
      </c>
    </row>
    <row r="71">
      <c r="A71" s="18" t="inlineStr">
        <is>
          <t>FL-CLCOD-05</t>
        </is>
      </c>
      <c r="B71" s="18" t="inlineStr">
        <is>
          <t>Edge</t>
        </is>
      </c>
      <c r="C71" s="18" t="n"/>
      <c r="D71" s="18" t="n"/>
      <c r="E71" s="18" t="n"/>
      <c r="F71" s="18" t="n"/>
      <c r="G71" s="18" t="n"/>
      <c r="H71" s="18" t="n"/>
      <c r="I71" s="18" t="inlineStr">
        <is>
          <t>否</t>
        </is>
      </c>
      <c r="J71" s="18" t="n"/>
      <c r="K71" s="18" t="n"/>
      <c r="L71" s="51">
        <f>IF(A71="","",IF(B71="Edge",IFERROR(IF(INDEX('模型流与公式'!$P$5:$P$204,MATCH(A71,'模型流与公式'!$A$5:$A$204,0))="","",INDEX('模型流与公式'!$P$5:$P$204,MATCH(A71,'模型流与公式'!$A$5:$A$204,0))),""),""))</f>
        <v/>
      </c>
      <c r="M71" s="18">
        <f>IF(A71="","",IF(B71="Edge",IFERROR(IF(INDEX('模型流与公式'!$Q$5:$Q$204,MATCH(A71,'模型流与公式'!$A$5:$A$204,0))="","",INDEX('模型流与公式'!$Q$5:$Q$204,MATCH(A71,'模型流与公式'!$A$5:$A$204,0))),""),""))</f>
        <v/>
      </c>
      <c r="N71" s="18" t="n"/>
      <c r="O71" s="18" t="n"/>
      <c r="P71" s="18" t="n"/>
      <c r="Q71" s="18" t="n"/>
      <c r="R71" s="18" t="n"/>
      <c r="S71" s="18" t="n"/>
      <c r="T71" s="18" t="n"/>
      <c r="U71" s="18" t="inlineStr">
        <is>
          <t>清洗废水COD见冻结清单</t>
        </is>
      </c>
    </row>
    <row r="72">
      <c r="A72" s="18" t="inlineStr">
        <is>
          <t>FL-CLDM-05</t>
        </is>
      </c>
      <c r="B72" s="18" t="inlineStr">
        <is>
          <t>Edge</t>
        </is>
      </c>
      <c r="C72" s="18" t="n"/>
      <c r="D72" s="18" t="n"/>
      <c r="E72" s="18" t="n"/>
      <c r="F72" s="18" t="n"/>
      <c r="G72" s="18" t="n"/>
      <c r="H72" s="18" t="n"/>
      <c r="I72" s="18" t="inlineStr">
        <is>
          <t>否</t>
        </is>
      </c>
      <c r="J72" s="18" t="n"/>
      <c r="K72" s="18" t="n"/>
      <c r="L72" s="51">
        <f>IF(A72="","",IF(B72="Edge",IFERROR(IF(INDEX('模型流与公式'!$P$5:$P$204,MATCH(A72,'模型流与公式'!$A$5:$A$204,0))="","",INDEX('模型流与公式'!$P$5:$P$204,MATCH(A72,'模型流与公式'!$A$5:$A$204,0))),""),""))</f>
        <v/>
      </c>
      <c r="M72" s="18">
        <f>IF(A72="","",IF(B72="Edge",IFERROR(IF(INDEX('模型流与公式'!$Q$5:$Q$204,MATCH(A72,'模型流与公式'!$A$5:$A$204,0))="","",INDEX('模型流与公式'!$Q$5:$Q$204,MATCH(A72,'模型流与公式'!$A$5:$A$204,0))),""),""))</f>
        <v/>
      </c>
      <c r="N72" s="18" t="n"/>
      <c r="O72" s="18" t="n"/>
      <c r="P72" s="18" t="n"/>
      <c r="Q72" s="18" t="n"/>
      <c r="R72" s="18" t="n"/>
      <c r="S72" s="18" t="n"/>
      <c r="T72" s="18" t="n"/>
      <c r="U72" s="18" t="inlineStr">
        <is>
          <t>清洗废水干物质见冻结清单</t>
        </is>
      </c>
    </row>
    <row r="73">
      <c r="A73" s="18" t="inlineStr">
        <is>
          <t>FL-CLW-06</t>
        </is>
      </c>
      <c r="B73" s="18" t="inlineStr">
        <is>
          <t>Edge</t>
        </is>
      </c>
      <c r="C73" s="18" t="n"/>
      <c r="D73" s="18" t="n"/>
      <c r="E73" s="18" t="n"/>
      <c r="F73" s="18" t="n"/>
      <c r="G73" s="18" t="n"/>
      <c r="H73" s="18" t="n"/>
      <c r="I73" s="18" t="inlineStr">
        <is>
          <t>否</t>
        </is>
      </c>
      <c r="J73" s="18" t="n"/>
      <c r="K73" s="18" t="n"/>
      <c r="L73" s="51">
        <f>IF(A73="","",IF(B73="Edge",IFERROR(IF(INDEX('模型流与公式'!$P$5:$P$204,MATCH(A73,'模型流与公式'!$A$5:$A$204,0))="","",INDEX('模型流与公式'!$P$5:$P$204,MATCH(A73,'模型流与公式'!$A$5:$A$204,0))),""),""))</f>
        <v/>
      </c>
      <c r="M73" s="18">
        <f>IF(A73="","",IF(B73="Edge",IFERROR(IF(INDEX('模型流与公式'!$Q$5:$Q$204,MATCH(A73,'模型流与公式'!$A$5:$A$204,0))="","",INDEX('模型流与公式'!$Q$5:$Q$204,MATCH(A73,'模型流与公式'!$A$5:$A$204,0))),""),""))</f>
        <v/>
      </c>
      <c r="N73" s="18" t="n"/>
      <c r="O73" s="18" t="n"/>
      <c r="P73" s="18" t="n"/>
      <c r="Q73" s="18" t="n"/>
      <c r="R73" s="18" t="n"/>
      <c r="S73" s="18" t="n"/>
      <c r="T73" s="18" t="n"/>
      <c r="U73" s="18" t="inlineStr">
        <is>
          <t>清洗水逐条见冻结清单</t>
        </is>
      </c>
    </row>
    <row r="74">
      <c r="A74" s="18" t="inlineStr">
        <is>
          <t>FL-CLC-06A</t>
        </is>
      </c>
      <c r="B74" s="18" t="inlineStr">
        <is>
          <t>Edge</t>
        </is>
      </c>
      <c r="C74" s="18" t="n"/>
      <c r="D74" s="18" t="n"/>
      <c r="E74" s="18" t="n"/>
      <c r="F74" s="18" t="n"/>
      <c r="G74" s="18" t="n"/>
      <c r="H74" s="18" t="n"/>
      <c r="I74" s="18" t="inlineStr">
        <is>
          <t>否</t>
        </is>
      </c>
      <c r="J74" s="18" t="n"/>
      <c r="K74" s="18" t="n"/>
      <c r="L74" s="51">
        <f>IF(A74="","",IF(B74="Edge",IFERROR(IF(INDEX('模型流与公式'!$P$5:$P$204,MATCH(A74,'模型流与公式'!$A$5:$A$204,0))="","",INDEX('模型流与公式'!$P$5:$P$204,MATCH(A74,'模型流与公式'!$A$5:$A$204,0))),""),""))</f>
        <v/>
      </c>
      <c r="M74" s="18">
        <f>IF(A74="","",IF(B74="Edge",IFERROR(IF(INDEX('模型流与公式'!$Q$5:$Q$204,MATCH(A74,'模型流与公式'!$A$5:$A$204,0))="","",INDEX('模型流与公式'!$Q$5:$Q$204,MATCH(A74,'模型流与公式'!$A$5:$A$204,0))),""),""))</f>
        <v/>
      </c>
      <c r="N74" s="18" t="n"/>
      <c r="O74" s="18" t="n"/>
      <c r="P74" s="18" t="n"/>
      <c r="Q74" s="18" t="n"/>
      <c r="R74" s="18" t="n"/>
      <c r="S74" s="18" t="n"/>
      <c r="T74" s="18" t="n"/>
      <c r="U74" s="18" t="inlineStr">
        <is>
          <t>CIP清洗剂逐条见冻结清单</t>
        </is>
      </c>
    </row>
    <row r="75">
      <c r="A75" s="18" t="inlineStr">
        <is>
          <t>FL-CLC-06B</t>
        </is>
      </c>
      <c r="B75" s="18" t="inlineStr">
        <is>
          <t>Edge</t>
        </is>
      </c>
      <c r="C75" s="18" t="n"/>
      <c r="D75" s="18" t="n"/>
      <c r="E75" s="18" t="n"/>
      <c r="F75" s="18" t="n"/>
      <c r="G75" s="18" t="n"/>
      <c r="H75" s="18" t="n"/>
      <c r="I75" s="18" t="inlineStr">
        <is>
          <t>否</t>
        </is>
      </c>
      <c r="J75" s="18" t="n"/>
      <c r="K75" s="18" t="n"/>
      <c r="L75" s="51">
        <f>IF(A75="","",IF(B75="Edge",IFERROR(IF(INDEX('模型流与公式'!$P$5:$P$204,MATCH(A75,'模型流与公式'!$A$5:$A$204,0))="","",INDEX('模型流与公式'!$P$5:$P$204,MATCH(A75,'模型流与公式'!$A$5:$A$204,0))),""),""))</f>
        <v/>
      </c>
      <c r="M75" s="18">
        <f>IF(A75="","",IF(B75="Edge",IFERROR(IF(INDEX('模型流与公式'!$Q$5:$Q$204,MATCH(A75,'模型流与公式'!$A$5:$A$204,0))="","",INDEX('模型流与公式'!$Q$5:$Q$204,MATCH(A75,'模型流与公式'!$A$5:$A$204,0))),""),""))</f>
        <v/>
      </c>
      <c r="N75" s="18" t="n"/>
      <c r="O75" s="18" t="n"/>
      <c r="P75" s="18" t="n"/>
      <c r="Q75" s="18" t="n"/>
      <c r="R75" s="18" t="n"/>
      <c r="S75" s="18" t="n"/>
      <c r="T75" s="18" t="n"/>
      <c r="U75" s="18" t="inlineStr">
        <is>
          <t>CIP清洗剂逐条见冻结清单</t>
        </is>
      </c>
    </row>
    <row r="76">
      <c r="A76" s="18" t="inlineStr">
        <is>
          <t>FL-CLC-06C</t>
        </is>
      </c>
      <c r="B76" s="18" t="inlineStr">
        <is>
          <t>Edge</t>
        </is>
      </c>
      <c r="C76" s="18" t="n"/>
      <c r="D76" s="18" t="n"/>
      <c r="E76" s="18" t="n"/>
      <c r="F76" s="18" t="n"/>
      <c r="G76" s="18" t="n"/>
      <c r="H76" s="18" t="n"/>
      <c r="I76" s="18" t="inlineStr">
        <is>
          <t>否</t>
        </is>
      </c>
      <c r="J76" s="18" t="n"/>
      <c r="K76" s="18" t="n"/>
      <c r="L76" s="51">
        <f>IF(A76="","",IF(B76="Edge",IFERROR(IF(INDEX('模型流与公式'!$P$5:$P$204,MATCH(A76,'模型流与公式'!$A$5:$A$204,0))="","",INDEX('模型流与公式'!$P$5:$P$204,MATCH(A76,'模型流与公式'!$A$5:$A$204,0))),""),""))</f>
        <v/>
      </c>
      <c r="M76" s="18">
        <f>IF(A76="","",IF(B76="Edge",IFERROR(IF(INDEX('模型流与公式'!$Q$5:$Q$204,MATCH(A76,'模型流与公式'!$A$5:$A$204,0))="","",INDEX('模型流与公式'!$Q$5:$Q$204,MATCH(A76,'模型流与公式'!$A$5:$A$204,0))),""),""))</f>
        <v/>
      </c>
      <c r="N76" s="18" t="n"/>
      <c r="O76" s="18" t="n"/>
      <c r="P76" s="18" t="n"/>
      <c r="Q76" s="18" t="n"/>
      <c r="R76" s="18" t="n"/>
      <c r="S76" s="18" t="n"/>
      <c r="T76" s="18" t="n"/>
      <c r="U76" s="18" t="inlineStr">
        <is>
          <t>CIP清洗剂逐条见冻结清单</t>
        </is>
      </c>
    </row>
    <row r="77">
      <c r="A77" s="18" t="inlineStr">
        <is>
          <t>FL-CLC-06D</t>
        </is>
      </c>
      <c r="B77" s="18" t="inlineStr">
        <is>
          <t>Edge</t>
        </is>
      </c>
      <c r="C77" s="18" t="n"/>
      <c r="D77" s="18" t="n"/>
      <c r="E77" s="18" t="n"/>
      <c r="F77" s="18" t="n"/>
      <c r="G77" s="18" t="n"/>
      <c r="H77" s="18" t="n"/>
      <c r="I77" s="18" t="inlineStr">
        <is>
          <t>否</t>
        </is>
      </c>
      <c r="J77" s="18" t="n"/>
      <c r="K77" s="18" t="n"/>
      <c r="L77" s="51">
        <f>IF(A77="","",IF(B77="Edge",IFERROR(IF(INDEX('模型流与公式'!$P$5:$P$204,MATCH(A77,'模型流与公式'!$A$5:$A$204,0))="","",INDEX('模型流与公式'!$P$5:$P$204,MATCH(A77,'模型流与公式'!$A$5:$A$204,0))),""),""))</f>
        <v/>
      </c>
      <c r="M77" s="18">
        <f>IF(A77="","",IF(B77="Edge",IFERROR(IF(INDEX('模型流与公式'!$Q$5:$Q$204,MATCH(A77,'模型流与公式'!$A$5:$A$204,0))="","",INDEX('模型流与公式'!$Q$5:$Q$204,MATCH(A77,'模型流与公式'!$A$5:$A$204,0))),""),""))</f>
        <v/>
      </c>
      <c r="N77" s="18" t="n"/>
      <c r="O77" s="18" t="n"/>
      <c r="P77" s="18" t="n"/>
      <c r="Q77" s="18" t="n"/>
      <c r="R77" s="18" t="n"/>
      <c r="S77" s="18" t="n"/>
      <c r="T77" s="18" t="n"/>
      <c r="U77" s="18" t="inlineStr">
        <is>
          <t>CIP清洗剂逐条见冻结清单</t>
        </is>
      </c>
    </row>
    <row r="78">
      <c r="A78" s="18" t="inlineStr">
        <is>
          <t>FL-CLC-06E</t>
        </is>
      </c>
      <c r="B78" s="18" t="inlineStr">
        <is>
          <t>Edge</t>
        </is>
      </c>
      <c r="C78" s="18" t="n"/>
      <c r="D78" s="18" t="n"/>
      <c r="E78" s="18" t="n"/>
      <c r="F78" s="18" t="n"/>
      <c r="G78" s="18" t="n"/>
      <c r="H78" s="18" t="n"/>
      <c r="I78" s="18" t="inlineStr">
        <is>
          <t>否</t>
        </is>
      </c>
      <c r="J78" s="18" t="n"/>
      <c r="K78" s="18" t="n"/>
      <c r="L78" s="51">
        <f>IF(A78="","",IF(B78="Edge",IFERROR(IF(INDEX('模型流与公式'!$P$5:$P$204,MATCH(A78,'模型流与公式'!$A$5:$A$204,0))="","",INDEX('模型流与公式'!$P$5:$P$204,MATCH(A78,'模型流与公式'!$A$5:$A$204,0))),""),""))</f>
        <v/>
      </c>
      <c r="M78" s="18">
        <f>IF(A78="","",IF(B78="Edge",IFERROR(IF(INDEX('模型流与公式'!$Q$5:$Q$204,MATCH(A78,'模型流与公式'!$A$5:$A$204,0))="","",INDEX('模型流与公式'!$Q$5:$Q$204,MATCH(A78,'模型流与公式'!$A$5:$A$204,0))),""),""))</f>
        <v/>
      </c>
      <c r="N78" s="18" t="n"/>
      <c r="O78" s="18" t="n"/>
      <c r="P78" s="18" t="n"/>
      <c r="Q78" s="18" t="n"/>
      <c r="R78" s="18" t="n"/>
      <c r="S78" s="18" t="n"/>
      <c r="T78" s="18" t="n"/>
      <c r="U78" s="18" t="inlineStr">
        <is>
          <t>CIP清洗剂逐条见冻结清单</t>
        </is>
      </c>
    </row>
    <row r="79">
      <c r="A79" s="18" t="inlineStr">
        <is>
          <t>FL-CLC-06F</t>
        </is>
      </c>
      <c r="B79" s="18" t="inlineStr">
        <is>
          <t>Edge</t>
        </is>
      </c>
      <c r="C79" s="18" t="n"/>
      <c r="D79" s="18" t="n"/>
      <c r="E79" s="18" t="n"/>
      <c r="F79" s="18" t="n"/>
      <c r="G79" s="18" t="n"/>
      <c r="H79" s="18" t="n"/>
      <c r="I79" s="18" t="inlineStr">
        <is>
          <t>否</t>
        </is>
      </c>
      <c r="J79" s="18" t="n"/>
      <c r="K79" s="18" t="n"/>
      <c r="L79" s="51">
        <f>IF(A79="","",IF(B79="Edge",IFERROR(IF(INDEX('模型流与公式'!$P$5:$P$204,MATCH(A79,'模型流与公式'!$A$5:$A$204,0))="","",INDEX('模型流与公式'!$P$5:$P$204,MATCH(A79,'模型流与公式'!$A$5:$A$204,0))),""),""))</f>
        <v/>
      </c>
      <c r="M79" s="18">
        <f>IF(A79="","",IF(B79="Edge",IFERROR(IF(INDEX('模型流与公式'!$Q$5:$Q$204,MATCH(A79,'模型流与公式'!$A$5:$A$204,0))="","",INDEX('模型流与公式'!$Q$5:$Q$204,MATCH(A79,'模型流与公式'!$A$5:$A$204,0))),""),""))</f>
        <v/>
      </c>
      <c r="N79" s="18" t="n"/>
      <c r="O79" s="18" t="n"/>
      <c r="P79" s="18" t="n"/>
      <c r="Q79" s="18" t="n"/>
      <c r="R79" s="18" t="n"/>
      <c r="S79" s="18" t="n"/>
      <c r="T79" s="18" t="n"/>
      <c r="U79" s="18" t="inlineStr">
        <is>
          <t>CIP清洗剂逐条见冻结清单</t>
        </is>
      </c>
    </row>
    <row r="80">
      <c r="A80" s="18" t="inlineStr">
        <is>
          <t>FL-CLT-06</t>
        </is>
      </c>
      <c r="B80" s="18" t="inlineStr">
        <is>
          <t>Edge</t>
        </is>
      </c>
      <c r="C80" s="18" t="n"/>
      <c r="D80" s="18" t="n"/>
      <c r="E80" s="18" t="n"/>
      <c r="F80" s="18" t="n"/>
      <c r="G80" s="18" t="n"/>
      <c r="H80" s="18" t="n"/>
      <c r="I80" s="18" t="inlineStr">
        <is>
          <t>否</t>
        </is>
      </c>
      <c r="J80" s="18" t="n"/>
      <c r="K80" s="18" t="n"/>
      <c r="L80" s="51">
        <f>IF(A80="","",IF(B80="Edge",IFERROR(IF(INDEX('模型流与公式'!$P$5:$P$204,MATCH(A80,'模型流与公式'!$A$5:$A$204,0))="","",INDEX('模型流与公式'!$P$5:$P$204,MATCH(A80,'模型流与公式'!$A$5:$A$204,0))),""),""))</f>
        <v/>
      </c>
      <c r="M80" s="18">
        <f>IF(A80="","",IF(B80="Edge",IFERROR(IF(INDEX('模型流与公式'!$Q$5:$Q$204,MATCH(A80,'模型流与公式'!$A$5:$A$204,0))="","",INDEX('模型流与公式'!$Q$5:$Q$204,MATCH(A80,'模型流与公式'!$A$5:$A$204,0))),""),""))</f>
        <v/>
      </c>
      <c r="N80" s="18" t="n"/>
      <c r="O80" s="18" t="n"/>
      <c r="P80" s="18" t="n"/>
      <c r="Q80" s="18" t="n"/>
      <c r="R80" s="18" t="n"/>
      <c r="S80" s="18" t="n"/>
      <c r="T80" s="18" t="n"/>
      <c r="U80" s="18" t="inlineStr">
        <is>
          <t>清洗回路设备材料逐条见冻结清单</t>
        </is>
      </c>
    </row>
    <row r="81">
      <c r="A81" s="18" t="inlineStr">
        <is>
          <t>FL-CLCOD-06</t>
        </is>
      </c>
      <c r="B81" s="18" t="inlineStr">
        <is>
          <t>Edge</t>
        </is>
      </c>
      <c r="C81" s="18" t="n"/>
      <c r="D81" s="18" t="n"/>
      <c r="E81" s="18" t="n"/>
      <c r="F81" s="18" t="n"/>
      <c r="G81" s="18" t="n"/>
      <c r="H81" s="18" t="n"/>
      <c r="I81" s="18" t="inlineStr">
        <is>
          <t>否</t>
        </is>
      </c>
      <c r="J81" s="18" t="n"/>
      <c r="K81" s="18" t="n"/>
      <c r="L81" s="51">
        <f>IF(A81="","",IF(B81="Edge",IFERROR(IF(INDEX('模型流与公式'!$P$5:$P$204,MATCH(A81,'模型流与公式'!$A$5:$A$204,0))="","",INDEX('模型流与公式'!$P$5:$P$204,MATCH(A81,'模型流与公式'!$A$5:$A$204,0))),""),""))</f>
        <v/>
      </c>
      <c r="M81" s="18">
        <f>IF(A81="","",IF(B81="Edge",IFERROR(IF(INDEX('模型流与公式'!$Q$5:$Q$204,MATCH(A81,'模型流与公式'!$A$5:$A$204,0))="","",INDEX('模型流与公式'!$Q$5:$Q$204,MATCH(A81,'模型流与公式'!$A$5:$A$204,0))),""),""))</f>
        <v/>
      </c>
      <c r="N81" s="18" t="n"/>
      <c r="O81" s="18" t="n"/>
      <c r="P81" s="18" t="n"/>
      <c r="Q81" s="18" t="n"/>
      <c r="R81" s="18" t="n"/>
      <c r="S81" s="18" t="n"/>
      <c r="T81" s="18" t="n"/>
      <c r="U81" s="18" t="inlineStr">
        <is>
          <t>清洗废水COD见冻结清单</t>
        </is>
      </c>
    </row>
    <row r="82">
      <c r="A82" s="18" t="inlineStr">
        <is>
          <t>FL-CLDM-06</t>
        </is>
      </c>
      <c r="B82" s="18" t="inlineStr">
        <is>
          <t>Edge</t>
        </is>
      </c>
      <c r="C82" s="18" t="n"/>
      <c r="D82" s="18" t="n"/>
      <c r="E82" s="18" t="n"/>
      <c r="F82" s="18" t="n"/>
      <c r="G82" s="18" t="n"/>
      <c r="H82" s="18" t="n"/>
      <c r="I82" s="18" t="inlineStr">
        <is>
          <t>否</t>
        </is>
      </c>
      <c r="J82" s="18" t="n"/>
      <c r="K82" s="18" t="n"/>
      <c r="L82" s="51">
        <f>IF(A82="","",IF(B82="Edge",IFERROR(IF(INDEX('模型流与公式'!$P$5:$P$204,MATCH(A82,'模型流与公式'!$A$5:$A$204,0))="","",INDEX('模型流与公式'!$P$5:$P$204,MATCH(A82,'模型流与公式'!$A$5:$A$204,0))),""),""))</f>
        <v/>
      </c>
      <c r="M82" s="18">
        <f>IF(A82="","",IF(B82="Edge",IFERROR(IF(INDEX('模型流与公式'!$Q$5:$Q$204,MATCH(A82,'模型流与公式'!$A$5:$A$204,0))="","",INDEX('模型流与公式'!$Q$5:$Q$204,MATCH(A82,'模型流与公式'!$A$5:$A$204,0))),""),""))</f>
        <v/>
      </c>
      <c r="N82" s="18" t="n"/>
      <c r="O82" s="18" t="n"/>
      <c r="P82" s="18" t="n"/>
      <c r="Q82" s="18" t="n"/>
      <c r="R82" s="18" t="n"/>
      <c r="S82" s="18" t="n"/>
      <c r="T82" s="18" t="n"/>
      <c r="U82" s="18" t="inlineStr">
        <is>
          <t>清洗废水干物质见冻结清单</t>
        </is>
      </c>
    </row>
    <row r="83">
      <c r="A83" s="18" t="inlineStr">
        <is>
          <t>FL-CLW-07</t>
        </is>
      </c>
      <c r="B83" s="18" t="inlineStr">
        <is>
          <t>Edge</t>
        </is>
      </c>
      <c r="C83" s="18" t="n"/>
      <c r="D83" s="18" t="n"/>
      <c r="E83" s="18" t="n"/>
      <c r="F83" s="18" t="n"/>
      <c r="G83" s="18" t="n"/>
      <c r="H83" s="18" t="n"/>
      <c r="I83" s="18" t="inlineStr">
        <is>
          <t>否</t>
        </is>
      </c>
      <c r="J83" s="18" t="n"/>
      <c r="K83" s="18" t="n"/>
      <c r="L83" s="51">
        <f>IF(A83="","",IF(B83="Edge",IFERROR(IF(INDEX('模型流与公式'!$P$5:$P$204,MATCH(A83,'模型流与公式'!$A$5:$A$204,0))="","",INDEX('模型流与公式'!$P$5:$P$204,MATCH(A83,'模型流与公式'!$A$5:$A$204,0))),""),""))</f>
        <v/>
      </c>
      <c r="M83" s="18">
        <f>IF(A83="","",IF(B83="Edge",IFERROR(IF(INDEX('模型流与公式'!$Q$5:$Q$204,MATCH(A83,'模型流与公式'!$A$5:$A$204,0))="","",INDEX('模型流与公式'!$Q$5:$Q$204,MATCH(A83,'模型流与公式'!$A$5:$A$204,0))),""),""))</f>
        <v/>
      </c>
      <c r="N83" s="18" t="n"/>
      <c r="O83" s="18" t="n"/>
      <c r="P83" s="18" t="n"/>
      <c r="Q83" s="18" t="n"/>
      <c r="R83" s="18" t="n"/>
      <c r="S83" s="18" t="n"/>
      <c r="T83" s="18" t="n"/>
      <c r="U83" s="18" t="inlineStr">
        <is>
          <t>清洗水逐条见冻结清单</t>
        </is>
      </c>
    </row>
    <row r="84">
      <c r="A84" s="18" t="inlineStr">
        <is>
          <t>FL-CLC-07A</t>
        </is>
      </c>
      <c r="B84" s="18" t="inlineStr">
        <is>
          <t>Edge</t>
        </is>
      </c>
      <c r="C84" s="18" t="n"/>
      <c r="D84" s="18" t="n"/>
      <c r="E84" s="18" t="n"/>
      <c r="F84" s="18" t="n"/>
      <c r="G84" s="18" t="n"/>
      <c r="H84" s="18" t="n"/>
      <c r="I84" s="18" t="inlineStr">
        <is>
          <t>否</t>
        </is>
      </c>
      <c r="J84" s="18" t="n"/>
      <c r="K84" s="18" t="n"/>
      <c r="L84" s="51">
        <f>IF(A84="","",IF(B84="Edge",IFERROR(IF(INDEX('模型流与公式'!$P$5:$P$204,MATCH(A84,'模型流与公式'!$A$5:$A$204,0))="","",INDEX('模型流与公式'!$P$5:$P$204,MATCH(A84,'模型流与公式'!$A$5:$A$204,0))),""),""))</f>
        <v/>
      </c>
      <c r="M84" s="18">
        <f>IF(A84="","",IF(B84="Edge",IFERROR(IF(INDEX('模型流与公式'!$Q$5:$Q$204,MATCH(A84,'模型流与公式'!$A$5:$A$204,0))="","",INDEX('模型流与公式'!$Q$5:$Q$204,MATCH(A84,'模型流与公式'!$A$5:$A$204,0))),""),""))</f>
        <v/>
      </c>
      <c r="N84" s="18" t="n"/>
      <c r="O84" s="18" t="n"/>
      <c r="P84" s="18" t="n"/>
      <c r="Q84" s="18" t="n"/>
      <c r="R84" s="18" t="n"/>
      <c r="S84" s="18" t="n"/>
      <c r="T84" s="18" t="n"/>
      <c r="U84" s="18" t="inlineStr">
        <is>
          <t>CIP清洗剂逐条见冻结清单</t>
        </is>
      </c>
    </row>
    <row r="85">
      <c r="A85" s="18" t="inlineStr">
        <is>
          <t>FL-CLC-07B</t>
        </is>
      </c>
      <c r="B85" s="18" t="inlineStr">
        <is>
          <t>Edge</t>
        </is>
      </c>
      <c r="C85" s="18" t="n"/>
      <c r="D85" s="18" t="n"/>
      <c r="E85" s="18" t="n"/>
      <c r="F85" s="18" t="n"/>
      <c r="G85" s="18" t="n"/>
      <c r="H85" s="18" t="n"/>
      <c r="I85" s="18" t="inlineStr">
        <is>
          <t>否</t>
        </is>
      </c>
      <c r="J85" s="18" t="n"/>
      <c r="K85" s="18" t="n"/>
      <c r="L85" s="51">
        <f>IF(A85="","",IF(B85="Edge",IFERROR(IF(INDEX('模型流与公式'!$P$5:$P$204,MATCH(A85,'模型流与公式'!$A$5:$A$204,0))="","",INDEX('模型流与公式'!$P$5:$P$204,MATCH(A85,'模型流与公式'!$A$5:$A$204,0))),""),""))</f>
        <v/>
      </c>
      <c r="M85" s="18">
        <f>IF(A85="","",IF(B85="Edge",IFERROR(IF(INDEX('模型流与公式'!$Q$5:$Q$204,MATCH(A85,'模型流与公式'!$A$5:$A$204,0))="","",INDEX('模型流与公式'!$Q$5:$Q$204,MATCH(A85,'模型流与公式'!$A$5:$A$204,0))),""),""))</f>
        <v/>
      </c>
      <c r="N85" s="18" t="n"/>
      <c r="O85" s="18" t="n"/>
      <c r="P85" s="18" t="n"/>
      <c r="Q85" s="18" t="n"/>
      <c r="R85" s="18" t="n"/>
      <c r="S85" s="18" t="n"/>
      <c r="T85" s="18" t="n"/>
      <c r="U85" s="18" t="inlineStr">
        <is>
          <t>CIP清洗剂逐条见冻结清单</t>
        </is>
      </c>
    </row>
    <row r="86">
      <c r="A86" s="18" t="inlineStr">
        <is>
          <t>FL-CLC-07C</t>
        </is>
      </c>
      <c r="B86" s="18" t="inlineStr">
        <is>
          <t>Edge</t>
        </is>
      </c>
      <c r="C86" s="18" t="n"/>
      <c r="D86" s="18" t="n"/>
      <c r="E86" s="18" t="n"/>
      <c r="F86" s="18" t="n"/>
      <c r="G86" s="18" t="n"/>
      <c r="H86" s="18" t="n"/>
      <c r="I86" s="18" t="inlineStr">
        <is>
          <t>否</t>
        </is>
      </c>
      <c r="J86" s="18" t="n"/>
      <c r="K86" s="18" t="n"/>
      <c r="L86" s="51">
        <f>IF(A86="","",IF(B86="Edge",IFERROR(IF(INDEX('模型流与公式'!$P$5:$P$204,MATCH(A86,'模型流与公式'!$A$5:$A$204,0))="","",INDEX('模型流与公式'!$P$5:$P$204,MATCH(A86,'模型流与公式'!$A$5:$A$204,0))),""),""))</f>
        <v/>
      </c>
      <c r="M86" s="18">
        <f>IF(A86="","",IF(B86="Edge",IFERROR(IF(INDEX('模型流与公式'!$Q$5:$Q$204,MATCH(A86,'模型流与公式'!$A$5:$A$204,0))="","",INDEX('模型流与公式'!$Q$5:$Q$204,MATCH(A86,'模型流与公式'!$A$5:$A$204,0))),""),""))</f>
        <v/>
      </c>
      <c r="N86" s="18" t="n"/>
      <c r="O86" s="18" t="n"/>
      <c r="P86" s="18" t="n"/>
      <c r="Q86" s="18" t="n"/>
      <c r="R86" s="18" t="n"/>
      <c r="S86" s="18" t="n"/>
      <c r="T86" s="18" t="n"/>
      <c r="U86" s="18" t="inlineStr">
        <is>
          <t>CIP清洗剂逐条见冻结清单</t>
        </is>
      </c>
    </row>
    <row r="87">
      <c r="A87" s="18" t="inlineStr">
        <is>
          <t>FL-CLC-07D</t>
        </is>
      </c>
      <c r="B87" s="18" t="inlineStr">
        <is>
          <t>Edge</t>
        </is>
      </c>
      <c r="C87" s="18" t="n"/>
      <c r="D87" s="18" t="n"/>
      <c r="E87" s="18" t="n"/>
      <c r="F87" s="18" t="n"/>
      <c r="G87" s="18" t="n"/>
      <c r="H87" s="18" t="n"/>
      <c r="I87" s="18" t="inlineStr">
        <is>
          <t>否</t>
        </is>
      </c>
      <c r="J87" s="18" t="n"/>
      <c r="K87" s="18" t="n"/>
      <c r="L87" s="51">
        <f>IF(A87="","",IF(B87="Edge",IFERROR(IF(INDEX('模型流与公式'!$P$5:$P$204,MATCH(A87,'模型流与公式'!$A$5:$A$204,0))="","",INDEX('模型流与公式'!$P$5:$P$204,MATCH(A87,'模型流与公式'!$A$5:$A$204,0))),""),""))</f>
        <v/>
      </c>
      <c r="M87" s="18">
        <f>IF(A87="","",IF(B87="Edge",IFERROR(IF(INDEX('模型流与公式'!$Q$5:$Q$204,MATCH(A87,'模型流与公式'!$A$5:$A$204,0))="","",INDEX('模型流与公式'!$Q$5:$Q$204,MATCH(A87,'模型流与公式'!$A$5:$A$204,0))),""),""))</f>
        <v/>
      </c>
      <c r="N87" s="18" t="n"/>
      <c r="O87" s="18" t="n"/>
      <c r="P87" s="18" t="n"/>
      <c r="Q87" s="18" t="n"/>
      <c r="R87" s="18" t="n"/>
      <c r="S87" s="18" t="n"/>
      <c r="T87" s="18" t="n"/>
      <c r="U87" s="18" t="inlineStr">
        <is>
          <t>CIP清洗剂逐条见冻结清单</t>
        </is>
      </c>
    </row>
    <row r="88">
      <c r="A88" s="18" t="inlineStr">
        <is>
          <t>FL-CLC-07E</t>
        </is>
      </c>
      <c r="B88" s="18" t="inlineStr">
        <is>
          <t>Edge</t>
        </is>
      </c>
      <c r="C88" s="18" t="n"/>
      <c r="D88" s="18" t="n"/>
      <c r="E88" s="18" t="n"/>
      <c r="F88" s="18" t="n"/>
      <c r="G88" s="18" t="n"/>
      <c r="H88" s="18" t="n"/>
      <c r="I88" s="18" t="inlineStr">
        <is>
          <t>否</t>
        </is>
      </c>
      <c r="J88" s="18" t="n"/>
      <c r="K88" s="18" t="n"/>
      <c r="L88" s="51">
        <f>IF(A88="","",IF(B88="Edge",IFERROR(IF(INDEX('模型流与公式'!$P$5:$P$204,MATCH(A88,'模型流与公式'!$A$5:$A$204,0))="","",INDEX('模型流与公式'!$P$5:$P$204,MATCH(A88,'模型流与公式'!$A$5:$A$204,0))),""),""))</f>
        <v/>
      </c>
      <c r="M88" s="18">
        <f>IF(A88="","",IF(B88="Edge",IFERROR(IF(INDEX('模型流与公式'!$Q$5:$Q$204,MATCH(A88,'模型流与公式'!$A$5:$A$204,0))="","",INDEX('模型流与公式'!$Q$5:$Q$204,MATCH(A88,'模型流与公式'!$A$5:$A$204,0))),""),""))</f>
        <v/>
      </c>
      <c r="N88" s="18" t="n"/>
      <c r="O88" s="18" t="n"/>
      <c r="P88" s="18" t="n"/>
      <c r="Q88" s="18" t="n"/>
      <c r="R88" s="18" t="n"/>
      <c r="S88" s="18" t="n"/>
      <c r="T88" s="18" t="n"/>
      <c r="U88" s="18" t="inlineStr">
        <is>
          <t>CIP清洗剂逐条见冻结清单</t>
        </is>
      </c>
    </row>
    <row r="89">
      <c r="A89" s="18" t="inlineStr">
        <is>
          <t>FL-CLC-07F</t>
        </is>
      </c>
      <c r="B89" s="18" t="inlineStr">
        <is>
          <t>Edge</t>
        </is>
      </c>
      <c r="C89" s="18" t="n"/>
      <c r="D89" s="18" t="n"/>
      <c r="E89" s="18" t="n"/>
      <c r="F89" s="18" t="n"/>
      <c r="G89" s="18" t="n"/>
      <c r="H89" s="18" t="n"/>
      <c r="I89" s="18" t="inlineStr">
        <is>
          <t>否</t>
        </is>
      </c>
      <c r="J89" s="18" t="n"/>
      <c r="K89" s="18" t="n"/>
      <c r="L89" s="51">
        <f>IF(A89="","",IF(B89="Edge",IFERROR(IF(INDEX('模型流与公式'!$P$5:$P$204,MATCH(A89,'模型流与公式'!$A$5:$A$204,0))="","",INDEX('模型流与公式'!$P$5:$P$204,MATCH(A89,'模型流与公式'!$A$5:$A$204,0))),""),""))</f>
        <v/>
      </c>
      <c r="M89" s="18">
        <f>IF(A89="","",IF(B89="Edge",IFERROR(IF(INDEX('模型流与公式'!$Q$5:$Q$204,MATCH(A89,'模型流与公式'!$A$5:$A$204,0))="","",INDEX('模型流与公式'!$Q$5:$Q$204,MATCH(A89,'模型流与公式'!$A$5:$A$204,0))),""),""))</f>
        <v/>
      </c>
      <c r="N89" s="18" t="n"/>
      <c r="O89" s="18" t="n"/>
      <c r="P89" s="18" t="n"/>
      <c r="Q89" s="18" t="n"/>
      <c r="R89" s="18" t="n"/>
      <c r="S89" s="18" t="n"/>
      <c r="T89" s="18" t="n"/>
      <c r="U89" s="18" t="inlineStr">
        <is>
          <t>CIP清洗剂逐条见冻结清单</t>
        </is>
      </c>
    </row>
    <row r="90">
      <c r="A90" s="18" t="inlineStr">
        <is>
          <t>FL-CLT-07</t>
        </is>
      </c>
      <c r="B90" s="18" t="inlineStr">
        <is>
          <t>Edge</t>
        </is>
      </c>
      <c r="C90" s="18" t="n"/>
      <c r="D90" s="18" t="n"/>
      <c r="E90" s="18" t="n"/>
      <c r="F90" s="18" t="n"/>
      <c r="G90" s="18" t="n"/>
      <c r="H90" s="18" t="n"/>
      <c r="I90" s="18" t="inlineStr">
        <is>
          <t>否</t>
        </is>
      </c>
      <c r="J90" s="18" t="n"/>
      <c r="K90" s="18" t="n"/>
      <c r="L90" s="51">
        <f>IF(A90="","",IF(B90="Edge",IFERROR(IF(INDEX('模型流与公式'!$P$5:$P$204,MATCH(A90,'模型流与公式'!$A$5:$A$204,0))="","",INDEX('模型流与公式'!$P$5:$P$204,MATCH(A90,'模型流与公式'!$A$5:$A$204,0))),""),""))</f>
        <v/>
      </c>
      <c r="M90" s="18">
        <f>IF(A90="","",IF(B90="Edge",IFERROR(IF(INDEX('模型流与公式'!$Q$5:$Q$204,MATCH(A90,'模型流与公式'!$A$5:$A$204,0))="","",INDEX('模型流与公式'!$Q$5:$Q$204,MATCH(A90,'模型流与公式'!$A$5:$A$204,0))),""),""))</f>
        <v/>
      </c>
      <c r="N90" s="18" t="n"/>
      <c r="O90" s="18" t="n"/>
      <c r="P90" s="18" t="n"/>
      <c r="Q90" s="18" t="n"/>
      <c r="R90" s="18" t="n"/>
      <c r="S90" s="18" t="n"/>
      <c r="T90" s="18" t="n"/>
      <c r="U90" s="18" t="inlineStr">
        <is>
          <t>清洗回路设备材料逐条见冻结清单</t>
        </is>
      </c>
    </row>
    <row r="91">
      <c r="A91" s="18" t="inlineStr">
        <is>
          <t>FL-CLCOD-07</t>
        </is>
      </c>
      <c r="B91" s="18" t="inlineStr">
        <is>
          <t>Edge</t>
        </is>
      </c>
      <c r="C91" s="18" t="n"/>
      <c r="D91" s="18" t="n"/>
      <c r="E91" s="18" t="n"/>
      <c r="F91" s="18" t="n"/>
      <c r="G91" s="18" t="n"/>
      <c r="H91" s="18" t="n"/>
      <c r="I91" s="18" t="inlineStr">
        <is>
          <t>否</t>
        </is>
      </c>
      <c r="J91" s="18" t="n"/>
      <c r="K91" s="18" t="n"/>
      <c r="L91" s="51">
        <f>IF(A91="","",IF(B91="Edge",IFERROR(IF(INDEX('模型流与公式'!$P$5:$P$204,MATCH(A91,'模型流与公式'!$A$5:$A$204,0))="","",INDEX('模型流与公式'!$P$5:$P$204,MATCH(A91,'模型流与公式'!$A$5:$A$204,0))),""),""))</f>
        <v/>
      </c>
      <c r="M91" s="18">
        <f>IF(A91="","",IF(B91="Edge",IFERROR(IF(INDEX('模型流与公式'!$Q$5:$Q$204,MATCH(A91,'模型流与公式'!$A$5:$A$204,0))="","",INDEX('模型流与公式'!$Q$5:$Q$204,MATCH(A91,'模型流与公式'!$A$5:$A$204,0))),""),""))</f>
        <v/>
      </c>
      <c r="N91" s="18" t="n"/>
      <c r="O91" s="18" t="n"/>
      <c r="P91" s="18" t="n"/>
      <c r="Q91" s="18" t="n"/>
      <c r="R91" s="18" t="n"/>
      <c r="S91" s="18" t="n"/>
      <c r="T91" s="18" t="n"/>
      <c r="U91" s="18" t="inlineStr">
        <is>
          <t>清洗废水COD见冻结清单</t>
        </is>
      </c>
    </row>
    <row r="92">
      <c r="A92" s="18" t="inlineStr">
        <is>
          <t>FL-CLDM-07</t>
        </is>
      </c>
      <c r="B92" s="18" t="inlineStr">
        <is>
          <t>Edge</t>
        </is>
      </c>
      <c r="C92" s="18" t="n"/>
      <c r="D92" s="18" t="n"/>
      <c r="E92" s="18" t="n"/>
      <c r="F92" s="18" t="n"/>
      <c r="G92" s="18" t="n"/>
      <c r="H92" s="18" t="n"/>
      <c r="I92" s="18" t="inlineStr">
        <is>
          <t>否</t>
        </is>
      </c>
      <c r="J92" s="18" t="n"/>
      <c r="K92" s="18" t="n"/>
      <c r="L92" s="51">
        <f>IF(A92="","",IF(B92="Edge",IFERROR(IF(INDEX('模型流与公式'!$P$5:$P$204,MATCH(A92,'模型流与公式'!$A$5:$A$204,0))="","",INDEX('模型流与公式'!$P$5:$P$204,MATCH(A92,'模型流与公式'!$A$5:$A$204,0))),""),""))</f>
        <v/>
      </c>
      <c r="M92" s="18">
        <f>IF(A92="","",IF(B92="Edge",IFERROR(IF(INDEX('模型流与公式'!$Q$5:$Q$204,MATCH(A92,'模型流与公式'!$A$5:$A$204,0))="","",INDEX('模型流与公式'!$Q$5:$Q$204,MATCH(A92,'模型流与公式'!$A$5:$A$204,0))),""),""))</f>
        <v/>
      </c>
      <c r="N92" s="18" t="n"/>
      <c r="O92" s="18" t="n"/>
      <c r="P92" s="18" t="n"/>
      <c r="Q92" s="18" t="n"/>
      <c r="R92" s="18" t="n"/>
      <c r="S92" s="18" t="n"/>
      <c r="T92" s="18" t="n"/>
      <c r="U92" s="18" t="inlineStr">
        <is>
          <t>清洗废水干物质见冻结清单</t>
        </is>
      </c>
    </row>
    <row r="93">
      <c r="A93" s="18" t="inlineStr">
        <is>
          <t>FL-CLW-08</t>
        </is>
      </c>
      <c r="B93" s="18" t="inlineStr">
        <is>
          <t>Edge</t>
        </is>
      </c>
      <c r="C93" s="18" t="n"/>
      <c r="D93" s="18" t="n"/>
      <c r="E93" s="18" t="n"/>
      <c r="F93" s="18" t="n"/>
      <c r="G93" s="18" t="n"/>
      <c r="H93" s="18" t="n"/>
      <c r="I93" s="18" t="inlineStr">
        <is>
          <t>否</t>
        </is>
      </c>
      <c r="J93" s="18" t="n"/>
      <c r="K93" s="18" t="n"/>
      <c r="L93" s="51">
        <f>IF(A93="","",IF(B93="Edge",IFERROR(IF(INDEX('模型流与公式'!$P$5:$P$204,MATCH(A93,'模型流与公式'!$A$5:$A$204,0))="","",INDEX('模型流与公式'!$P$5:$P$204,MATCH(A93,'模型流与公式'!$A$5:$A$204,0))),""),""))</f>
        <v/>
      </c>
      <c r="M93" s="18">
        <f>IF(A93="","",IF(B93="Edge",IFERROR(IF(INDEX('模型流与公式'!$Q$5:$Q$204,MATCH(A93,'模型流与公式'!$A$5:$A$204,0))="","",INDEX('模型流与公式'!$Q$5:$Q$204,MATCH(A93,'模型流与公式'!$A$5:$A$204,0))),""),""))</f>
        <v/>
      </c>
      <c r="N93" s="18" t="n"/>
      <c r="O93" s="18" t="n"/>
      <c r="P93" s="18" t="n"/>
      <c r="Q93" s="18" t="n"/>
      <c r="R93" s="18" t="n"/>
      <c r="S93" s="18" t="n"/>
      <c r="T93" s="18" t="n"/>
      <c r="U93" s="18" t="inlineStr">
        <is>
          <t>清洗水逐条见冻结清单</t>
        </is>
      </c>
    </row>
    <row r="94">
      <c r="A94" s="18" t="inlineStr">
        <is>
          <t>FL-CLC-08A</t>
        </is>
      </c>
      <c r="B94" s="18" t="inlineStr">
        <is>
          <t>Edge</t>
        </is>
      </c>
      <c r="C94" s="18" t="n"/>
      <c r="D94" s="18" t="n"/>
      <c r="E94" s="18" t="n"/>
      <c r="F94" s="18" t="n"/>
      <c r="G94" s="18" t="n"/>
      <c r="H94" s="18" t="n"/>
      <c r="I94" s="18" t="inlineStr">
        <is>
          <t>否</t>
        </is>
      </c>
      <c r="J94" s="18" t="n"/>
      <c r="K94" s="18" t="n"/>
      <c r="L94" s="51">
        <f>IF(A94="","",IF(B94="Edge",IFERROR(IF(INDEX('模型流与公式'!$P$5:$P$204,MATCH(A94,'模型流与公式'!$A$5:$A$204,0))="","",INDEX('模型流与公式'!$P$5:$P$204,MATCH(A94,'模型流与公式'!$A$5:$A$204,0))),""),""))</f>
        <v/>
      </c>
      <c r="M94" s="18">
        <f>IF(A94="","",IF(B94="Edge",IFERROR(IF(INDEX('模型流与公式'!$Q$5:$Q$204,MATCH(A94,'模型流与公式'!$A$5:$A$204,0))="","",INDEX('模型流与公式'!$Q$5:$Q$204,MATCH(A94,'模型流与公式'!$A$5:$A$204,0))),""),""))</f>
        <v/>
      </c>
      <c r="N94" s="18" t="n"/>
      <c r="O94" s="18" t="n"/>
      <c r="P94" s="18" t="n"/>
      <c r="Q94" s="18" t="n"/>
      <c r="R94" s="18" t="n"/>
      <c r="S94" s="18" t="n"/>
      <c r="T94" s="18" t="n"/>
      <c r="U94" s="18" t="inlineStr">
        <is>
          <t>CIP清洗剂逐条见冻结清单</t>
        </is>
      </c>
    </row>
    <row r="95">
      <c r="A95" s="18" t="inlineStr">
        <is>
          <t>FL-CLC-08B</t>
        </is>
      </c>
      <c r="B95" s="18" t="inlineStr">
        <is>
          <t>Edge</t>
        </is>
      </c>
      <c r="C95" s="18" t="n"/>
      <c r="D95" s="18" t="n"/>
      <c r="E95" s="18" t="n"/>
      <c r="F95" s="18" t="n"/>
      <c r="G95" s="18" t="n"/>
      <c r="H95" s="18" t="n"/>
      <c r="I95" s="18" t="inlineStr">
        <is>
          <t>否</t>
        </is>
      </c>
      <c r="J95" s="18" t="n"/>
      <c r="K95" s="18" t="n"/>
      <c r="L95" s="51">
        <f>IF(A95="","",IF(B95="Edge",IFERROR(IF(INDEX('模型流与公式'!$P$5:$P$204,MATCH(A95,'模型流与公式'!$A$5:$A$204,0))="","",INDEX('模型流与公式'!$P$5:$P$204,MATCH(A95,'模型流与公式'!$A$5:$A$204,0))),""),""))</f>
        <v/>
      </c>
      <c r="M95" s="18">
        <f>IF(A95="","",IF(B95="Edge",IFERROR(IF(INDEX('模型流与公式'!$Q$5:$Q$204,MATCH(A95,'模型流与公式'!$A$5:$A$204,0))="","",INDEX('模型流与公式'!$Q$5:$Q$204,MATCH(A95,'模型流与公式'!$A$5:$A$204,0))),""),""))</f>
        <v/>
      </c>
      <c r="N95" s="18" t="n"/>
      <c r="O95" s="18" t="n"/>
      <c r="P95" s="18" t="n"/>
      <c r="Q95" s="18" t="n"/>
      <c r="R95" s="18" t="n"/>
      <c r="S95" s="18" t="n"/>
      <c r="T95" s="18" t="n"/>
      <c r="U95" s="18" t="inlineStr">
        <is>
          <t>CIP清洗剂逐条见冻结清单</t>
        </is>
      </c>
    </row>
    <row r="96">
      <c r="A96" s="18" t="inlineStr">
        <is>
          <t>FL-CLC-08C</t>
        </is>
      </c>
      <c r="B96" s="18" t="inlineStr">
        <is>
          <t>Edge</t>
        </is>
      </c>
      <c r="C96" s="18" t="n"/>
      <c r="D96" s="18" t="n"/>
      <c r="E96" s="18" t="n"/>
      <c r="F96" s="18" t="n"/>
      <c r="G96" s="18" t="n"/>
      <c r="H96" s="18" t="n"/>
      <c r="I96" s="18" t="inlineStr">
        <is>
          <t>否</t>
        </is>
      </c>
      <c r="J96" s="18" t="n"/>
      <c r="K96" s="18" t="n"/>
      <c r="L96" s="51">
        <f>IF(A96="","",IF(B96="Edge",IFERROR(IF(INDEX('模型流与公式'!$P$5:$P$204,MATCH(A96,'模型流与公式'!$A$5:$A$204,0))="","",INDEX('模型流与公式'!$P$5:$P$204,MATCH(A96,'模型流与公式'!$A$5:$A$204,0))),""),""))</f>
        <v/>
      </c>
      <c r="M96" s="18">
        <f>IF(A96="","",IF(B96="Edge",IFERROR(IF(INDEX('模型流与公式'!$Q$5:$Q$204,MATCH(A96,'模型流与公式'!$A$5:$A$204,0))="","",INDEX('模型流与公式'!$Q$5:$Q$204,MATCH(A96,'模型流与公式'!$A$5:$A$204,0))),""),""))</f>
        <v/>
      </c>
      <c r="N96" s="18" t="n"/>
      <c r="O96" s="18" t="n"/>
      <c r="P96" s="18" t="n"/>
      <c r="Q96" s="18" t="n"/>
      <c r="R96" s="18" t="n"/>
      <c r="S96" s="18" t="n"/>
      <c r="T96" s="18" t="n"/>
      <c r="U96" s="18" t="inlineStr">
        <is>
          <t>CIP清洗剂逐条见冻结清单</t>
        </is>
      </c>
    </row>
    <row r="97">
      <c r="A97" s="18" t="inlineStr">
        <is>
          <t>FL-CLC-08D</t>
        </is>
      </c>
      <c r="B97" s="18" t="inlineStr">
        <is>
          <t>Edge</t>
        </is>
      </c>
      <c r="C97" s="18" t="n"/>
      <c r="D97" s="18" t="n"/>
      <c r="E97" s="18" t="n"/>
      <c r="F97" s="18" t="n"/>
      <c r="G97" s="18" t="n"/>
      <c r="H97" s="18" t="n"/>
      <c r="I97" s="18" t="inlineStr">
        <is>
          <t>否</t>
        </is>
      </c>
      <c r="J97" s="18" t="n"/>
      <c r="K97" s="18" t="n"/>
      <c r="L97" s="51">
        <f>IF(A97="","",IF(B97="Edge",IFERROR(IF(INDEX('模型流与公式'!$P$5:$P$204,MATCH(A97,'模型流与公式'!$A$5:$A$204,0))="","",INDEX('模型流与公式'!$P$5:$P$204,MATCH(A97,'模型流与公式'!$A$5:$A$204,0))),""),""))</f>
        <v/>
      </c>
      <c r="M97" s="18">
        <f>IF(A97="","",IF(B97="Edge",IFERROR(IF(INDEX('模型流与公式'!$Q$5:$Q$204,MATCH(A97,'模型流与公式'!$A$5:$A$204,0))="","",INDEX('模型流与公式'!$Q$5:$Q$204,MATCH(A97,'模型流与公式'!$A$5:$A$204,0))),""),""))</f>
        <v/>
      </c>
      <c r="N97" s="18" t="n"/>
      <c r="O97" s="18" t="n"/>
      <c r="P97" s="18" t="n"/>
      <c r="Q97" s="18" t="n"/>
      <c r="R97" s="18" t="n"/>
      <c r="S97" s="18" t="n"/>
      <c r="T97" s="18" t="n"/>
      <c r="U97" s="18" t="inlineStr">
        <is>
          <t>CIP清洗剂逐条见冻结清单</t>
        </is>
      </c>
    </row>
    <row r="98">
      <c r="A98" s="18" t="inlineStr">
        <is>
          <t>FL-CLC-08E</t>
        </is>
      </c>
      <c r="B98" s="18" t="inlineStr">
        <is>
          <t>Edge</t>
        </is>
      </c>
      <c r="C98" s="18" t="n"/>
      <c r="D98" s="18" t="n"/>
      <c r="E98" s="18" t="n"/>
      <c r="F98" s="18" t="n"/>
      <c r="G98" s="18" t="n"/>
      <c r="H98" s="18" t="n"/>
      <c r="I98" s="18" t="inlineStr">
        <is>
          <t>否</t>
        </is>
      </c>
      <c r="J98" s="18" t="n"/>
      <c r="K98" s="18" t="n"/>
      <c r="L98" s="51">
        <f>IF(A98="","",IF(B98="Edge",IFERROR(IF(INDEX('模型流与公式'!$P$5:$P$204,MATCH(A98,'模型流与公式'!$A$5:$A$204,0))="","",INDEX('模型流与公式'!$P$5:$P$204,MATCH(A98,'模型流与公式'!$A$5:$A$204,0))),""),""))</f>
        <v/>
      </c>
      <c r="M98" s="18">
        <f>IF(A98="","",IF(B98="Edge",IFERROR(IF(INDEX('模型流与公式'!$Q$5:$Q$204,MATCH(A98,'模型流与公式'!$A$5:$A$204,0))="","",INDEX('模型流与公式'!$Q$5:$Q$204,MATCH(A98,'模型流与公式'!$A$5:$A$204,0))),""),""))</f>
        <v/>
      </c>
      <c r="N98" s="18" t="n"/>
      <c r="O98" s="18" t="n"/>
      <c r="P98" s="18" t="n"/>
      <c r="Q98" s="18" t="n"/>
      <c r="R98" s="18" t="n"/>
      <c r="S98" s="18" t="n"/>
      <c r="T98" s="18" t="n"/>
      <c r="U98" s="18" t="inlineStr">
        <is>
          <t>CIP清洗剂逐条见冻结清单</t>
        </is>
      </c>
    </row>
    <row r="99">
      <c r="A99" s="18" t="inlineStr">
        <is>
          <t>FL-CLC-08F</t>
        </is>
      </c>
      <c r="B99" s="18" t="inlineStr">
        <is>
          <t>Edge</t>
        </is>
      </c>
      <c r="C99" s="18" t="n"/>
      <c r="D99" s="18" t="n"/>
      <c r="E99" s="18" t="n"/>
      <c r="F99" s="18" t="n"/>
      <c r="G99" s="18" t="n"/>
      <c r="H99" s="18" t="n"/>
      <c r="I99" s="18" t="inlineStr">
        <is>
          <t>否</t>
        </is>
      </c>
      <c r="J99" s="18" t="n"/>
      <c r="K99" s="18" t="n"/>
      <c r="L99" s="51">
        <f>IF(A99="","",IF(B99="Edge",IFERROR(IF(INDEX('模型流与公式'!$P$5:$P$204,MATCH(A99,'模型流与公式'!$A$5:$A$204,0))="","",INDEX('模型流与公式'!$P$5:$P$204,MATCH(A99,'模型流与公式'!$A$5:$A$204,0))),""),""))</f>
        <v/>
      </c>
      <c r="M99" s="18">
        <f>IF(A99="","",IF(B99="Edge",IFERROR(IF(INDEX('模型流与公式'!$Q$5:$Q$204,MATCH(A99,'模型流与公式'!$A$5:$A$204,0))="","",INDEX('模型流与公式'!$Q$5:$Q$204,MATCH(A99,'模型流与公式'!$A$5:$A$204,0))),""),""))</f>
        <v/>
      </c>
      <c r="N99" s="18" t="n"/>
      <c r="O99" s="18" t="n"/>
      <c r="P99" s="18" t="n"/>
      <c r="Q99" s="18" t="n"/>
      <c r="R99" s="18" t="n"/>
      <c r="S99" s="18" t="n"/>
      <c r="T99" s="18" t="n"/>
      <c r="U99" s="18" t="inlineStr">
        <is>
          <t>CIP清洗剂逐条见冻结清单</t>
        </is>
      </c>
    </row>
    <row r="100">
      <c r="A100" s="18" t="inlineStr">
        <is>
          <t>FL-CLCOD-08</t>
        </is>
      </c>
      <c r="B100" s="18" t="inlineStr">
        <is>
          <t>Edge</t>
        </is>
      </c>
      <c r="C100" s="18" t="n"/>
      <c r="D100" s="18" t="n"/>
      <c r="E100" s="18" t="n"/>
      <c r="F100" s="18" t="n"/>
      <c r="G100" s="18" t="n"/>
      <c r="H100" s="18" t="n"/>
      <c r="I100" s="18" t="inlineStr">
        <is>
          <t>否</t>
        </is>
      </c>
      <c r="J100" s="18" t="n"/>
      <c r="K100" s="18" t="n"/>
      <c r="L100" s="51">
        <f>IF(A100="","",IF(B100="Edge",IFERROR(IF(INDEX('模型流与公式'!$P$5:$P$204,MATCH(A100,'模型流与公式'!$A$5:$A$204,0))="","",INDEX('模型流与公式'!$P$5:$P$204,MATCH(A100,'模型流与公式'!$A$5:$A$204,0))),""),""))</f>
        <v/>
      </c>
      <c r="M100" s="18">
        <f>IF(A100="","",IF(B100="Edge",IFERROR(IF(INDEX('模型流与公式'!$Q$5:$Q$204,MATCH(A100,'模型流与公式'!$A$5:$A$204,0))="","",INDEX('模型流与公式'!$Q$5:$Q$204,MATCH(A100,'模型流与公式'!$A$5:$A$204,0))),""),""))</f>
        <v/>
      </c>
      <c r="N100" s="18" t="n"/>
      <c r="O100" s="18" t="n"/>
      <c r="P100" s="18" t="n"/>
      <c r="Q100" s="18" t="n"/>
      <c r="R100" s="18" t="n"/>
      <c r="S100" s="18" t="n"/>
      <c r="T100" s="18" t="n"/>
      <c r="U100" s="18" t="inlineStr">
        <is>
          <t>清洗废水COD见冻结清单</t>
        </is>
      </c>
    </row>
    <row r="101">
      <c r="A101" s="18" t="inlineStr">
        <is>
          <t>FL-CLDM-08</t>
        </is>
      </c>
      <c r="B101" s="18" t="inlineStr">
        <is>
          <t>Edge</t>
        </is>
      </c>
      <c r="C101" s="18" t="n"/>
      <c r="D101" s="18" t="n"/>
      <c r="E101" s="18" t="n"/>
      <c r="F101" s="18" t="n"/>
      <c r="G101" s="18" t="n"/>
      <c r="H101" s="18" t="n"/>
      <c r="I101" s="18" t="inlineStr">
        <is>
          <t>否</t>
        </is>
      </c>
      <c r="J101" s="18" t="n"/>
      <c r="K101" s="18" t="n"/>
      <c r="L101" s="51">
        <f>IF(A101="","",IF(B101="Edge",IFERROR(IF(INDEX('模型流与公式'!$P$5:$P$204,MATCH(A101,'模型流与公式'!$A$5:$A$204,0))="","",INDEX('模型流与公式'!$P$5:$P$204,MATCH(A101,'模型流与公式'!$A$5:$A$204,0))),""),""))</f>
        <v/>
      </c>
      <c r="M101" s="18">
        <f>IF(A101="","",IF(B101="Edge",IFERROR(IF(INDEX('模型流与公式'!$Q$5:$Q$204,MATCH(A101,'模型流与公式'!$A$5:$A$204,0))="","",INDEX('模型流与公式'!$Q$5:$Q$204,MATCH(A101,'模型流与公式'!$A$5:$A$204,0))),""),""))</f>
        <v/>
      </c>
      <c r="N101" s="18" t="n"/>
      <c r="O101" s="18" t="n"/>
      <c r="P101" s="18" t="n"/>
      <c r="Q101" s="18" t="n"/>
      <c r="R101" s="18" t="n"/>
      <c r="S101" s="18" t="n"/>
      <c r="T101" s="18" t="n"/>
      <c r="U101" s="18" t="inlineStr">
        <is>
          <t>清洗废水干物质见冻结清单</t>
        </is>
      </c>
    </row>
    <row r="102">
      <c r="A102" s="18" t="inlineStr">
        <is>
          <t>FL-CLW-09</t>
        </is>
      </c>
      <c r="B102" s="18" t="inlineStr">
        <is>
          <t>Edge</t>
        </is>
      </c>
      <c r="C102" s="18" t="n"/>
      <c r="D102" s="18" t="n"/>
      <c r="E102" s="18" t="n"/>
      <c r="F102" s="18" t="n"/>
      <c r="G102" s="18" t="n"/>
      <c r="H102" s="18" t="n"/>
      <c r="I102" s="18" t="inlineStr">
        <is>
          <t>否</t>
        </is>
      </c>
      <c r="J102" s="18" t="n"/>
      <c r="K102" s="18" t="n"/>
      <c r="L102" s="51">
        <f>IF(A102="","",IF(B102="Edge",IFERROR(IF(INDEX('模型流与公式'!$P$5:$P$204,MATCH(A102,'模型流与公式'!$A$5:$A$204,0))="","",INDEX('模型流与公式'!$P$5:$P$204,MATCH(A102,'模型流与公式'!$A$5:$A$204,0))),""),""))</f>
        <v/>
      </c>
      <c r="M102" s="18">
        <f>IF(A102="","",IF(B102="Edge",IFERROR(IF(INDEX('模型流与公式'!$Q$5:$Q$204,MATCH(A102,'模型流与公式'!$A$5:$A$204,0))="","",INDEX('模型流与公式'!$Q$5:$Q$204,MATCH(A102,'模型流与公式'!$A$5:$A$204,0))),""),""))</f>
        <v/>
      </c>
      <c r="N102" s="18" t="n"/>
      <c r="O102" s="18" t="n"/>
      <c r="P102" s="18" t="n"/>
      <c r="Q102" s="18" t="n"/>
      <c r="R102" s="18" t="n"/>
      <c r="S102" s="18" t="n"/>
      <c r="T102" s="18" t="n"/>
      <c r="U102" s="18" t="inlineStr">
        <is>
          <t>清洗水逐条见冻结清单</t>
        </is>
      </c>
    </row>
    <row r="103">
      <c r="A103" s="18" t="inlineStr">
        <is>
          <t>FL-CLC-09A</t>
        </is>
      </c>
      <c r="B103" s="18" t="inlineStr">
        <is>
          <t>Edge</t>
        </is>
      </c>
      <c r="C103" s="18" t="n"/>
      <c r="D103" s="18" t="n"/>
      <c r="E103" s="18" t="n"/>
      <c r="F103" s="18" t="n"/>
      <c r="G103" s="18" t="n"/>
      <c r="H103" s="18" t="n"/>
      <c r="I103" s="18" t="inlineStr">
        <is>
          <t>否</t>
        </is>
      </c>
      <c r="J103" s="18" t="n"/>
      <c r="K103" s="18" t="n"/>
      <c r="L103" s="51">
        <f>IF(A103="","",IF(B103="Edge",IFERROR(IF(INDEX('模型流与公式'!$P$5:$P$204,MATCH(A103,'模型流与公式'!$A$5:$A$204,0))="","",INDEX('模型流与公式'!$P$5:$P$204,MATCH(A103,'模型流与公式'!$A$5:$A$204,0))),""),""))</f>
        <v/>
      </c>
      <c r="M103" s="18">
        <f>IF(A103="","",IF(B103="Edge",IFERROR(IF(INDEX('模型流与公式'!$Q$5:$Q$204,MATCH(A103,'模型流与公式'!$A$5:$A$204,0))="","",INDEX('模型流与公式'!$Q$5:$Q$204,MATCH(A103,'模型流与公式'!$A$5:$A$204,0))),""),""))</f>
        <v/>
      </c>
      <c r="N103" s="18" t="n"/>
      <c r="O103" s="18" t="n"/>
      <c r="P103" s="18" t="n"/>
      <c r="Q103" s="18" t="n"/>
      <c r="R103" s="18" t="n"/>
      <c r="S103" s="18" t="n"/>
      <c r="T103" s="18" t="n"/>
      <c r="U103" s="18" t="inlineStr">
        <is>
          <t>CIP清洗剂逐条见冻结清单</t>
        </is>
      </c>
    </row>
    <row r="104">
      <c r="A104" s="18" t="inlineStr">
        <is>
          <t>FL-CLC-09B</t>
        </is>
      </c>
      <c r="B104" s="18" t="inlineStr">
        <is>
          <t>Edge</t>
        </is>
      </c>
      <c r="C104" s="18" t="n"/>
      <c r="D104" s="18" t="n"/>
      <c r="E104" s="18" t="n"/>
      <c r="F104" s="18" t="n"/>
      <c r="G104" s="18" t="n"/>
      <c r="H104" s="18" t="n"/>
      <c r="I104" s="18" t="inlineStr">
        <is>
          <t>否</t>
        </is>
      </c>
      <c r="J104" s="18" t="n"/>
      <c r="K104" s="18" t="n"/>
      <c r="L104" s="51">
        <f>IF(A104="","",IF(B104="Edge",IFERROR(IF(INDEX('模型流与公式'!$P$5:$P$204,MATCH(A104,'模型流与公式'!$A$5:$A$204,0))="","",INDEX('模型流与公式'!$P$5:$P$204,MATCH(A104,'模型流与公式'!$A$5:$A$204,0))),""),""))</f>
        <v/>
      </c>
      <c r="M104" s="18">
        <f>IF(A104="","",IF(B104="Edge",IFERROR(IF(INDEX('模型流与公式'!$Q$5:$Q$204,MATCH(A104,'模型流与公式'!$A$5:$A$204,0))="","",INDEX('模型流与公式'!$Q$5:$Q$204,MATCH(A104,'模型流与公式'!$A$5:$A$204,0))),""),""))</f>
        <v/>
      </c>
      <c r="N104" s="18" t="n"/>
      <c r="O104" s="18" t="n"/>
      <c r="P104" s="18" t="n"/>
      <c r="Q104" s="18" t="n"/>
      <c r="R104" s="18" t="n"/>
      <c r="S104" s="18" t="n"/>
      <c r="T104" s="18" t="n"/>
      <c r="U104" s="18" t="inlineStr">
        <is>
          <t>CIP清洗剂逐条见冻结清单</t>
        </is>
      </c>
    </row>
    <row r="105">
      <c r="A105" s="18" t="inlineStr">
        <is>
          <t>FL-CLC-09C</t>
        </is>
      </c>
      <c r="B105" s="18" t="inlineStr">
        <is>
          <t>Edge</t>
        </is>
      </c>
      <c r="C105" s="18" t="n"/>
      <c r="D105" s="18" t="n"/>
      <c r="E105" s="18" t="n"/>
      <c r="F105" s="18" t="n"/>
      <c r="G105" s="18" t="n"/>
      <c r="H105" s="18" t="n"/>
      <c r="I105" s="18" t="inlineStr">
        <is>
          <t>否</t>
        </is>
      </c>
      <c r="J105" s="18" t="n"/>
      <c r="K105" s="18" t="n"/>
      <c r="L105" s="51">
        <f>IF(A105="","",IF(B105="Edge",IFERROR(IF(INDEX('模型流与公式'!$P$5:$P$204,MATCH(A105,'模型流与公式'!$A$5:$A$204,0))="","",INDEX('模型流与公式'!$P$5:$P$204,MATCH(A105,'模型流与公式'!$A$5:$A$204,0))),""),""))</f>
        <v/>
      </c>
      <c r="M105" s="18">
        <f>IF(A105="","",IF(B105="Edge",IFERROR(IF(INDEX('模型流与公式'!$Q$5:$Q$204,MATCH(A105,'模型流与公式'!$A$5:$A$204,0))="","",INDEX('模型流与公式'!$Q$5:$Q$204,MATCH(A105,'模型流与公式'!$A$5:$A$204,0))),""),""))</f>
        <v/>
      </c>
      <c r="N105" s="18" t="n"/>
      <c r="O105" s="18" t="n"/>
      <c r="P105" s="18" t="n"/>
      <c r="Q105" s="18" t="n"/>
      <c r="R105" s="18" t="n"/>
      <c r="S105" s="18" t="n"/>
      <c r="T105" s="18" t="n"/>
      <c r="U105" s="18" t="inlineStr">
        <is>
          <t>CIP清洗剂逐条见冻结清单</t>
        </is>
      </c>
    </row>
    <row r="106">
      <c r="A106" s="18" t="inlineStr">
        <is>
          <t>FL-CLC-09D</t>
        </is>
      </c>
      <c r="B106" s="18" t="inlineStr">
        <is>
          <t>Edge</t>
        </is>
      </c>
      <c r="C106" s="18" t="n"/>
      <c r="D106" s="18" t="n"/>
      <c r="E106" s="18" t="n"/>
      <c r="F106" s="18" t="n"/>
      <c r="G106" s="18" t="n"/>
      <c r="H106" s="18" t="n"/>
      <c r="I106" s="18" t="inlineStr">
        <is>
          <t>否</t>
        </is>
      </c>
      <c r="J106" s="18" t="n"/>
      <c r="K106" s="18" t="n"/>
      <c r="L106" s="51">
        <f>IF(A106="","",IF(B106="Edge",IFERROR(IF(INDEX('模型流与公式'!$P$5:$P$204,MATCH(A106,'模型流与公式'!$A$5:$A$204,0))="","",INDEX('模型流与公式'!$P$5:$P$204,MATCH(A106,'模型流与公式'!$A$5:$A$204,0))),""),""))</f>
        <v/>
      </c>
      <c r="M106" s="18">
        <f>IF(A106="","",IF(B106="Edge",IFERROR(IF(INDEX('模型流与公式'!$Q$5:$Q$204,MATCH(A106,'模型流与公式'!$A$5:$A$204,0))="","",INDEX('模型流与公式'!$Q$5:$Q$204,MATCH(A106,'模型流与公式'!$A$5:$A$204,0))),""),""))</f>
        <v/>
      </c>
      <c r="N106" s="18" t="n"/>
      <c r="O106" s="18" t="n"/>
      <c r="P106" s="18" t="n"/>
      <c r="Q106" s="18" t="n"/>
      <c r="R106" s="18" t="n"/>
      <c r="S106" s="18" t="n"/>
      <c r="T106" s="18" t="n"/>
      <c r="U106" s="18" t="inlineStr">
        <is>
          <t>CIP清洗剂逐条见冻结清单</t>
        </is>
      </c>
    </row>
    <row r="107">
      <c r="A107" s="18" t="inlineStr">
        <is>
          <t>FL-CLC-09E</t>
        </is>
      </c>
      <c r="B107" s="18" t="inlineStr">
        <is>
          <t>Edge</t>
        </is>
      </c>
      <c r="C107" s="18" t="n"/>
      <c r="D107" s="18" t="n"/>
      <c r="E107" s="18" t="n"/>
      <c r="F107" s="18" t="n"/>
      <c r="G107" s="18" t="n"/>
      <c r="H107" s="18" t="n"/>
      <c r="I107" s="18" t="inlineStr">
        <is>
          <t>否</t>
        </is>
      </c>
      <c r="J107" s="18" t="n"/>
      <c r="K107" s="18" t="n"/>
      <c r="L107" s="51">
        <f>IF(A107="","",IF(B107="Edge",IFERROR(IF(INDEX('模型流与公式'!$P$5:$P$204,MATCH(A107,'模型流与公式'!$A$5:$A$204,0))="","",INDEX('模型流与公式'!$P$5:$P$204,MATCH(A107,'模型流与公式'!$A$5:$A$204,0))),""),""))</f>
        <v/>
      </c>
      <c r="M107" s="18">
        <f>IF(A107="","",IF(B107="Edge",IFERROR(IF(INDEX('模型流与公式'!$Q$5:$Q$204,MATCH(A107,'模型流与公式'!$A$5:$A$204,0))="","",INDEX('模型流与公式'!$Q$5:$Q$204,MATCH(A107,'模型流与公式'!$A$5:$A$204,0))),""),""))</f>
        <v/>
      </c>
      <c r="N107" s="18" t="n"/>
      <c r="O107" s="18" t="n"/>
      <c r="P107" s="18" t="n"/>
      <c r="Q107" s="18" t="n"/>
      <c r="R107" s="18" t="n"/>
      <c r="S107" s="18" t="n"/>
      <c r="T107" s="18" t="n"/>
      <c r="U107" s="18" t="inlineStr">
        <is>
          <t>CIP清洗剂逐条见冻结清单</t>
        </is>
      </c>
    </row>
    <row r="108">
      <c r="A108" s="18" t="inlineStr">
        <is>
          <t>FL-CLC-09F</t>
        </is>
      </c>
      <c r="B108" s="18" t="inlineStr">
        <is>
          <t>Edge</t>
        </is>
      </c>
      <c r="C108" s="18" t="n"/>
      <c r="D108" s="18" t="n"/>
      <c r="E108" s="18" t="n"/>
      <c r="F108" s="18" t="n"/>
      <c r="G108" s="18" t="n"/>
      <c r="H108" s="18" t="n"/>
      <c r="I108" s="18" t="inlineStr">
        <is>
          <t>否</t>
        </is>
      </c>
      <c r="J108" s="18" t="n"/>
      <c r="K108" s="18" t="n"/>
      <c r="L108" s="51">
        <f>IF(A108="","",IF(B108="Edge",IFERROR(IF(INDEX('模型流与公式'!$P$5:$P$204,MATCH(A108,'模型流与公式'!$A$5:$A$204,0))="","",INDEX('模型流与公式'!$P$5:$P$204,MATCH(A108,'模型流与公式'!$A$5:$A$204,0))),""),""))</f>
        <v/>
      </c>
      <c r="M108" s="18">
        <f>IF(A108="","",IF(B108="Edge",IFERROR(IF(INDEX('模型流与公式'!$Q$5:$Q$204,MATCH(A108,'模型流与公式'!$A$5:$A$204,0))="","",INDEX('模型流与公式'!$Q$5:$Q$204,MATCH(A108,'模型流与公式'!$A$5:$A$204,0))),""),""))</f>
        <v/>
      </c>
      <c r="N108" s="18" t="n"/>
      <c r="O108" s="18" t="n"/>
      <c r="P108" s="18" t="n"/>
      <c r="Q108" s="18" t="n"/>
      <c r="R108" s="18" t="n"/>
      <c r="S108" s="18" t="n"/>
      <c r="T108" s="18" t="n"/>
      <c r="U108" s="18" t="inlineStr">
        <is>
          <t>CIP清洗剂逐条见冻结清单</t>
        </is>
      </c>
    </row>
    <row r="109">
      <c r="A109" s="18" t="inlineStr">
        <is>
          <t>FL-CLT-09</t>
        </is>
      </c>
      <c r="B109" s="18" t="inlineStr">
        <is>
          <t>Edge</t>
        </is>
      </c>
      <c r="C109" s="18" t="n"/>
      <c r="D109" s="18" t="n"/>
      <c r="E109" s="18" t="n"/>
      <c r="F109" s="18" t="n"/>
      <c r="G109" s="18" t="n"/>
      <c r="H109" s="18" t="n"/>
      <c r="I109" s="18" t="inlineStr">
        <is>
          <t>否</t>
        </is>
      </c>
      <c r="J109" s="18" t="n"/>
      <c r="K109" s="18" t="n"/>
      <c r="L109" s="51">
        <f>IF(A109="","",IF(B109="Edge",IFERROR(IF(INDEX('模型流与公式'!$P$5:$P$204,MATCH(A109,'模型流与公式'!$A$5:$A$204,0))="","",INDEX('模型流与公式'!$P$5:$P$204,MATCH(A109,'模型流与公式'!$A$5:$A$204,0))),""),""))</f>
        <v/>
      </c>
      <c r="M109" s="18">
        <f>IF(A109="","",IF(B109="Edge",IFERROR(IF(INDEX('模型流与公式'!$Q$5:$Q$204,MATCH(A109,'模型流与公式'!$A$5:$A$204,0))="","",INDEX('模型流与公式'!$Q$5:$Q$204,MATCH(A109,'模型流与公式'!$A$5:$A$204,0))),""),""))</f>
        <v/>
      </c>
      <c r="N109" s="18" t="n"/>
      <c r="O109" s="18" t="n"/>
      <c r="P109" s="18" t="n"/>
      <c r="Q109" s="18" t="n"/>
      <c r="R109" s="18" t="n"/>
      <c r="S109" s="18" t="n"/>
      <c r="T109" s="18" t="n"/>
      <c r="U109" s="18" t="inlineStr">
        <is>
          <t>清洗回路设备材料逐条见冻结清单</t>
        </is>
      </c>
    </row>
    <row r="110">
      <c r="A110" s="18" t="inlineStr">
        <is>
          <t>FL-CLCOD-09</t>
        </is>
      </c>
      <c r="B110" s="18" t="inlineStr">
        <is>
          <t>Edge</t>
        </is>
      </c>
      <c r="C110" s="18" t="n"/>
      <c r="D110" s="18" t="n"/>
      <c r="E110" s="18" t="n"/>
      <c r="F110" s="18" t="n"/>
      <c r="G110" s="18" t="n"/>
      <c r="H110" s="18" t="n"/>
      <c r="I110" s="18" t="inlineStr">
        <is>
          <t>否</t>
        </is>
      </c>
      <c r="J110" s="18" t="n"/>
      <c r="K110" s="18" t="n"/>
      <c r="L110" s="51">
        <f>IF(A110="","",IF(B110="Edge",IFERROR(IF(INDEX('模型流与公式'!$P$5:$P$204,MATCH(A110,'模型流与公式'!$A$5:$A$204,0))="","",INDEX('模型流与公式'!$P$5:$P$204,MATCH(A110,'模型流与公式'!$A$5:$A$204,0))),""),""))</f>
        <v/>
      </c>
      <c r="M110" s="18">
        <f>IF(A110="","",IF(B110="Edge",IFERROR(IF(INDEX('模型流与公式'!$Q$5:$Q$204,MATCH(A110,'模型流与公式'!$A$5:$A$204,0))="","",INDEX('模型流与公式'!$Q$5:$Q$204,MATCH(A110,'模型流与公式'!$A$5:$A$204,0))),""),""))</f>
        <v/>
      </c>
      <c r="N110" s="18" t="n"/>
      <c r="O110" s="18" t="n"/>
      <c r="P110" s="18" t="n"/>
      <c r="Q110" s="18" t="n"/>
      <c r="R110" s="18" t="n"/>
      <c r="S110" s="18" t="n"/>
      <c r="T110" s="18" t="n"/>
      <c r="U110" s="18" t="inlineStr">
        <is>
          <t>清洗废水COD见冻结清单</t>
        </is>
      </c>
    </row>
    <row r="111">
      <c r="A111" s="18" t="inlineStr">
        <is>
          <t>FL-CLDM-09</t>
        </is>
      </c>
      <c r="B111" s="18" t="inlineStr">
        <is>
          <t>Edge</t>
        </is>
      </c>
      <c r="C111" s="18" t="n"/>
      <c r="D111" s="18" t="n"/>
      <c r="E111" s="18" t="n"/>
      <c r="F111" s="18" t="n"/>
      <c r="G111" s="18" t="n"/>
      <c r="H111" s="18" t="n"/>
      <c r="I111" s="18" t="inlineStr">
        <is>
          <t>否</t>
        </is>
      </c>
      <c r="J111" s="18" t="n"/>
      <c r="K111" s="18" t="n"/>
      <c r="L111" s="51">
        <f>IF(A111="","",IF(B111="Edge",IFERROR(IF(INDEX('模型流与公式'!$P$5:$P$204,MATCH(A111,'模型流与公式'!$A$5:$A$204,0))="","",INDEX('模型流与公式'!$P$5:$P$204,MATCH(A111,'模型流与公式'!$A$5:$A$204,0))),""),""))</f>
        <v/>
      </c>
      <c r="M111" s="18">
        <f>IF(A111="","",IF(B111="Edge",IFERROR(IF(INDEX('模型流与公式'!$Q$5:$Q$204,MATCH(A111,'模型流与公式'!$A$5:$A$204,0))="","",INDEX('模型流与公式'!$Q$5:$Q$204,MATCH(A111,'模型流与公式'!$A$5:$A$204,0))),""),""))</f>
        <v/>
      </c>
      <c r="N111" s="18" t="n"/>
      <c r="O111" s="18" t="n"/>
      <c r="P111" s="18" t="n"/>
      <c r="Q111" s="18" t="n"/>
      <c r="R111" s="18" t="n"/>
      <c r="S111" s="18" t="n"/>
      <c r="T111" s="18" t="n"/>
      <c r="U111" s="18" t="inlineStr">
        <is>
          <t>清洗废水干物质见冻结清单</t>
        </is>
      </c>
    </row>
    <row r="112">
      <c r="A112" s="18" t="inlineStr">
        <is>
          <t>FL-CLW-10</t>
        </is>
      </c>
      <c r="B112" s="18" t="inlineStr">
        <is>
          <t>Edge</t>
        </is>
      </c>
      <c r="C112" s="18" t="n"/>
      <c r="D112" s="18" t="n"/>
      <c r="E112" s="18" t="n"/>
      <c r="F112" s="18" t="n"/>
      <c r="G112" s="18" t="n"/>
      <c r="H112" s="18" t="n"/>
      <c r="I112" s="18" t="inlineStr">
        <is>
          <t>否</t>
        </is>
      </c>
      <c r="J112" s="18" t="n"/>
      <c r="K112" s="18" t="n"/>
      <c r="L112" s="51">
        <f>IF(A112="","",IF(B112="Edge",IFERROR(IF(INDEX('模型流与公式'!$P$5:$P$204,MATCH(A112,'模型流与公式'!$A$5:$A$204,0))="","",INDEX('模型流与公式'!$P$5:$P$204,MATCH(A112,'模型流与公式'!$A$5:$A$204,0))),""),""))</f>
        <v/>
      </c>
      <c r="M112" s="18">
        <f>IF(A112="","",IF(B112="Edge",IFERROR(IF(INDEX('模型流与公式'!$Q$5:$Q$204,MATCH(A112,'模型流与公式'!$A$5:$A$204,0))="","",INDEX('模型流与公式'!$Q$5:$Q$204,MATCH(A112,'模型流与公式'!$A$5:$A$204,0))),""),""))</f>
        <v/>
      </c>
      <c r="N112" s="18" t="n"/>
      <c r="O112" s="18" t="n"/>
      <c r="P112" s="18" t="n"/>
      <c r="Q112" s="18" t="n"/>
      <c r="R112" s="18" t="n"/>
      <c r="S112" s="18" t="n"/>
      <c r="T112" s="18" t="n"/>
      <c r="U112" s="18" t="inlineStr">
        <is>
          <t>清洗水逐条见冻结清单</t>
        </is>
      </c>
    </row>
    <row r="113">
      <c r="A113" s="18" t="inlineStr">
        <is>
          <t>FL-CLC-10A</t>
        </is>
      </c>
      <c r="B113" s="18" t="inlineStr">
        <is>
          <t>Edge</t>
        </is>
      </c>
      <c r="C113" s="18" t="n"/>
      <c r="D113" s="18" t="n"/>
      <c r="E113" s="18" t="n"/>
      <c r="F113" s="18" t="n"/>
      <c r="G113" s="18" t="n"/>
      <c r="H113" s="18" t="n"/>
      <c r="I113" s="18" t="inlineStr">
        <is>
          <t>否</t>
        </is>
      </c>
      <c r="J113" s="18" t="n"/>
      <c r="K113" s="18" t="n"/>
      <c r="L113" s="51">
        <f>IF(A113="","",IF(B113="Edge",IFERROR(IF(INDEX('模型流与公式'!$P$5:$P$204,MATCH(A113,'模型流与公式'!$A$5:$A$204,0))="","",INDEX('模型流与公式'!$P$5:$P$204,MATCH(A113,'模型流与公式'!$A$5:$A$204,0))),""),""))</f>
        <v/>
      </c>
      <c r="M113" s="18">
        <f>IF(A113="","",IF(B113="Edge",IFERROR(IF(INDEX('模型流与公式'!$Q$5:$Q$204,MATCH(A113,'模型流与公式'!$A$5:$A$204,0))="","",INDEX('模型流与公式'!$Q$5:$Q$204,MATCH(A113,'模型流与公式'!$A$5:$A$204,0))),""),""))</f>
        <v/>
      </c>
      <c r="N113" s="18" t="n"/>
      <c r="O113" s="18" t="n"/>
      <c r="P113" s="18" t="n"/>
      <c r="Q113" s="18" t="n"/>
      <c r="R113" s="18" t="n"/>
      <c r="S113" s="18" t="n"/>
      <c r="T113" s="18" t="n"/>
      <c r="U113" s="18" t="inlineStr">
        <is>
          <t>CIP清洗剂逐条见冻结清单</t>
        </is>
      </c>
    </row>
    <row r="114">
      <c r="A114" s="18" t="inlineStr">
        <is>
          <t>FL-CLC-10B</t>
        </is>
      </c>
      <c r="B114" s="18" t="inlineStr">
        <is>
          <t>Edge</t>
        </is>
      </c>
      <c r="C114" s="18" t="n"/>
      <c r="D114" s="18" t="n"/>
      <c r="E114" s="18" t="n"/>
      <c r="F114" s="18" t="n"/>
      <c r="G114" s="18" t="n"/>
      <c r="H114" s="18" t="n"/>
      <c r="I114" s="18" t="inlineStr">
        <is>
          <t>否</t>
        </is>
      </c>
      <c r="J114" s="18" t="n"/>
      <c r="K114" s="18" t="n"/>
      <c r="L114" s="51">
        <f>IF(A114="","",IF(B114="Edge",IFERROR(IF(INDEX('模型流与公式'!$P$5:$P$204,MATCH(A114,'模型流与公式'!$A$5:$A$204,0))="","",INDEX('模型流与公式'!$P$5:$P$204,MATCH(A114,'模型流与公式'!$A$5:$A$204,0))),""),""))</f>
        <v/>
      </c>
      <c r="M114" s="18">
        <f>IF(A114="","",IF(B114="Edge",IFERROR(IF(INDEX('模型流与公式'!$Q$5:$Q$204,MATCH(A114,'模型流与公式'!$A$5:$A$204,0))="","",INDEX('模型流与公式'!$Q$5:$Q$204,MATCH(A114,'模型流与公式'!$A$5:$A$204,0))),""),""))</f>
        <v/>
      </c>
      <c r="N114" s="18" t="n"/>
      <c r="O114" s="18" t="n"/>
      <c r="P114" s="18" t="n"/>
      <c r="Q114" s="18" t="n"/>
      <c r="R114" s="18" t="n"/>
      <c r="S114" s="18" t="n"/>
      <c r="T114" s="18" t="n"/>
      <c r="U114" s="18" t="inlineStr">
        <is>
          <t>CIP清洗剂逐条见冻结清单</t>
        </is>
      </c>
    </row>
    <row r="115">
      <c r="A115" s="18" t="inlineStr">
        <is>
          <t>FL-CLC-10C</t>
        </is>
      </c>
      <c r="B115" s="18" t="inlineStr">
        <is>
          <t>Edge</t>
        </is>
      </c>
      <c r="C115" s="18" t="n"/>
      <c r="D115" s="18" t="n"/>
      <c r="E115" s="18" t="n"/>
      <c r="F115" s="18" t="n"/>
      <c r="G115" s="18" t="n"/>
      <c r="H115" s="18" t="n"/>
      <c r="I115" s="18" t="inlineStr">
        <is>
          <t>否</t>
        </is>
      </c>
      <c r="J115" s="18" t="n"/>
      <c r="K115" s="18" t="n"/>
      <c r="L115" s="51">
        <f>IF(A115="","",IF(B115="Edge",IFERROR(IF(INDEX('模型流与公式'!$P$5:$P$204,MATCH(A115,'模型流与公式'!$A$5:$A$204,0))="","",INDEX('模型流与公式'!$P$5:$P$204,MATCH(A115,'模型流与公式'!$A$5:$A$204,0))),""),""))</f>
        <v/>
      </c>
      <c r="M115" s="18">
        <f>IF(A115="","",IF(B115="Edge",IFERROR(IF(INDEX('模型流与公式'!$Q$5:$Q$204,MATCH(A115,'模型流与公式'!$A$5:$A$204,0))="","",INDEX('模型流与公式'!$Q$5:$Q$204,MATCH(A115,'模型流与公式'!$A$5:$A$204,0))),""),""))</f>
        <v/>
      </c>
      <c r="N115" s="18" t="n"/>
      <c r="O115" s="18" t="n"/>
      <c r="P115" s="18" t="n"/>
      <c r="Q115" s="18" t="n"/>
      <c r="R115" s="18" t="n"/>
      <c r="S115" s="18" t="n"/>
      <c r="T115" s="18" t="n"/>
      <c r="U115" s="18" t="inlineStr">
        <is>
          <t>CIP清洗剂逐条见冻结清单</t>
        </is>
      </c>
    </row>
    <row r="116">
      <c r="A116" s="18" t="inlineStr">
        <is>
          <t>FL-CLCOD-10</t>
        </is>
      </c>
      <c r="B116" s="18" t="inlineStr">
        <is>
          <t>Edge</t>
        </is>
      </c>
      <c r="C116" s="18" t="n"/>
      <c r="D116" s="18" t="n"/>
      <c r="E116" s="18" t="n"/>
      <c r="F116" s="18" t="n"/>
      <c r="G116" s="18" t="n"/>
      <c r="H116" s="18" t="n"/>
      <c r="I116" s="18" t="inlineStr">
        <is>
          <t>否</t>
        </is>
      </c>
      <c r="J116" s="18" t="n"/>
      <c r="K116" s="18" t="n"/>
      <c r="L116" s="51">
        <f>IF(A116="","",IF(B116="Edge",IFERROR(IF(INDEX('模型流与公式'!$P$5:$P$204,MATCH(A116,'模型流与公式'!$A$5:$A$204,0))="","",INDEX('模型流与公式'!$P$5:$P$204,MATCH(A116,'模型流与公式'!$A$5:$A$204,0))),""),""))</f>
        <v/>
      </c>
      <c r="M116" s="18">
        <f>IF(A116="","",IF(B116="Edge",IFERROR(IF(INDEX('模型流与公式'!$Q$5:$Q$204,MATCH(A116,'模型流与公式'!$A$5:$A$204,0))="","",INDEX('模型流与公式'!$Q$5:$Q$204,MATCH(A116,'模型流与公式'!$A$5:$A$204,0))),""),""))</f>
        <v/>
      </c>
      <c r="N116" s="18" t="n"/>
      <c r="O116" s="18" t="n"/>
      <c r="P116" s="18" t="n"/>
      <c r="Q116" s="18" t="n"/>
      <c r="R116" s="18" t="n"/>
      <c r="S116" s="18" t="n"/>
      <c r="T116" s="18" t="n"/>
      <c r="U116" s="18" t="inlineStr">
        <is>
          <t>清洗废水COD见冻结清单</t>
        </is>
      </c>
    </row>
    <row r="117">
      <c r="A117" s="18" t="inlineStr">
        <is>
          <t>FL-CLDM-10</t>
        </is>
      </c>
      <c r="B117" s="18" t="inlineStr">
        <is>
          <t>Edge</t>
        </is>
      </c>
      <c r="C117" s="18" t="n"/>
      <c r="D117" s="18" t="n"/>
      <c r="E117" s="18" t="n"/>
      <c r="F117" s="18" t="n"/>
      <c r="G117" s="18" t="n"/>
      <c r="H117" s="18" t="n"/>
      <c r="I117" s="18" t="inlineStr">
        <is>
          <t>否</t>
        </is>
      </c>
      <c r="J117" s="18" t="n"/>
      <c r="K117" s="18" t="n"/>
      <c r="L117" s="51">
        <f>IF(A117="","",IF(B117="Edge",IFERROR(IF(INDEX('模型流与公式'!$P$5:$P$204,MATCH(A117,'模型流与公式'!$A$5:$A$204,0))="","",INDEX('模型流与公式'!$P$5:$P$204,MATCH(A117,'模型流与公式'!$A$5:$A$204,0))),""),""))</f>
        <v/>
      </c>
      <c r="M117" s="18">
        <f>IF(A117="","",IF(B117="Edge",IFERROR(IF(INDEX('模型流与公式'!$Q$5:$Q$204,MATCH(A117,'模型流与公式'!$A$5:$A$204,0))="","",INDEX('模型流与公式'!$Q$5:$Q$204,MATCH(A117,'模型流与公式'!$A$5:$A$204,0))),""),""))</f>
        <v/>
      </c>
      <c r="N117" s="18" t="n"/>
      <c r="O117" s="18" t="n"/>
      <c r="P117" s="18" t="n"/>
      <c r="Q117" s="18" t="n"/>
      <c r="R117" s="18" t="n"/>
      <c r="S117" s="18" t="n"/>
      <c r="T117" s="18" t="n"/>
      <c r="U117" s="18" t="inlineStr">
        <is>
          <t>清洗废水干物质见冻结清单</t>
        </is>
      </c>
    </row>
    <row r="118">
      <c r="A118" s="18" t="inlineStr">
        <is>
          <t>FL-CLW-11</t>
        </is>
      </c>
      <c r="B118" s="18" t="inlineStr">
        <is>
          <t>Edge</t>
        </is>
      </c>
      <c r="C118" s="18" t="n"/>
      <c r="D118" s="18" t="n"/>
      <c r="E118" s="18" t="n"/>
      <c r="F118" s="18" t="n"/>
      <c r="G118" s="18" t="n"/>
      <c r="H118" s="18" t="n"/>
      <c r="I118" s="18" t="inlineStr">
        <is>
          <t>否</t>
        </is>
      </c>
      <c r="J118" s="18" t="n"/>
      <c r="K118" s="18" t="n"/>
      <c r="L118" s="51">
        <f>IF(A118="","",IF(B118="Edge",IFERROR(IF(INDEX('模型流与公式'!$P$5:$P$204,MATCH(A118,'模型流与公式'!$A$5:$A$204,0))="","",INDEX('模型流与公式'!$P$5:$P$204,MATCH(A118,'模型流与公式'!$A$5:$A$204,0))),""),""))</f>
        <v/>
      </c>
      <c r="M118" s="18">
        <f>IF(A118="","",IF(B118="Edge",IFERROR(IF(INDEX('模型流与公式'!$Q$5:$Q$204,MATCH(A118,'模型流与公式'!$A$5:$A$204,0))="","",INDEX('模型流与公式'!$Q$5:$Q$204,MATCH(A118,'模型流与公式'!$A$5:$A$204,0))),""),""))</f>
        <v/>
      </c>
      <c r="N118" s="18" t="n"/>
      <c r="O118" s="18" t="n"/>
      <c r="P118" s="18" t="n"/>
      <c r="Q118" s="18" t="n"/>
      <c r="R118" s="18" t="n"/>
      <c r="S118" s="18" t="n"/>
      <c r="T118" s="18" t="n"/>
      <c r="U118" s="18" t="inlineStr">
        <is>
          <t>清洗水逐条见冻结清单</t>
        </is>
      </c>
    </row>
    <row r="119">
      <c r="A119" s="18" t="inlineStr">
        <is>
          <t>FL-CLC-11A</t>
        </is>
      </c>
      <c r="B119" s="18" t="inlineStr">
        <is>
          <t>Edge</t>
        </is>
      </c>
      <c r="C119" s="18" t="n"/>
      <c r="D119" s="18" t="n"/>
      <c r="E119" s="18" t="n"/>
      <c r="F119" s="18" t="n"/>
      <c r="G119" s="18" t="n"/>
      <c r="H119" s="18" t="n"/>
      <c r="I119" s="18" t="inlineStr">
        <is>
          <t>否</t>
        </is>
      </c>
      <c r="J119" s="18" t="n"/>
      <c r="K119" s="18" t="n"/>
      <c r="L119" s="51">
        <f>IF(A119="","",IF(B119="Edge",IFERROR(IF(INDEX('模型流与公式'!$P$5:$P$204,MATCH(A119,'模型流与公式'!$A$5:$A$204,0))="","",INDEX('模型流与公式'!$P$5:$P$204,MATCH(A119,'模型流与公式'!$A$5:$A$204,0))),""),""))</f>
        <v/>
      </c>
      <c r="M119" s="18">
        <f>IF(A119="","",IF(B119="Edge",IFERROR(IF(INDEX('模型流与公式'!$Q$5:$Q$204,MATCH(A119,'模型流与公式'!$A$5:$A$204,0))="","",INDEX('模型流与公式'!$Q$5:$Q$204,MATCH(A119,'模型流与公式'!$A$5:$A$204,0))),""),""))</f>
        <v/>
      </c>
      <c r="N119" s="18" t="n"/>
      <c r="O119" s="18" t="n"/>
      <c r="P119" s="18" t="n"/>
      <c r="Q119" s="18" t="n"/>
      <c r="R119" s="18" t="n"/>
      <c r="S119" s="18" t="n"/>
      <c r="T119" s="18" t="n"/>
      <c r="U119" s="18" t="inlineStr">
        <is>
          <t>CIP清洗剂逐条见冻结清单</t>
        </is>
      </c>
    </row>
    <row r="120">
      <c r="A120" s="18" t="inlineStr">
        <is>
          <t>FL-CLC-11B</t>
        </is>
      </c>
      <c r="B120" s="18" t="inlineStr">
        <is>
          <t>Edge</t>
        </is>
      </c>
      <c r="C120" s="18" t="n"/>
      <c r="D120" s="18" t="n"/>
      <c r="E120" s="18" t="n"/>
      <c r="F120" s="18" t="n"/>
      <c r="G120" s="18" t="n"/>
      <c r="H120" s="18" t="n"/>
      <c r="I120" s="18" t="inlineStr">
        <is>
          <t>否</t>
        </is>
      </c>
      <c r="J120" s="18" t="n"/>
      <c r="K120" s="18" t="n"/>
      <c r="L120" s="51">
        <f>IF(A120="","",IF(B120="Edge",IFERROR(IF(INDEX('模型流与公式'!$P$5:$P$204,MATCH(A120,'模型流与公式'!$A$5:$A$204,0))="","",INDEX('模型流与公式'!$P$5:$P$204,MATCH(A120,'模型流与公式'!$A$5:$A$204,0))),""),""))</f>
        <v/>
      </c>
      <c r="M120" s="18">
        <f>IF(A120="","",IF(B120="Edge",IFERROR(IF(INDEX('模型流与公式'!$Q$5:$Q$204,MATCH(A120,'模型流与公式'!$A$5:$A$204,0))="","",INDEX('模型流与公式'!$Q$5:$Q$204,MATCH(A120,'模型流与公式'!$A$5:$A$204,0))),""),""))</f>
        <v/>
      </c>
      <c r="N120" s="18" t="n"/>
      <c r="O120" s="18" t="n"/>
      <c r="P120" s="18" t="n"/>
      <c r="Q120" s="18" t="n"/>
      <c r="R120" s="18" t="n"/>
      <c r="S120" s="18" t="n"/>
      <c r="T120" s="18" t="n"/>
      <c r="U120" s="18" t="inlineStr">
        <is>
          <t>CIP清洗剂逐条见冻结清单</t>
        </is>
      </c>
    </row>
    <row r="121">
      <c r="A121" s="18" t="inlineStr">
        <is>
          <t>FL-CLC-11C</t>
        </is>
      </c>
      <c r="B121" s="18" t="inlineStr">
        <is>
          <t>Edge</t>
        </is>
      </c>
      <c r="C121" s="18" t="n"/>
      <c r="D121" s="18" t="n"/>
      <c r="E121" s="18" t="n"/>
      <c r="F121" s="18" t="n"/>
      <c r="G121" s="18" t="n"/>
      <c r="H121" s="18" t="n"/>
      <c r="I121" s="18" t="inlineStr">
        <is>
          <t>否</t>
        </is>
      </c>
      <c r="J121" s="18" t="n"/>
      <c r="K121" s="18" t="n"/>
      <c r="L121" s="51">
        <f>IF(A121="","",IF(B121="Edge",IFERROR(IF(INDEX('模型流与公式'!$P$5:$P$204,MATCH(A121,'模型流与公式'!$A$5:$A$204,0))="","",INDEX('模型流与公式'!$P$5:$P$204,MATCH(A121,'模型流与公式'!$A$5:$A$204,0))),""),""))</f>
        <v/>
      </c>
      <c r="M121" s="18">
        <f>IF(A121="","",IF(B121="Edge",IFERROR(IF(INDEX('模型流与公式'!$Q$5:$Q$204,MATCH(A121,'模型流与公式'!$A$5:$A$204,0))="","",INDEX('模型流与公式'!$Q$5:$Q$204,MATCH(A121,'模型流与公式'!$A$5:$A$204,0))),""),""))</f>
        <v/>
      </c>
      <c r="N121" s="18" t="n"/>
      <c r="O121" s="18" t="n"/>
      <c r="P121" s="18" t="n"/>
      <c r="Q121" s="18" t="n"/>
      <c r="R121" s="18" t="n"/>
      <c r="S121" s="18" t="n"/>
      <c r="T121" s="18" t="n"/>
      <c r="U121" s="18" t="inlineStr">
        <is>
          <t>CIP清洗剂逐条见冻结清单</t>
        </is>
      </c>
    </row>
    <row r="122">
      <c r="A122" s="18" t="inlineStr">
        <is>
          <t>FL-CLC-11D</t>
        </is>
      </c>
      <c r="B122" s="18" t="inlineStr">
        <is>
          <t>Edge</t>
        </is>
      </c>
      <c r="C122" s="18" t="n"/>
      <c r="D122" s="18" t="n"/>
      <c r="E122" s="18" t="n"/>
      <c r="F122" s="18" t="n"/>
      <c r="G122" s="18" t="n"/>
      <c r="H122" s="18" t="n"/>
      <c r="I122" s="18" t="inlineStr">
        <is>
          <t>否</t>
        </is>
      </c>
      <c r="J122" s="18" t="n"/>
      <c r="K122" s="18" t="n"/>
      <c r="L122" s="51">
        <f>IF(A122="","",IF(B122="Edge",IFERROR(IF(INDEX('模型流与公式'!$P$5:$P$204,MATCH(A122,'模型流与公式'!$A$5:$A$204,0))="","",INDEX('模型流与公式'!$P$5:$P$204,MATCH(A122,'模型流与公式'!$A$5:$A$204,0))),""),""))</f>
        <v/>
      </c>
      <c r="M122" s="18">
        <f>IF(A122="","",IF(B122="Edge",IFERROR(IF(INDEX('模型流与公式'!$Q$5:$Q$204,MATCH(A122,'模型流与公式'!$A$5:$A$204,0))="","",INDEX('模型流与公式'!$Q$5:$Q$204,MATCH(A122,'模型流与公式'!$A$5:$A$204,0))),""),""))</f>
        <v/>
      </c>
      <c r="N122" s="18" t="n"/>
      <c r="O122" s="18" t="n"/>
      <c r="P122" s="18" t="n"/>
      <c r="Q122" s="18" t="n"/>
      <c r="R122" s="18" t="n"/>
      <c r="S122" s="18" t="n"/>
      <c r="T122" s="18" t="n"/>
      <c r="U122" s="18" t="inlineStr">
        <is>
          <t>CIP清洗剂逐条见冻结清单</t>
        </is>
      </c>
    </row>
    <row r="123">
      <c r="A123" s="18" t="inlineStr">
        <is>
          <t>FL-CLC-11E</t>
        </is>
      </c>
      <c r="B123" s="18" t="inlineStr">
        <is>
          <t>Edge</t>
        </is>
      </c>
      <c r="C123" s="18" t="n"/>
      <c r="D123" s="18" t="n"/>
      <c r="E123" s="18" t="n"/>
      <c r="F123" s="18" t="n"/>
      <c r="G123" s="18" t="n"/>
      <c r="H123" s="18" t="n"/>
      <c r="I123" s="18" t="inlineStr">
        <is>
          <t>否</t>
        </is>
      </c>
      <c r="J123" s="18" t="n"/>
      <c r="K123" s="18" t="n"/>
      <c r="L123" s="51">
        <f>IF(A123="","",IF(B123="Edge",IFERROR(IF(INDEX('模型流与公式'!$P$5:$P$204,MATCH(A123,'模型流与公式'!$A$5:$A$204,0))="","",INDEX('模型流与公式'!$P$5:$P$204,MATCH(A123,'模型流与公式'!$A$5:$A$204,0))),""),""))</f>
        <v/>
      </c>
      <c r="M123" s="18">
        <f>IF(A123="","",IF(B123="Edge",IFERROR(IF(INDEX('模型流与公式'!$Q$5:$Q$204,MATCH(A123,'模型流与公式'!$A$5:$A$204,0))="","",INDEX('模型流与公式'!$Q$5:$Q$204,MATCH(A123,'模型流与公式'!$A$5:$A$204,0))),""),""))</f>
        <v/>
      </c>
      <c r="N123" s="18" t="n"/>
      <c r="O123" s="18" t="n"/>
      <c r="P123" s="18" t="n"/>
      <c r="Q123" s="18" t="n"/>
      <c r="R123" s="18" t="n"/>
      <c r="S123" s="18" t="n"/>
      <c r="T123" s="18" t="n"/>
      <c r="U123" s="18" t="inlineStr">
        <is>
          <t>CIP清洗剂逐条见冻结清单</t>
        </is>
      </c>
    </row>
    <row r="124">
      <c r="A124" s="18" t="inlineStr">
        <is>
          <t>FL-CLC-11F</t>
        </is>
      </c>
      <c r="B124" s="18" t="inlineStr">
        <is>
          <t>Edge</t>
        </is>
      </c>
      <c r="C124" s="18" t="n"/>
      <c r="D124" s="18" t="n"/>
      <c r="E124" s="18" t="n"/>
      <c r="F124" s="18" t="n"/>
      <c r="G124" s="18" t="n"/>
      <c r="H124" s="18" t="n"/>
      <c r="I124" s="18" t="inlineStr">
        <is>
          <t>否</t>
        </is>
      </c>
      <c r="J124" s="18" t="n"/>
      <c r="K124" s="18" t="n"/>
      <c r="L124" s="51">
        <f>IF(A124="","",IF(B124="Edge",IFERROR(IF(INDEX('模型流与公式'!$P$5:$P$204,MATCH(A124,'模型流与公式'!$A$5:$A$204,0))="","",INDEX('模型流与公式'!$P$5:$P$204,MATCH(A124,'模型流与公式'!$A$5:$A$204,0))),""),""))</f>
        <v/>
      </c>
      <c r="M124" s="18">
        <f>IF(A124="","",IF(B124="Edge",IFERROR(IF(INDEX('模型流与公式'!$Q$5:$Q$204,MATCH(A124,'模型流与公式'!$A$5:$A$204,0))="","",INDEX('模型流与公式'!$Q$5:$Q$204,MATCH(A124,'模型流与公式'!$A$5:$A$204,0))),""),""))</f>
        <v/>
      </c>
      <c r="N124" s="18" t="n"/>
      <c r="O124" s="18" t="n"/>
      <c r="P124" s="18" t="n"/>
      <c r="Q124" s="18" t="n"/>
      <c r="R124" s="18" t="n"/>
      <c r="S124" s="18" t="n"/>
      <c r="T124" s="18" t="n"/>
      <c r="U124" s="18" t="inlineStr">
        <is>
          <t>CIP清洗剂逐条见冻结清单</t>
        </is>
      </c>
    </row>
    <row r="125">
      <c r="A125" s="18" t="inlineStr">
        <is>
          <t>FL-CLCOD-11</t>
        </is>
      </c>
      <c r="B125" s="18" t="inlineStr">
        <is>
          <t>Edge</t>
        </is>
      </c>
      <c r="C125" s="18" t="n"/>
      <c r="D125" s="18" t="n"/>
      <c r="E125" s="18" t="n"/>
      <c r="F125" s="18" t="n"/>
      <c r="G125" s="18" t="n"/>
      <c r="H125" s="18" t="n"/>
      <c r="I125" s="18" t="inlineStr">
        <is>
          <t>否</t>
        </is>
      </c>
      <c r="J125" s="18" t="n"/>
      <c r="K125" s="18" t="n"/>
      <c r="L125" s="51">
        <f>IF(A125="","",IF(B125="Edge",IFERROR(IF(INDEX('模型流与公式'!$P$5:$P$204,MATCH(A125,'模型流与公式'!$A$5:$A$204,0))="","",INDEX('模型流与公式'!$P$5:$P$204,MATCH(A125,'模型流与公式'!$A$5:$A$204,0))),""),""))</f>
        <v/>
      </c>
      <c r="M125" s="18">
        <f>IF(A125="","",IF(B125="Edge",IFERROR(IF(INDEX('模型流与公式'!$Q$5:$Q$204,MATCH(A125,'模型流与公式'!$A$5:$A$204,0))="","",INDEX('模型流与公式'!$Q$5:$Q$204,MATCH(A125,'模型流与公式'!$A$5:$A$204,0))),""),""))</f>
        <v/>
      </c>
      <c r="N125" s="18" t="n"/>
      <c r="O125" s="18" t="n"/>
      <c r="P125" s="18" t="n"/>
      <c r="Q125" s="18" t="n"/>
      <c r="R125" s="18" t="n"/>
      <c r="S125" s="18" t="n"/>
      <c r="T125" s="18" t="n"/>
      <c r="U125" s="18" t="inlineStr">
        <is>
          <t>清洗废水COD见冻结清单</t>
        </is>
      </c>
    </row>
    <row r="126">
      <c r="A126" s="18" t="inlineStr">
        <is>
          <t>FL-CLDM-11</t>
        </is>
      </c>
      <c r="B126" s="18" t="inlineStr">
        <is>
          <t>Edge</t>
        </is>
      </c>
      <c r="C126" s="18" t="n"/>
      <c r="D126" s="18" t="n"/>
      <c r="E126" s="18" t="n"/>
      <c r="F126" s="18" t="n"/>
      <c r="G126" s="18" t="n"/>
      <c r="H126" s="18" t="n"/>
      <c r="I126" s="18" t="inlineStr">
        <is>
          <t>否</t>
        </is>
      </c>
      <c r="J126" s="18" t="n"/>
      <c r="K126" s="18" t="n"/>
      <c r="L126" s="51">
        <f>IF(A126="","",IF(B126="Edge",IFERROR(IF(INDEX('模型流与公式'!$P$5:$P$204,MATCH(A126,'模型流与公式'!$A$5:$A$204,0))="","",INDEX('模型流与公式'!$P$5:$P$204,MATCH(A126,'模型流与公式'!$A$5:$A$204,0))),""),""))</f>
        <v/>
      </c>
      <c r="M126" s="18">
        <f>IF(A126="","",IF(B126="Edge",IFERROR(IF(INDEX('模型流与公式'!$Q$5:$Q$204,MATCH(A126,'模型流与公式'!$A$5:$A$204,0))="","",INDEX('模型流与公式'!$Q$5:$Q$204,MATCH(A126,'模型流与公式'!$A$5:$A$204,0))),""),""))</f>
        <v/>
      </c>
      <c r="N126" s="18" t="n"/>
      <c r="O126" s="18" t="n"/>
      <c r="P126" s="18" t="n"/>
      <c r="Q126" s="18" t="n"/>
      <c r="R126" s="18" t="n"/>
      <c r="S126" s="18" t="n"/>
      <c r="T126" s="18" t="n"/>
      <c r="U126" s="18" t="inlineStr">
        <is>
          <t>清洗废水干物质见冻结清单</t>
        </is>
      </c>
    </row>
    <row r="127">
      <c r="A127" s="18" t="inlineStr">
        <is>
          <t>FL-CLW-12</t>
        </is>
      </c>
      <c r="B127" s="18" t="inlineStr">
        <is>
          <t>Edge</t>
        </is>
      </c>
      <c r="C127" s="18" t="n"/>
      <c r="D127" s="18" t="n"/>
      <c r="E127" s="18" t="n"/>
      <c r="F127" s="18" t="n"/>
      <c r="G127" s="18" t="n"/>
      <c r="H127" s="18" t="n"/>
      <c r="I127" s="18" t="inlineStr">
        <is>
          <t>否</t>
        </is>
      </c>
      <c r="J127" s="18" t="n"/>
      <c r="K127" s="18" t="n"/>
      <c r="L127" s="51">
        <f>IF(A127="","",IF(B127="Edge",IFERROR(IF(INDEX('模型流与公式'!$P$5:$P$204,MATCH(A127,'模型流与公式'!$A$5:$A$204,0))="","",INDEX('模型流与公式'!$P$5:$P$204,MATCH(A127,'模型流与公式'!$A$5:$A$204,0))),""),""))</f>
        <v/>
      </c>
      <c r="M127" s="18">
        <f>IF(A127="","",IF(B127="Edge",IFERROR(IF(INDEX('模型流与公式'!$Q$5:$Q$204,MATCH(A127,'模型流与公式'!$A$5:$A$204,0))="","",INDEX('模型流与公式'!$Q$5:$Q$204,MATCH(A127,'模型流与公式'!$A$5:$A$204,0))),""),""))</f>
        <v/>
      </c>
      <c r="N127" s="18" t="n"/>
      <c r="O127" s="18" t="n"/>
      <c r="P127" s="18" t="n"/>
      <c r="Q127" s="18" t="n"/>
      <c r="R127" s="18" t="n"/>
      <c r="S127" s="18" t="n"/>
      <c r="T127" s="18" t="n"/>
      <c r="U127" s="18" t="inlineStr">
        <is>
          <t>清洗水逐条见冻结清单</t>
        </is>
      </c>
    </row>
    <row r="128">
      <c r="A128" s="18" t="inlineStr">
        <is>
          <t>FL-CLC-12A</t>
        </is>
      </c>
      <c r="B128" s="18" t="inlineStr">
        <is>
          <t>Edge</t>
        </is>
      </c>
      <c r="C128" s="18" t="n"/>
      <c r="D128" s="18" t="n"/>
      <c r="E128" s="18" t="n"/>
      <c r="F128" s="18" t="n"/>
      <c r="G128" s="18" t="n"/>
      <c r="H128" s="18" t="n"/>
      <c r="I128" s="18" t="inlineStr">
        <is>
          <t>否</t>
        </is>
      </c>
      <c r="J128" s="18" t="n"/>
      <c r="K128" s="18" t="n"/>
      <c r="L128" s="51">
        <f>IF(A128="","",IF(B128="Edge",IFERROR(IF(INDEX('模型流与公式'!$P$5:$P$204,MATCH(A128,'模型流与公式'!$A$5:$A$204,0))="","",INDEX('模型流与公式'!$P$5:$P$204,MATCH(A128,'模型流与公式'!$A$5:$A$204,0))),""),""))</f>
        <v/>
      </c>
      <c r="M128" s="18">
        <f>IF(A128="","",IF(B128="Edge",IFERROR(IF(INDEX('模型流与公式'!$Q$5:$Q$204,MATCH(A128,'模型流与公式'!$A$5:$A$204,0))="","",INDEX('模型流与公式'!$Q$5:$Q$204,MATCH(A128,'模型流与公式'!$A$5:$A$204,0))),""),""))</f>
        <v/>
      </c>
      <c r="N128" s="18" t="n"/>
      <c r="O128" s="18" t="n"/>
      <c r="P128" s="18" t="n"/>
      <c r="Q128" s="18" t="n"/>
      <c r="R128" s="18" t="n"/>
      <c r="S128" s="18" t="n"/>
      <c r="T128" s="18" t="n"/>
      <c r="U128" s="18" t="inlineStr">
        <is>
          <t>CIP清洗剂逐条见冻结清单</t>
        </is>
      </c>
    </row>
    <row r="129">
      <c r="A129" s="18" t="inlineStr">
        <is>
          <t>FL-CLC-12B</t>
        </is>
      </c>
      <c r="B129" s="18" t="inlineStr">
        <is>
          <t>Edge</t>
        </is>
      </c>
      <c r="C129" s="18" t="n"/>
      <c r="D129" s="18" t="n"/>
      <c r="E129" s="18" t="n"/>
      <c r="F129" s="18" t="n"/>
      <c r="G129" s="18" t="n"/>
      <c r="H129" s="18" t="n"/>
      <c r="I129" s="18" t="inlineStr">
        <is>
          <t>否</t>
        </is>
      </c>
      <c r="J129" s="18" t="n"/>
      <c r="K129" s="18" t="n"/>
      <c r="L129" s="51">
        <f>IF(A129="","",IF(B129="Edge",IFERROR(IF(INDEX('模型流与公式'!$P$5:$P$204,MATCH(A129,'模型流与公式'!$A$5:$A$204,0))="","",INDEX('模型流与公式'!$P$5:$P$204,MATCH(A129,'模型流与公式'!$A$5:$A$204,0))),""),""))</f>
        <v/>
      </c>
      <c r="M129" s="18">
        <f>IF(A129="","",IF(B129="Edge",IFERROR(IF(INDEX('模型流与公式'!$Q$5:$Q$204,MATCH(A129,'模型流与公式'!$A$5:$A$204,0))="","",INDEX('模型流与公式'!$Q$5:$Q$204,MATCH(A129,'模型流与公式'!$A$5:$A$204,0))),""),""))</f>
        <v/>
      </c>
      <c r="N129" s="18" t="n"/>
      <c r="O129" s="18" t="n"/>
      <c r="P129" s="18" t="n"/>
      <c r="Q129" s="18" t="n"/>
      <c r="R129" s="18" t="n"/>
      <c r="S129" s="18" t="n"/>
      <c r="T129" s="18" t="n"/>
      <c r="U129" s="18" t="inlineStr">
        <is>
          <t>CIP清洗剂逐条见冻结清单</t>
        </is>
      </c>
    </row>
    <row r="130">
      <c r="A130" s="18" t="inlineStr">
        <is>
          <t>FL-CLC-12C</t>
        </is>
      </c>
      <c r="B130" s="18" t="inlineStr">
        <is>
          <t>Edge</t>
        </is>
      </c>
      <c r="C130" s="18" t="n"/>
      <c r="D130" s="18" t="n"/>
      <c r="E130" s="18" t="n"/>
      <c r="F130" s="18" t="n"/>
      <c r="G130" s="18" t="n"/>
      <c r="H130" s="18" t="n"/>
      <c r="I130" s="18" t="inlineStr">
        <is>
          <t>否</t>
        </is>
      </c>
      <c r="J130" s="18" t="n"/>
      <c r="K130" s="18" t="n"/>
      <c r="L130" s="51">
        <f>IF(A130="","",IF(B130="Edge",IFERROR(IF(INDEX('模型流与公式'!$P$5:$P$204,MATCH(A130,'模型流与公式'!$A$5:$A$204,0))="","",INDEX('模型流与公式'!$P$5:$P$204,MATCH(A130,'模型流与公式'!$A$5:$A$204,0))),""),""))</f>
        <v/>
      </c>
      <c r="M130" s="18">
        <f>IF(A130="","",IF(B130="Edge",IFERROR(IF(INDEX('模型流与公式'!$Q$5:$Q$204,MATCH(A130,'模型流与公式'!$A$5:$A$204,0))="","",INDEX('模型流与公式'!$Q$5:$Q$204,MATCH(A130,'模型流与公式'!$A$5:$A$204,0))),""),""))</f>
        <v/>
      </c>
      <c r="N130" s="18" t="n"/>
      <c r="O130" s="18" t="n"/>
      <c r="P130" s="18" t="n"/>
      <c r="Q130" s="18" t="n"/>
      <c r="R130" s="18" t="n"/>
      <c r="S130" s="18" t="n"/>
      <c r="T130" s="18" t="n"/>
      <c r="U130" s="18" t="inlineStr">
        <is>
          <t>CIP清洗剂逐条见冻结清单</t>
        </is>
      </c>
    </row>
    <row r="131">
      <c r="A131" s="18" t="inlineStr">
        <is>
          <t>FL-CLC-12D</t>
        </is>
      </c>
      <c r="B131" s="18" t="inlineStr">
        <is>
          <t>Edge</t>
        </is>
      </c>
      <c r="C131" s="18" t="n"/>
      <c r="D131" s="18" t="n"/>
      <c r="E131" s="18" t="n"/>
      <c r="F131" s="18" t="n"/>
      <c r="G131" s="18" t="n"/>
      <c r="H131" s="18" t="n"/>
      <c r="I131" s="18" t="inlineStr">
        <is>
          <t>否</t>
        </is>
      </c>
      <c r="J131" s="18" t="n"/>
      <c r="K131" s="18" t="n"/>
      <c r="L131" s="51">
        <f>IF(A131="","",IF(B131="Edge",IFERROR(IF(INDEX('模型流与公式'!$P$5:$P$204,MATCH(A131,'模型流与公式'!$A$5:$A$204,0))="","",INDEX('模型流与公式'!$P$5:$P$204,MATCH(A131,'模型流与公式'!$A$5:$A$204,0))),""),""))</f>
        <v/>
      </c>
      <c r="M131" s="18">
        <f>IF(A131="","",IF(B131="Edge",IFERROR(IF(INDEX('模型流与公式'!$Q$5:$Q$204,MATCH(A131,'模型流与公式'!$A$5:$A$204,0))="","",INDEX('模型流与公式'!$Q$5:$Q$204,MATCH(A131,'模型流与公式'!$A$5:$A$204,0))),""),""))</f>
        <v/>
      </c>
      <c r="N131" s="18" t="n"/>
      <c r="O131" s="18" t="n"/>
      <c r="P131" s="18" t="n"/>
      <c r="Q131" s="18" t="n"/>
      <c r="R131" s="18" t="n"/>
      <c r="S131" s="18" t="n"/>
      <c r="T131" s="18" t="n"/>
      <c r="U131" s="18" t="inlineStr">
        <is>
          <t>CIP清洗剂逐条见冻结清单</t>
        </is>
      </c>
    </row>
    <row r="132">
      <c r="A132" s="18" t="inlineStr">
        <is>
          <t>FL-CLC-12E</t>
        </is>
      </c>
      <c r="B132" s="18" t="inlineStr">
        <is>
          <t>Edge</t>
        </is>
      </c>
      <c r="C132" s="18" t="n"/>
      <c r="D132" s="18" t="n"/>
      <c r="E132" s="18" t="n"/>
      <c r="F132" s="18" t="n"/>
      <c r="G132" s="18" t="n"/>
      <c r="H132" s="18" t="n"/>
      <c r="I132" s="18" t="inlineStr">
        <is>
          <t>否</t>
        </is>
      </c>
      <c r="J132" s="18" t="n"/>
      <c r="K132" s="18" t="n"/>
      <c r="L132" s="51">
        <f>IF(A132="","",IF(B132="Edge",IFERROR(IF(INDEX('模型流与公式'!$P$5:$P$204,MATCH(A132,'模型流与公式'!$A$5:$A$204,0))="","",INDEX('模型流与公式'!$P$5:$P$204,MATCH(A132,'模型流与公式'!$A$5:$A$204,0))),""),""))</f>
        <v/>
      </c>
      <c r="M132" s="18">
        <f>IF(A132="","",IF(B132="Edge",IFERROR(IF(INDEX('模型流与公式'!$Q$5:$Q$204,MATCH(A132,'模型流与公式'!$A$5:$A$204,0))="","",INDEX('模型流与公式'!$Q$5:$Q$204,MATCH(A132,'模型流与公式'!$A$5:$A$204,0))),""),""))</f>
        <v/>
      </c>
      <c r="N132" s="18" t="n"/>
      <c r="O132" s="18" t="n"/>
      <c r="P132" s="18" t="n"/>
      <c r="Q132" s="18" t="n"/>
      <c r="R132" s="18" t="n"/>
      <c r="S132" s="18" t="n"/>
      <c r="T132" s="18" t="n"/>
      <c r="U132" s="18" t="inlineStr">
        <is>
          <t>CIP清洗剂逐条见冻结清单</t>
        </is>
      </c>
    </row>
    <row r="133">
      <c r="A133" s="18" t="inlineStr">
        <is>
          <t>FL-CLC-12F</t>
        </is>
      </c>
      <c r="B133" s="18" t="inlineStr">
        <is>
          <t>Edge</t>
        </is>
      </c>
      <c r="C133" s="18" t="n"/>
      <c r="D133" s="18" t="n"/>
      <c r="E133" s="18" t="n"/>
      <c r="F133" s="18" t="n"/>
      <c r="G133" s="18" t="n"/>
      <c r="H133" s="18" t="n"/>
      <c r="I133" s="18" t="inlineStr">
        <is>
          <t>否</t>
        </is>
      </c>
      <c r="J133" s="18" t="n"/>
      <c r="K133" s="18" t="n"/>
      <c r="L133" s="51">
        <f>IF(A133="","",IF(B133="Edge",IFERROR(IF(INDEX('模型流与公式'!$P$5:$P$204,MATCH(A133,'模型流与公式'!$A$5:$A$204,0))="","",INDEX('模型流与公式'!$P$5:$P$204,MATCH(A133,'模型流与公式'!$A$5:$A$204,0))),""),""))</f>
        <v/>
      </c>
      <c r="M133" s="18">
        <f>IF(A133="","",IF(B133="Edge",IFERROR(IF(INDEX('模型流与公式'!$Q$5:$Q$204,MATCH(A133,'模型流与公式'!$A$5:$A$204,0))="","",INDEX('模型流与公式'!$Q$5:$Q$204,MATCH(A133,'模型流与公式'!$A$5:$A$204,0))),""),""))</f>
        <v/>
      </c>
      <c r="N133" s="18" t="n"/>
      <c r="O133" s="18" t="n"/>
      <c r="P133" s="18" t="n"/>
      <c r="Q133" s="18" t="n"/>
      <c r="R133" s="18" t="n"/>
      <c r="S133" s="18" t="n"/>
      <c r="T133" s="18" t="n"/>
      <c r="U133" s="18" t="inlineStr">
        <is>
          <t>CIP清洗剂逐条见冻结清单</t>
        </is>
      </c>
    </row>
    <row r="134">
      <c r="A134" s="18" t="inlineStr">
        <is>
          <t>FL-CLT-12</t>
        </is>
      </c>
      <c r="B134" s="18" t="inlineStr">
        <is>
          <t>Edge</t>
        </is>
      </c>
      <c r="C134" s="18" t="n"/>
      <c r="D134" s="18" t="n"/>
      <c r="E134" s="18" t="n"/>
      <c r="F134" s="18" t="n"/>
      <c r="G134" s="18" t="n"/>
      <c r="H134" s="18" t="n"/>
      <c r="I134" s="18" t="inlineStr">
        <is>
          <t>否</t>
        </is>
      </c>
      <c r="J134" s="18" t="n"/>
      <c r="K134" s="18" t="n"/>
      <c r="L134" s="51">
        <f>IF(A134="","",IF(B134="Edge",IFERROR(IF(INDEX('模型流与公式'!$P$5:$P$204,MATCH(A134,'模型流与公式'!$A$5:$A$204,0))="","",INDEX('模型流与公式'!$P$5:$P$204,MATCH(A134,'模型流与公式'!$A$5:$A$204,0))),""),""))</f>
        <v/>
      </c>
      <c r="M134" s="18">
        <f>IF(A134="","",IF(B134="Edge",IFERROR(IF(INDEX('模型流与公式'!$Q$5:$Q$204,MATCH(A134,'模型流与公式'!$A$5:$A$204,0))="","",INDEX('模型流与公式'!$Q$5:$Q$204,MATCH(A134,'模型流与公式'!$A$5:$A$204,0))),""),""))</f>
        <v/>
      </c>
      <c r="N134" s="18" t="n"/>
      <c r="O134" s="18" t="n"/>
      <c r="P134" s="18" t="n"/>
      <c r="Q134" s="18" t="n"/>
      <c r="R134" s="18" t="n"/>
      <c r="S134" s="18" t="n"/>
      <c r="T134" s="18" t="n"/>
      <c r="U134" s="18" t="inlineStr">
        <is>
          <t>清洗回路设备材料逐条见冻结清单</t>
        </is>
      </c>
    </row>
    <row r="135">
      <c r="A135" s="18" t="inlineStr">
        <is>
          <t>FL-CLCOD-12</t>
        </is>
      </c>
      <c r="B135" s="18" t="inlineStr">
        <is>
          <t>Edge</t>
        </is>
      </c>
      <c r="C135" s="18" t="n"/>
      <c r="D135" s="18" t="n"/>
      <c r="E135" s="18" t="n"/>
      <c r="F135" s="18" t="n"/>
      <c r="G135" s="18" t="n"/>
      <c r="H135" s="18" t="n"/>
      <c r="I135" s="18" t="inlineStr">
        <is>
          <t>否</t>
        </is>
      </c>
      <c r="J135" s="18" t="n"/>
      <c r="K135" s="18" t="n"/>
      <c r="L135" s="51">
        <f>IF(A135="","",IF(B135="Edge",IFERROR(IF(INDEX('模型流与公式'!$P$5:$P$204,MATCH(A135,'模型流与公式'!$A$5:$A$204,0))="","",INDEX('模型流与公式'!$P$5:$P$204,MATCH(A135,'模型流与公式'!$A$5:$A$204,0))),""),""))</f>
        <v/>
      </c>
      <c r="M135" s="18">
        <f>IF(A135="","",IF(B135="Edge",IFERROR(IF(INDEX('模型流与公式'!$Q$5:$Q$204,MATCH(A135,'模型流与公式'!$A$5:$A$204,0))="","",INDEX('模型流与公式'!$Q$5:$Q$204,MATCH(A135,'模型流与公式'!$A$5:$A$204,0))),""),""))</f>
        <v/>
      </c>
      <c r="N135" s="18" t="n"/>
      <c r="O135" s="18" t="n"/>
      <c r="P135" s="18" t="n"/>
      <c r="Q135" s="18" t="n"/>
      <c r="R135" s="18" t="n"/>
      <c r="S135" s="18" t="n"/>
      <c r="T135" s="18" t="n"/>
      <c r="U135" s="18" t="inlineStr">
        <is>
          <t>清洗废水COD见冻结清单</t>
        </is>
      </c>
    </row>
    <row r="136">
      <c r="A136" s="18" t="inlineStr">
        <is>
          <t>FL-CLDM-12</t>
        </is>
      </c>
      <c r="B136" s="18" t="inlineStr">
        <is>
          <t>Edge</t>
        </is>
      </c>
      <c r="C136" s="18" t="n"/>
      <c r="D136" s="18" t="n"/>
      <c r="E136" s="18" t="n"/>
      <c r="F136" s="18" t="n"/>
      <c r="G136" s="18" t="n"/>
      <c r="H136" s="18" t="n"/>
      <c r="I136" s="18" t="inlineStr">
        <is>
          <t>否</t>
        </is>
      </c>
      <c r="J136" s="18" t="n"/>
      <c r="K136" s="18" t="n"/>
      <c r="L136" s="51">
        <f>IF(A136="","",IF(B136="Edge",IFERROR(IF(INDEX('模型流与公式'!$P$5:$P$204,MATCH(A136,'模型流与公式'!$A$5:$A$204,0))="","",INDEX('模型流与公式'!$P$5:$P$204,MATCH(A136,'模型流与公式'!$A$5:$A$204,0))),""),""))</f>
        <v/>
      </c>
      <c r="M136" s="18">
        <f>IF(A136="","",IF(B136="Edge",IFERROR(IF(INDEX('模型流与公式'!$Q$5:$Q$204,MATCH(A136,'模型流与公式'!$A$5:$A$204,0))="","",INDEX('模型流与公式'!$Q$5:$Q$204,MATCH(A136,'模型流与公式'!$A$5:$A$204,0))),""),""))</f>
        <v/>
      </c>
      <c r="N136" s="18" t="n"/>
      <c r="O136" s="18" t="n"/>
      <c r="P136" s="18" t="n"/>
      <c r="Q136" s="18" t="n"/>
      <c r="R136" s="18" t="n"/>
      <c r="S136" s="18" t="n"/>
      <c r="T136" s="18" t="n"/>
      <c r="U136" s="18" t="inlineStr">
        <is>
          <t>清洗废水干物质见冻结清单</t>
        </is>
      </c>
    </row>
    <row r="137">
      <c r="A137" s="18" t="inlineStr">
        <is>
          <t>FL-MCH-01A</t>
        </is>
      </c>
      <c r="B137" s="18" t="inlineStr">
        <is>
          <t>Edge</t>
        </is>
      </c>
      <c r="C137" s="18" t="n"/>
      <c r="D137" s="18" t="n"/>
      <c r="E137" s="18" t="n"/>
      <c r="F137" s="18" t="n"/>
      <c r="G137" s="18" t="n"/>
      <c r="H137" s="18" t="n"/>
      <c r="I137" s="18" t="inlineStr">
        <is>
          <t>否</t>
        </is>
      </c>
      <c r="J137" s="18" t="n"/>
      <c r="K137" s="18" t="n"/>
      <c r="L137" s="51">
        <f>IF(A137="","",IF(B137="Edge",IFERROR(IF(INDEX('模型流与公式'!$P$5:$P$204,MATCH(A137,'模型流与公式'!$A$5:$A$204,0))="","",INDEX('模型流与公式'!$P$5:$P$204,MATCH(A137,'模型流与公式'!$A$5:$A$204,0))),""),""))</f>
        <v/>
      </c>
      <c r="M137" s="18">
        <f>IF(A137="","",IF(B137="Edge",IFERROR(IF(INDEX('模型流与公式'!$Q$5:$Q$204,MATCH(A137,'模型流与公式'!$A$5:$A$204,0))="","",INDEX('模型流与公式'!$Q$5:$Q$204,MATCH(A137,'模型流与公式'!$A$5:$A$204,0))),""),""))</f>
        <v/>
      </c>
      <c r="N137" s="18" t="n"/>
      <c r="O137" s="18" t="n"/>
      <c r="P137" s="18" t="n"/>
      <c r="Q137" s="18" t="n"/>
      <c r="R137" s="18" t="n"/>
      <c r="S137" s="18" t="n"/>
      <c r="T137" s="18" t="n"/>
      <c r="U137" s="18" t="inlineStr">
        <is>
          <t>资本品（设备/部件级材料，按天摊销）逐条见冻结清单；8条无数据未计入</t>
        </is>
      </c>
    </row>
    <row r="138">
      <c r="A138" s="18" t="inlineStr">
        <is>
          <t>FL-MCH-01B</t>
        </is>
      </c>
      <c r="B138" s="18" t="inlineStr">
        <is>
          <t>Edge</t>
        </is>
      </c>
      <c r="C138" s="18" t="n"/>
      <c r="D138" s="18" t="n"/>
      <c r="E138" s="18" t="n"/>
      <c r="F138" s="18" t="n"/>
      <c r="G138" s="18" t="n"/>
      <c r="H138" s="18" t="n"/>
      <c r="I138" s="18" t="inlineStr">
        <is>
          <t>否</t>
        </is>
      </c>
      <c r="J138" s="18" t="n"/>
      <c r="K138" s="18" t="n"/>
      <c r="L138" s="51">
        <f>IF(A138="","",IF(B138="Edge",IFERROR(IF(INDEX('模型流与公式'!$P$5:$P$204,MATCH(A138,'模型流与公式'!$A$5:$A$204,0))="","",INDEX('模型流与公式'!$P$5:$P$204,MATCH(A138,'模型流与公式'!$A$5:$A$204,0))),""),""))</f>
        <v/>
      </c>
      <c r="M138" s="18">
        <f>IF(A138="","",IF(B138="Edge",IFERROR(IF(INDEX('模型流与公式'!$Q$5:$Q$204,MATCH(A138,'模型流与公式'!$A$5:$A$204,0))="","",INDEX('模型流与公式'!$Q$5:$Q$204,MATCH(A138,'模型流与公式'!$A$5:$A$204,0))),""),""))</f>
        <v/>
      </c>
      <c r="N138" s="18" t="n"/>
      <c r="O138" s="18" t="n"/>
      <c r="P138" s="18" t="n"/>
      <c r="Q138" s="18" t="n"/>
      <c r="R138" s="18" t="n"/>
      <c r="S138" s="18" t="n"/>
      <c r="T138" s="18" t="n"/>
      <c r="U138" s="18" t="inlineStr">
        <is>
          <t>资本品（设备/部件级材料，按天摊销）逐条见冻结清单；8条无数据未计入</t>
        </is>
      </c>
    </row>
    <row r="139">
      <c r="A139" s="18" t="inlineStr">
        <is>
          <t>FL-MCH-01C</t>
        </is>
      </c>
      <c r="B139" s="18" t="inlineStr">
        <is>
          <t>Edge</t>
        </is>
      </c>
      <c r="C139" s="18" t="n"/>
      <c r="D139" s="18" t="n"/>
      <c r="E139" s="18" t="n"/>
      <c r="F139" s="18" t="n"/>
      <c r="G139" s="18" t="n"/>
      <c r="H139" s="18" t="n"/>
      <c r="I139" s="18" t="inlineStr">
        <is>
          <t>否</t>
        </is>
      </c>
      <c r="J139" s="18" t="n"/>
      <c r="K139" s="18" t="n"/>
      <c r="L139" s="51">
        <f>IF(A139="","",IF(B139="Edge",IFERROR(IF(INDEX('模型流与公式'!$P$5:$P$204,MATCH(A139,'模型流与公式'!$A$5:$A$204,0))="","",INDEX('模型流与公式'!$P$5:$P$204,MATCH(A139,'模型流与公式'!$A$5:$A$204,0))),""),""))</f>
        <v/>
      </c>
      <c r="M139" s="18">
        <f>IF(A139="","",IF(B139="Edge",IFERROR(IF(INDEX('模型流与公式'!$Q$5:$Q$204,MATCH(A139,'模型流与公式'!$A$5:$A$204,0))="","",INDEX('模型流与公式'!$Q$5:$Q$204,MATCH(A139,'模型流与公式'!$A$5:$A$204,0))),""),""))</f>
        <v/>
      </c>
      <c r="N139" s="18" t="n"/>
      <c r="O139" s="18" t="n"/>
      <c r="P139" s="18" t="n"/>
      <c r="Q139" s="18" t="n"/>
      <c r="R139" s="18" t="n"/>
      <c r="S139" s="18" t="n"/>
      <c r="T139" s="18" t="n"/>
      <c r="U139" s="18" t="inlineStr">
        <is>
          <t>资本品（设备/部件级材料，按天摊销）逐条见冻结清单；8条无数据未计入</t>
        </is>
      </c>
    </row>
    <row r="140">
      <c r="A140" s="18" t="inlineStr">
        <is>
          <t>FL-MCH-01D</t>
        </is>
      </c>
      <c r="B140" s="18" t="inlineStr">
        <is>
          <t>Edge</t>
        </is>
      </c>
      <c r="C140" s="18" t="n"/>
      <c r="D140" s="18" t="n"/>
      <c r="E140" s="18" t="n"/>
      <c r="F140" s="18" t="n"/>
      <c r="G140" s="18" t="n"/>
      <c r="H140" s="18" t="n"/>
      <c r="I140" s="18" t="inlineStr">
        <is>
          <t>否</t>
        </is>
      </c>
      <c r="J140" s="18" t="n"/>
      <c r="K140" s="18" t="n"/>
      <c r="L140" s="51">
        <f>IF(A140="","",IF(B140="Edge",IFERROR(IF(INDEX('模型流与公式'!$P$5:$P$204,MATCH(A140,'模型流与公式'!$A$5:$A$204,0))="","",INDEX('模型流与公式'!$P$5:$P$204,MATCH(A140,'模型流与公式'!$A$5:$A$204,0))),""),""))</f>
        <v/>
      </c>
      <c r="M140" s="18">
        <f>IF(A140="","",IF(B140="Edge",IFERROR(IF(INDEX('模型流与公式'!$Q$5:$Q$204,MATCH(A140,'模型流与公式'!$A$5:$A$204,0))="","",INDEX('模型流与公式'!$Q$5:$Q$204,MATCH(A140,'模型流与公式'!$A$5:$A$204,0))),""),""))</f>
        <v/>
      </c>
      <c r="N140" s="18" t="n"/>
      <c r="O140" s="18" t="n"/>
      <c r="P140" s="18" t="n"/>
      <c r="Q140" s="18" t="n"/>
      <c r="R140" s="18" t="n"/>
      <c r="S140" s="18" t="n"/>
      <c r="T140" s="18" t="n"/>
      <c r="U140" s="18" t="inlineStr">
        <is>
          <t>资本品（设备/部件级材料，按天摊销）逐条见冻结清单；8条无数据未计入</t>
        </is>
      </c>
    </row>
    <row r="141">
      <c r="A141" s="18" t="inlineStr">
        <is>
          <t>FL-MCH-01E</t>
        </is>
      </c>
      <c r="B141" s="18" t="inlineStr">
        <is>
          <t>Edge</t>
        </is>
      </c>
      <c r="C141" s="18" t="n"/>
      <c r="D141" s="18" t="n"/>
      <c r="E141" s="18" t="n"/>
      <c r="F141" s="18" t="n"/>
      <c r="G141" s="18" t="n"/>
      <c r="H141" s="18" t="n"/>
      <c r="I141" s="18" t="inlineStr">
        <is>
          <t>否</t>
        </is>
      </c>
      <c r="J141" s="18" t="n"/>
      <c r="K141" s="18" t="n"/>
      <c r="L141" s="51">
        <f>IF(A141="","",IF(B141="Edge",IFERROR(IF(INDEX('模型流与公式'!$P$5:$P$204,MATCH(A141,'模型流与公式'!$A$5:$A$204,0))="","",INDEX('模型流与公式'!$P$5:$P$204,MATCH(A141,'模型流与公式'!$A$5:$A$204,0))),""),""))</f>
        <v/>
      </c>
      <c r="M141" s="18">
        <f>IF(A141="","",IF(B141="Edge",IFERROR(IF(INDEX('模型流与公式'!$Q$5:$Q$204,MATCH(A141,'模型流与公式'!$A$5:$A$204,0))="","",INDEX('模型流与公式'!$Q$5:$Q$204,MATCH(A141,'模型流与公式'!$A$5:$A$204,0))),""),""))</f>
        <v/>
      </c>
      <c r="N141" s="18" t="n"/>
      <c r="O141" s="18" t="n"/>
      <c r="P141" s="18" t="n"/>
      <c r="Q141" s="18" t="n"/>
      <c r="R141" s="18" t="n"/>
      <c r="S141" s="18" t="n"/>
      <c r="T141" s="18" t="n"/>
      <c r="U141" s="18" t="inlineStr">
        <is>
          <t>资本品（设备/部件级材料，按天摊销）逐条见冻结清单；8条无数据未计入</t>
        </is>
      </c>
    </row>
    <row r="142">
      <c r="A142" s="18" t="inlineStr">
        <is>
          <t>FL-MCH-01F</t>
        </is>
      </c>
      <c r="B142" s="18" t="inlineStr">
        <is>
          <t>Edge</t>
        </is>
      </c>
      <c r="C142" s="18" t="n"/>
      <c r="D142" s="18" t="n"/>
      <c r="E142" s="18" t="n"/>
      <c r="F142" s="18" t="n"/>
      <c r="G142" s="18" t="n"/>
      <c r="H142" s="18" t="n"/>
      <c r="I142" s="18" t="inlineStr">
        <is>
          <t>否</t>
        </is>
      </c>
      <c r="J142" s="18" t="n"/>
      <c r="K142" s="18" t="n"/>
      <c r="L142" s="51">
        <f>IF(A142="","",IF(B142="Edge",IFERROR(IF(INDEX('模型流与公式'!$P$5:$P$204,MATCH(A142,'模型流与公式'!$A$5:$A$204,0))="","",INDEX('模型流与公式'!$P$5:$P$204,MATCH(A142,'模型流与公式'!$A$5:$A$204,0))),""),""))</f>
        <v/>
      </c>
      <c r="M142" s="18">
        <f>IF(A142="","",IF(B142="Edge",IFERROR(IF(INDEX('模型流与公式'!$Q$5:$Q$204,MATCH(A142,'模型流与公式'!$A$5:$A$204,0))="","",INDEX('模型流与公式'!$Q$5:$Q$204,MATCH(A142,'模型流与公式'!$A$5:$A$204,0))),""),""))</f>
        <v/>
      </c>
      <c r="N142" s="18" t="n"/>
      <c r="O142" s="18" t="n"/>
      <c r="P142" s="18" t="n"/>
      <c r="Q142" s="18" t="n"/>
      <c r="R142" s="18" t="n"/>
      <c r="S142" s="18" t="n"/>
      <c r="T142" s="18" t="n"/>
      <c r="U142" s="18" t="inlineStr">
        <is>
          <t>资本品（设备/部件级材料，按天摊销）逐条见冻结清单；8条无数据未计入</t>
        </is>
      </c>
    </row>
    <row r="143">
      <c r="A143" s="18" t="inlineStr">
        <is>
          <t>FL-MCH-01G</t>
        </is>
      </c>
      <c r="B143" s="18" t="inlineStr">
        <is>
          <t>Edge</t>
        </is>
      </c>
      <c r="C143" s="18" t="n"/>
      <c r="D143" s="18" t="n"/>
      <c r="E143" s="18" t="n"/>
      <c r="F143" s="18" t="n"/>
      <c r="G143" s="18" t="n"/>
      <c r="H143" s="18" t="n"/>
      <c r="I143" s="18" t="inlineStr">
        <is>
          <t>否</t>
        </is>
      </c>
      <c r="J143" s="18" t="n"/>
      <c r="K143" s="18" t="n"/>
      <c r="L143" s="51">
        <f>IF(A143="","",IF(B143="Edge",IFERROR(IF(INDEX('模型流与公式'!$P$5:$P$204,MATCH(A143,'模型流与公式'!$A$5:$A$204,0))="","",INDEX('模型流与公式'!$P$5:$P$204,MATCH(A143,'模型流与公式'!$A$5:$A$204,0))),""),""))</f>
        <v/>
      </c>
      <c r="M143" s="18">
        <f>IF(A143="","",IF(B143="Edge",IFERROR(IF(INDEX('模型流与公式'!$Q$5:$Q$204,MATCH(A143,'模型流与公式'!$A$5:$A$204,0))="","",INDEX('模型流与公式'!$Q$5:$Q$204,MATCH(A143,'模型流与公式'!$A$5:$A$204,0))),""),""))</f>
        <v/>
      </c>
      <c r="N143" s="18" t="n"/>
      <c r="O143" s="18" t="n"/>
      <c r="P143" s="18" t="n"/>
      <c r="Q143" s="18" t="n"/>
      <c r="R143" s="18" t="n"/>
      <c r="S143" s="18" t="n"/>
      <c r="T143" s="18" t="n"/>
      <c r="U143" s="18" t="inlineStr">
        <is>
          <t>资本品（设备/部件级材料，按天摊销）逐条见冻结清单；8条无数据未计入</t>
        </is>
      </c>
    </row>
    <row r="144">
      <c r="A144" s="18" t="inlineStr">
        <is>
          <t>FL-MCH-02A</t>
        </is>
      </c>
      <c r="B144" s="18" t="inlineStr">
        <is>
          <t>Edge</t>
        </is>
      </c>
      <c r="C144" s="18" t="n"/>
      <c r="D144" s="18" t="n"/>
      <c r="E144" s="18" t="n"/>
      <c r="F144" s="18" t="n"/>
      <c r="G144" s="18" t="n"/>
      <c r="H144" s="18" t="n"/>
      <c r="I144" s="18" t="inlineStr">
        <is>
          <t>否</t>
        </is>
      </c>
      <c r="J144" s="18" t="n"/>
      <c r="K144" s="18" t="n"/>
      <c r="L144" s="51">
        <f>IF(A144="","",IF(B144="Edge",IFERROR(IF(INDEX('模型流与公式'!$P$5:$P$204,MATCH(A144,'模型流与公式'!$A$5:$A$204,0))="","",INDEX('模型流与公式'!$P$5:$P$204,MATCH(A144,'模型流与公式'!$A$5:$A$204,0))),""),""))</f>
        <v/>
      </c>
      <c r="M144" s="18">
        <f>IF(A144="","",IF(B144="Edge",IFERROR(IF(INDEX('模型流与公式'!$Q$5:$Q$204,MATCH(A144,'模型流与公式'!$A$5:$A$204,0))="","",INDEX('模型流与公式'!$Q$5:$Q$204,MATCH(A144,'模型流与公式'!$A$5:$A$204,0))),""),""))</f>
        <v/>
      </c>
      <c r="N144" s="18" t="n"/>
      <c r="O144" s="18" t="n"/>
      <c r="P144" s="18" t="n"/>
      <c r="Q144" s="18" t="n"/>
      <c r="R144" s="18" t="n"/>
      <c r="S144" s="18" t="n"/>
      <c r="T144" s="18" t="n"/>
      <c r="U144" s="18" t="inlineStr">
        <is>
          <t>资本品（设备/部件级材料，按天摊销）逐条见冻结清单；8条无数据未计入</t>
        </is>
      </c>
    </row>
    <row r="145">
      <c r="A145" s="18" t="inlineStr">
        <is>
          <t>FL-MCH-02B</t>
        </is>
      </c>
      <c r="B145" s="18" t="inlineStr">
        <is>
          <t>Edge</t>
        </is>
      </c>
      <c r="C145" s="18" t="n"/>
      <c r="D145" s="18" t="n"/>
      <c r="E145" s="18" t="n"/>
      <c r="F145" s="18" t="n"/>
      <c r="G145" s="18" t="n"/>
      <c r="H145" s="18" t="n"/>
      <c r="I145" s="18" t="inlineStr">
        <is>
          <t>否</t>
        </is>
      </c>
      <c r="J145" s="18" t="n"/>
      <c r="K145" s="18" t="n"/>
      <c r="L145" s="51">
        <f>IF(A145="","",IF(B145="Edge",IFERROR(IF(INDEX('模型流与公式'!$P$5:$P$204,MATCH(A145,'模型流与公式'!$A$5:$A$204,0))="","",INDEX('模型流与公式'!$P$5:$P$204,MATCH(A145,'模型流与公式'!$A$5:$A$204,0))),""),""))</f>
        <v/>
      </c>
      <c r="M145" s="18">
        <f>IF(A145="","",IF(B145="Edge",IFERROR(IF(INDEX('模型流与公式'!$Q$5:$Q$204,MATCH(A145,'模型流与公式'!$A$5:$A$204,0))="","",INDEX('模型流与公式'!$Q$5:$Q$204,MATCH(A145,'模型流与公式'!$A$5:$A$204,0))),""),""))</f>
        <v/>
      </c>
      <c r="N145" s="18" t="n"/>
      <c r="O145" s="18" t="n"/>
      <c r="P145" s="18" t="n"/>
      <c r="Q145" s="18" t="n"/>
      <c r="R145" s="18" t="n"/>
      <c r="S145" s="18" t="n"/>
      <c r="T145" s="18" t="n"/>
      <c r="U145" s="18" t="inlineStr">
        <is>
          <t>资本品（设备/部件级材料，按天摊销）逐条见冻结清单；8条无数据未计入</t>
        </is>
      </c>
    </row>
    <row r="146">
      <c r="A146" s="18" t="inlineStr">
        <is>
          <t>FL-MCH-02C</t>
        </is>
      </c>
      <c r="B146" s="18" t="inlineStr">
        <is>
          <t>Edge</t>
        </is>
      </c>
      <c r="C146" s="18" t="n"/>
      <c r="D146" s="18" t="n"/>
      <c r="E146" s="18" t="n"/>
      <c r="F146" s="18" t="n"/>
      <c r="G146" s="18" t="n"/>
      <c r="H146" s="18" t="n"/>
      <c r="I146" s="18" t="inlineStr">
        <is>
          <t>否</t>
        </is>
      </c>
      <c r="J146" s="18" t="n"/>
      <c r="K146" s="18" t="n"/>
      <c r="L146" s="51">
        <f>IF(A146="","",IF(B146="Edge",IFERROR(IF(INDEX('模型流与公式'!$P$5:$P$204,MATCH(A146,'模型流与公式'!$A$5:$A$204,0))="","",INDEX('模型流与公式'!$P$5:$P$204,MATCH(A146,'模型流与公式'!$A$5:$A$204,0))),""),""))</f>
        <v/>
      </c>
      <c r="M146" s="18">
        <f>IF(A146="","",IF(B146="Edge",IFERROR(IF(INDEX('模型流与公式'!$Q$5:$Q$204,MATCH(A146,'模型流与公式'!$A$5:$A$204,0))="","",INDEX('模型流与公式'!$Q$5:$Q$204,MATCH(A146,'模型流与公式'!$A$5:$A$204,0))),""),""))</f>
        <v/>
      </c>
      <c r="N146" s="18" t="n"/>
      <c r="O146" s="18" t="n"/>
      <c r="P146" s="18" t="n"/>
      <c r="Q146" s="18" t="n"/>
      <c r="R146" s="18" t="n"/>
      <c r="S146" s="18" t="n"/>
      <c r="T146" s="18" t="n"/>
      <c r="U146" s="18" t="inlineStr">
        <is>
          <t>资本品（设备/部件级材料，按天摊销）逐条见冻结清单；8条无数据未计入</t>
        </is>
      </c>
    </row>
    <row r="147">
      <c r="A147" s="18" t="inlineStr">
        <is>
          <t>FL-MCH-02D</t>
        </is>
      </c>
      <c r="B147" s="18" t="inlineStr">
        <is>
          <t>Edge</t>
        </is>
      </c>
      <c r="C147" s="18" t="n"/>
      <c r="D147" s="18" t="n"/>
      <c r="E147" s="18" t="n"/>
      <c r="F147" s="18" t="n"/>
      <c r="G147" s="18" t="n"/>
      <c r="H147" s="18" t="n"/>
      <c r="I147" s="18" t="inlineStr">
        <is>
          <t>否</t>
        </is>
      </c>
      <c r="J147" s="18" t="n"/>
      <c r="K147" s="18" t="n"/>
      <c r="L147" s="51">
        <f>IF(A147="","",IF(B147="Edge",IFERROR(IF(INDEX('模型流与公式'!$P$5:$P$204,MATCH(A147,'模型流与公式'!$A$5:$A$204,0))="","",INDEX('模型流与公式'!$P$5:$P$204,MATCH(A147,'模型流与公式'!$A$5:$A$204,0))),""),""))</f>
        <v/>
      </c>
      <c r="M147" s="18">
        <f>IF(A147="","",IF(B147="Edge",IFERROR(IF(INDEX('模型流与公式'!$Q$5:$Q$204,MATCH(A147,'模型流与公式'!$A$5:$A$204,0))="","",INDEX('模型流与公式'!$Q$5:$Q$204,MATCH(A147,'模型流与公式'!$A$5:$A$204,0))),""),""))</f>
        <v/>
      </c>
      <c r="N147" s="18" t="n"/>
      <c r="O147" s="18" t="n"/>
      <c r="P147" s="18" t="n"/>
      <c r="Q147" s="18" t="n"/>
      <c r="R147" s="18" t="n"/>
      <c r="S147" s="18" t="n"/>
      <c r="T147" s="18" t="n"/>
      <c r="U147" s="18" t="inlineStr">
        <is>
          <t>资本品（设备/部件级材料，按天摊销）逐条见冻结清单；8条无数据未计入</t>
        </is>
      </c>
    </row>
    <row r="148">
      <c r="A148" s="18" t="inlineStr">
        <is>
          <t>FL-MCH-02E</t>
        </is>
      </c>
      <c r="B148" s="18" t="inlineStr">
        <is>
          <t>Edge</t>
        </is>
      </c>
      <c r="C148" s="18" t="n"/>
      <c r="D148" s="18" t="n"/>
      <c r="E148" s="18" t="n"/>
      <c r="F148" s="18" t="n"/>
      <c r="G148" s="18" t="n"/>
      <c r="H148" s="18" t="n"/>
      <c r="I148" s="18" t="inlineStr">
        <is>
          <t>否</t>
        </is>
      </c>
      <c r="J148" s="18" t="n"/>
      <c r="K148" s="18" t="n"/>
      <c r="L148" s="51">
        <f>IF(A148="","",IF(B148="Edge",IFERROR(IF(INDEX('模型流与公式'!$P$5:$P$204,MATCH(A148,'模型流与公式'!$A$5:$A$204,0))="","",INDEX('模型流与公式'!$P$5:$P$204,MATCH(A148,'模型流与公式'!$A$5:$A$204,0))),""),""))</f>
        <v/>
      </c>
      <c r="M148" s="18">
        <f>IF(A148="","",IF(B148="Edge",IFERROR(IF(INDEX('模型流与公式'!$Q$5:$Q$204,MATCH(A148,'模型流与公式'!$A$5:$A$204,0))="","",INDEX('模型流与公式'!$Q$5:$Q$204,MATCH(A148,'模型流与公式'!$A$5:$A$204,0))),""),""))</f>
        <v/>
      </c>
      <c r="N148" s="18" t="n"/>
      <c r="O148" s="18" t="n"/>
      <c r="P148" s="18" t="n"/>
      <c r="Q148" s="18" t="n"/>
      <c r="R148" s="18" t="n"/>
      <c r="S148" s="18" t="n"/>
      <c r="T148" s="18" t="n"/>
      <c r="U148" s="18" t="inlineStr">
        <is>
          <t>资本品（设备/部件级材料，按天摊销）逐条见冻结清单；8条无数据未计入</t>
        </is>
      </c>
    </row>
    <row r="149">
      <c r="A149" s="18" t="inlineStr">
        <is>
          <t>FL-MCH-02F</t>
        </is>
      </c>
      <c r="B149" s="18" t="inlineStr">
        <is>
          <t>Edge</t>
        </is>
      </c>
      <c r="C149" s="18" t="n"/>
      <c r="D149" s="18" t="n"/>
      <c r="E149" s="18" t="n"/>
      <c r="F149" s="18" t="n"/>
      <c r="G149" s="18" t="n"/>
      <c r="H149" s="18" t="n"/>
      <c r="I149" s="18" t="inlineStr">
        <is>
          <t>否</t>
        </is>
      </c>
      <c r="J149" s="18" t="n"/>
      <c r="K149" s="18" t="n"/>
      <c r="L149" s="51">
        <f>IF(A149="","",IF(B149="Edge",IFERROR(IF(INDEX('模型流与公式'!$P$5:$P$204,MATCH(A149,'模型流与公式'!$A$5:$A$204,0))="","",INDEX('模型流与公式'!$P$5:$P$204,MATCH(A149,'模型流与公式'!$A$5:$A$204,0))),""),""))</f>
        <v/>
      </c>
      <c r="M149" s="18">
        <f>IF(A149="","",IF(B149="Edge",IFERROR(IF(INDEX('模型流与公式'!$Q$5:$Q$204,MATCH(A149,'模型流与公式'!$A$5:$A$204,0))="","",INDEX('模型流与公式'!$Q$5:$Q$204,MATCH(A149,'模型流与公式'!$A$5:$A$204,0))),""),""))</f>
        <v/>
      </c>
      <c r="N149" s="18" t="n"/>
      <c r="O149" s="18" t="n"/>
      <c r="P149" s="18" t="n"/>
      <c r="Q149" s="18" t="n"/>
      <c r="R149" s="18" t="n"/>
      <c r="S149" s="18" t="n"/>
      <c r="T149" s="18" t="n"/>
      <c r="U149" s="18" t="inlineStr">
        <is>
          <t>资本品（设备/部件级材料，按天摊销）逐条见冻结清单；8条无数据未计入</t>
        </is>
      </c>
    </row>
    <row r="150">
      <c r="A150" s="18" t="inlineStr">
        <is>
          <t>FL-MCH-03A</t>
        </is>
      </c>
      <c r="B150" s="18" t="inlineStr">
        <is>
          <t>Edge</t>
        </is>
      </c>
      <c r="C150" s="18" t="n"/>
      <c r="D150" s="18" t="n"/>
      <c r="E150" s="18" t="n"/>
      <c r="F150" s="18" t="n"/>
      <c r="G150" s="18" t="n"/>
      <c r="H150" s="18" t="n"/>
      <c r="I150" s="18" t="inlineStr">
        <is>
          <t>否</t>
        </is>
      </c>
      <c r="J150" s="18" t="n"/>
      <c r="K150" s="18" t="n"/>
      <c r="L150" s="51">
        <f>IF(A150="","",IF(B150="Edge",IFERROR(IF(INDEX('模型流与公式'!$P$5:$P$204,MATCH(A150,'模型流与公式'!$A$5:$A$204,0))="","",INDEX('模型流与公式'!$P$5:$P$204,MATCH(A150,'模型流与公式'!$A$5:$A$204,0))),""),""))</f>
        <v/>
      </c>
      <c r="M150" s="18">
        <f>IF(A150="","",IF(B150="Edge",IFERROR(IF(INDEX('模型流与公式'!$Q$5:$Q$204,MATCH(A150,'模型流与公式'!$A$5:$A$204,0))="","",INDEX('模型流与公式'!$Q$5:$Q$204,MATCH(A150,'模型流与公式'!$A$5:$A$204,0))),""),""))</f>
        <v/>
      </c>
      <c r="N150" s="18" t="n"/>
      <c r="O150" s="18" t="n"/>
      <c r="P150" s="18" t="n"/>
      <c r="Q150" s="18" t="n"/>
      <c r="R150" s="18" t="n"/>
      <c r="S150" s="18" t="n"/>
      <c r="T150" s="18" t="n"/>
      <c r="U150" s="18" t="inlineStr">
        <is>
          <t>资本品（设备/部件级材料，按天摊销）逐条见冻结清单；8条无数据未计入</t>
        </is>
      </c>
    </row>
    <row r="151">
      <c r="A151" s="18" t="inlineStr">
        <is>
          <t>FL-MCH-03B</t>
        </is>
      </c>
      <c r="B151" s="18" t="inlineStr">
        <is>
          <t>Edge</t>
        </is>
      </c>
      <c r="C151" s="18" t="n"/>
      <c r="D151" s="18" t="n"/>
      <c r="E151" s="18" t="n"/>
      <c r="F151" s="18" t="n"/>
      <c r="G151" s="18" t="n"/>
      <c r="H151" s="18" t="n"/>
      <c r="I151" s="18" t="inlineStr">
        <is>
          <t>否</t>
        </is>
      </c>
      <c r="J151" s="18" t="n"/>
      <c r="K151" s="18" t="n"/>
      <c r="L151" s="51">
        <f>IF(A151="","",IF(B151="Edge",IFERROR(IF(INDEX('模型流与公式'!$P$5:$P$204,MATCH(A151,'模型流与公式'!$A$5:$A$204,0))="","",INDEX('模型流与公式'!$P$5:$P$204,MATCH(A151,'模型流与公式'!$A$5:$A$204,0))),""),""))</f>
        <v/>
      </c>
      <c r="M151" s="18">
        <f>IF(A151="","",IF(B151="Edge",IFERROR(IF(INDEX('模型流与公式'!$Q$5:$Q$204,MATCH(A151,'模型流与公式'!$A$5:$A$204,0))="","",INDEX('模型流与公式'!$Q$5:$Q$204,MATCH(A151,'模型流与公式'!$A$5:$A$204,0))),""),""))</f>
        <v/>
      </c>
      <c r="N151" s="18" t="n"/>
      <c r="O151" s="18" t="n"/>
      <c r="P151" s="18" t="n"/>
      <c r="Q151" s="18" t="n"/>
      <c r="R151" s="18" t="n"/>
      <c r="S151" s="18" t="n"/>
      <c r="T151" s="18" t="n"/>
      <c r="U151" s="18" t="inlineStr">
        <is>
          <t>资本品（设备/部件级材料，按天摊销）逐条见冻结清单；8条无数据未计入</t>
        </is>
      </c>
    </row>
    <row r="152">
      <c r="A152" s="18" t="inlineStr">
        <is>
          <t>FL-MCH-03C</t>
        </is>
      </c>
      <c r="B152" s="18" t="inlineStr">
        <is>
          <t>Edge</t>
        </is>
      </c>
      <c r="C152" s="18" t="n"/>
      <c r="D152" s="18" t="n"/>
      <c r="E152" s="18" t="n"/>
      <c r="F152" s="18" t="n"/>
      <c r="G152" s="18" t="n"/>
      <c r="H152" s="18" t="n"/>
      <c r="I152" s="18" t="inlineStr">
        <is>
          <t>否</t>
        </is>
      </c>
      <c r="J152" s="18" t="n"/>
      <c r="K152" s="18" t="n"/>
      <c r="L152" s="51">
        <f>IF(A152="","",IF(B152="Edge",IFERROR(IF(INDEX('模型流与公式'!$P$5:$P$204,MATCH(A152,'模型流与公式'!$A$5:$A$204,0))="","",INDEX('模型流与公式'!$P$5:$P$204,MATCH(A152,'模型流与公式'!$A$5:$A$204,0))),""),""))</f>
        <v/>
      </c>
      <c r="M152" s="18">
        <f>IF(A152="","",IF(B152="Edge",IFERROR(IF(INDEX('模型流与公式'!$Q$5:$Q$204,MATCH(A152,'模型流与公式'!$A$5:$A$204,0))="","",INDEX('模型流与公式'!$Q$5:$Q$204,MATCH(A152,'模型流与公式'!$A$5:$A$204,0))),""),""))</f>
        <v/>
      </c>
      <c r="N152" s="18" t="n"/>
      <c r="O152" s="18" t="n"/>
      <c r="P152" s="18" t="n"/>
      <c r="Q152" s="18" t="n"/>
      <c r="R152" s="18" t="n"/>
      <c r="S152" s="18" t="n"/>
      <c r="T152" s="18" t="n"/>
      <c r="U152" s="18" t="inlineStr">
        <is>
          <t>资本品（设备/部件级材料，按天摊销）逐条见冻结清单；8条无数据未计入</t>
        </is>
      </c>
    </row>
    <row r="153">
      <c r="A153" s="18" t="inlineStr">
        <is>
          <t>FL-MCH-03D</t>
        </is>
      </c>
      <c r="B153" s="18" t="inlineStr">
        <is>
          <t>Edge</t>
        </is>
      </c>
      <c r="C153" s="18" t="n"/>
      <c r="D153" s="18" t="n"/>
      <c r="E153" s="18" t="n"/>
      <c r="F153" s="18" t="n"/>
      <c r="G153" s="18" t="n"/>
      <c r="H153" s="18" t="n"/>
      <c r="I153" s="18" t="inlineStr">
        <is>
          <t>否</t>
        </is>
      </c>
      <c r="J153" s="18" t="n"/>
      <c r="K153" s="18" t="n"/>
      <c r="L153" s="51">
        <f>IF(A153="","",IF(B153="Edge",IFERROR(IF(INDEX('模型流与公式'!$P$5:$P$204,MATCH(A153,'模型流与公式'!$A$5:$A$204,0))="","",INDEX('模型流与公式'!$P$5:$P$204,MATCH(A153,'模型流与公式'!$A$5:$A$204,0))),""),""))</f>
        <v/>
      </c>
      <c r="M153" s="18">
        <f>IF(A153="","",IF(B153="Edge",IFERROR(IF(INDEX('模型流与公式'!$Q$5:$Q$204,MATCH(A153,'模型流与公式'!$A$5:$A$204,0))="","",INDEX('模型流与公式'!$Q$5:$Q$204,MATCH(A153,'模型流与公式'!$A$5:$A$204,0))),""),""))</f>
        <v/>
      </c>
      <c r="N153" s="18" t="n"/>
      <c r="O153" s="18" t="n"/>
      <c r="P153" s="18" t="n"/>
      <c r="Q153" s="18" t="n"/>
      <c r="R153" s="18" t="n"/>
      <c r="S153" s="18" t="n"/>
      <c r="T153" s="18" t="n"/>
      <c r="U153" s="18" t="inlineStr">
        <is>
          <t>资本品（设备/部件级材料，按天摊销）逐条见冻结清单；8条无数据未计入</t>
        </is>
      </c>
    </row>
    <row r="154">
      <c r="A154" s="18" t="inlineStr">
        <is>
          <t>FL-MCH-03E</t>
        </is>
      </c>
      <c r="B154" s="18" t="inlineStr">
        <is>
          <t>Edge</t>
        </is>
      </c>
      <c r="C154" s="18" t="n"/>
      <c r="D154" s="18" t="n"/>
      <c r="E154" s="18" t="n"/>
      <c r="F154" s="18" t="n"/>
      <c r="G154" s="18" t="n"/>
      <c r="H154" s="18" t="n"/>
      <c r="I154" s="18" t="inlineStr">
        <is>
          <t>否</t>
        </is>
      </c>
      <c r="J154" s="18" t="n"/>
      <c r="K154" s="18" t="n"/>
      <c r="L154" s="51">
        <f>IF(A154="","",IF(B154="Edge",IFERROR(IF(INDEX('模型流与公式'!$P$5:$P$204,MATCH(A154,'模型流与公式'!$A$5:$A$204,0))="","",INDEX('模型流与公式'!$P$5:$P$204,MATCH(A154,'模型流与公式'!$A$5:$A$204,0))),""),""))</f>
        <v/>
      </c>
      <c r="M154" s="18">
        <f>IF(A154="","",IF(B154="Edge",IFERROR(IF(INDEX('模型流与公式'!$Q$5:$Q$204,MATCH(A154,'模型流与公式'!$A$5:$A$204,0))="","",INDEX('模型流与公式'!$Q$5:$Q$204,MATCH(A154,'模型流与公式'!$A$5:$A$204,0))),""),""))</f>
        <v/>
      </c>
      <c r="N154" s="18" t="n"/>
      <c r="O154" s="18" t="n"/>
      <c r="P154" s="18" t="n"/>
      <c r="Q154" s="18" t="n"/>
      <c r="R154" s="18" t="n"/>
      <c r="S154" s="18" t="n"/>
      <c r="T154" s="18" t="n"/>
      <c r="U154" s="18" t="inlineStr">
        <is>
          <t>资本品（设备/部件级材料，按天摊销）逐条见冻结清单；8条无数据未计入</t>
        </is>
      </c>
    </row>
    <row r="155">
      <c r="A155" s="18" t="inlineStr">
        <is>
          <t>FL-MCH-03F</t>
        </is>
      </c>
      <c r="B155" s="18" t="inlineStr">
        <is>
          <t>Edge</t>
        </is>
      </c>
      <c r="C155" s="18" t="n"/>
      <c r="D155" s="18" t="n"/>
      <c r="E155" s="18" t="n"/>
      <c r="F155" s="18" t="n"/>
      <c r="G155" s="18" t="n"/>
      <c r="H155" s="18" t="n"/>
      <c r="I155" s="18" t="inlineStr">
        <is>
          <t>否</t>
        </is>
      </c>
      <c r="J155" s="18" t="n"/>
      <c r="K155" s="18" t="n"/>
      <c r="L155" s="51">
        <f>IF(A155="","",IF(B155="Edge",IFERROR(IF(INDEX('模型流与公式'!$P$5:$P$204,MATCH(A155,'模型流与公式'!$A$5:$A$204,0))="","",INDEX('模型流与公式'!$P$5:$P$204,MATCH(A155,'模型流与公式'!$A$5:$A$204,0))),""),""))</f>
        <v/>
      </c>
      <c r="M155" s="18">
        <f>IF(A155="","",IF(B155="Edge",IFERROR(IF(INDEX('模型流与公式'!$Q$5:$Q$204,MATCH(A155,'模型流与公式'!$A$5:$A$204,0))="","",INDEX('模型流与公式'!$Q$5:$Q$204,MATCH(A155,'模型流与公式'!$A$5:$A$204,0))),""),""))</f>
        <v/>
      </c>
      <c r="N155" s="18" t="n"/>
      <c r="O155" s="18" t="n"/>
      <c r="P155" s="18" t="n"/>
      <c r="Q155" s="18" t="n"/>
      <c r="R155" s="18" t="n"/>
      <c r="S155" s="18" t="n"/>
      <c r="T155" s="18" t="n"/>
      <c r="U155" s="18" t="inlineStr">
        <is>
          <t>资本品（设备/部件级材料，按天摊销）逐条见冻结清单；8条无数据未计入</t>
        </is>
      </c>
    </row>
    <row r="156">
      <c r="A156" s="18" t="inlineStr">
        <is>
          <t>FL-MCH-03G</t>
        </is>
      </c>
      <c r="B156" s="18" t="inlineStr">
        <is>
          <t>Edge</t>
        </is>
      </c>
      <c r="C156" s="18" t="n"/>
      <c r="D156" s="18" t="n"/>
      <c r="E156" s="18" t="n"/>
      <c r="F156" s="18" t="n"/>
      <c r="G156" s="18" t="n"/>
      <c r="H156" s="18" t="n"/>
      <c r="I156" s="18" t="inlineStr">
        <is>
          <t>否</t>
        </is>
      </c>
      <c r="J156" s="18" t="n"/>
      <c r="K156" s="18" t="n"/>
      <c r="L156" s="51">
        <f>IF(A156="","",IF(B156="Edge",IFERROR(IF(INDEX('模型流与公式'!$P$5:$P$204,MATCH(A156,'模型流与公式'!$A$5:$A$204,0))="","",INDEX('模型流与公式'!$P$5:$P$204,MATCH(A156,'模型流与公式'!$A$5:$A$204,0))),""),""))</f>
        <v/>
      </c>
      <c r="M156" s="18">
        <f>IF(A156="","",IF(B156="Edge",IFERROR(IF(INDEX('模型流与公式'!$Q$5:$Q$204,MATCH(A156,'模型流与公式'!$A$5:$A$204,0))="","",INDEX('模型流与公式'!$Q$5:$Q$204,MATCH(A156,'模型流与公式'!$A$5:$A$204,0))),""),""))</f>
        <v/>
      </c>
      <c r="N156" s="18" t="n"/>
      <c r="O156" s="18" t="n"/>
      <c r="P156" s="18" t="n"/>
      <c r="Q156" s="18" t="n"/>
      <c r="R156" s="18" t="n"/>
      <c r="S156" s="18" t="n"/>
      <c r="T156" s="18" t="n"/>
      <c r="U156" s="18" t="inlineStr">
        <is>
          <t>资本品（设备/部件级材料，按天摊销）逐条见冻结清单；8条无数据未计入</t>
        </is>
      </c>
    </row>
    <row r="157">
      <c r="A157" s="18" t="inlineStr">
        <is>
          <t>FL-MCH-04A</t>
        </is>
      </c>
      <c r="B157" s="18" t="inlineStr">
        <is>
          <t>Edge</t>
        </is>
      </c>
      <c r="C157" s="18" t="n"/>
      <c r="D157" s="18" t="n"/>
      <c r="E157" s="18" t="n"/>
      <c r="F157" s="18" t="n"/>
      <c r="G157" s="18" t="n"/>
      <c r="H157" s="18" t="n"/>
      <c r="I157" s="18" t="inlineStr">
        <is>
          <t>否</t>
        </is>
      </c>
      <c r="J157" s="18" t="n"/>
      <c r="K157" s="18" t="n"/>
      <c r="L157" s="51">
        <f>IF(A157="","",IF(B157="Edge",IFERROR(IF(INDEX('模型流与公式'!$P$5:$P$204,MATCH(A157,'模型流与公式'!$A$5:$A$204,0))="","",INDEX('模型流与公式'!$P$5:$P$204,MATCH(A157,'模型流与公式'!$A$5:$A$204,0))),""),""))</f>
        <v/>
      </c>
      <c r="M157" s="18">
        <f>IF(A157="","",IF(B157="Edge",IFERROR(IF(INDEX('模型流与公式'!$Q$5:$Q$204,MATCH(A157,'模型流与公式'!$A$5:$A$204,0))="","",INDEX('模型流与公式'!$Q$5:$Q$204,MATCH(A157,'模型流与公式'!$A$5:$A$204,0))),""),""))</f>
        <v/>
      </c>
      <c r="N157" s="18" t="n"/>
      <c r="O157" s="18" t="n"/>
      <c r="P157" s="18" t="n"/>
      <c r="Q157" s="18" t="n"/>
      <c r="R157" s="18" t="n"/>
      <c r="S157" s="18" t="n"/>
      <c r="T157" s="18" t="n"/>
      <c r="U157" s="18" t="inlineStr">
        <is>
          <t>资本品（设备/部件级材料，按天摊销）逐条见冻结清单；8条无数据未计入</t>
        </is>
      </c>
    </row>
    <row r="158">
      <c r="A158" s="18" t="inlineStr">
        <is>
          <t>FL-MCH-04B</t>
        </is>
      </c>
      <c r="B158" s="18" t="inlineStr">
        <is>
          <t>Edge</t>
        </is>
      </c>
      <c r="C158" s="18" t="n"/>
      <c r="D158" s="18" t="n"/>
      <c r="E158" s="18" t="n"/>
      <c r="F158" s="18" t="n"/>
      <c r="G158" s="18" t="n"/>
      <c r="H158" s="18" t="n"/>
      <c r="I158" s="18" t="inlineStr">
        <is>
          <t>否</t>
        </is>
      </c>
      <c r="J158" s="18" t="n"/>
      <c r="K158" s="18" t="n"/>
      <c r="L158" s="51">
        <f>IF(A158="","",IF(B158="Edge",IFERROR(IF(INDEX('模型流与公式'!$P$5:$P$204,MATCH(A158,'模型流与公式'!$A$5:$A$204,0))="","",INDEX('模型流与公式'!$P$5:$P$204,MATCH(A158,'模型流与公式'!$A$5:$A$204,0))),""),""))</f>
        <v/>
      </c>
      <c r="M158" s="18">
        <f>IF(A158="","",IF(B158="Edge",IFERROR(IF(INDEX('模型流与公式'!$Q$5:$Q$204,MATCH(A158,'模型流与公式'!$A$5:$A$204,0))="","",INDEX('模型流与公式'!$Q$5:$Q$204,MATCH(A158,'模型流与公式'!$A$5:$A$204,0))),""),""))</f>
        <v/>
      </c>
      <c r="N158" s="18" t="n"/>
      <c r="O158" s="18" t="n"/>
      <c r="P158" s="18" t="n"/>
      <c r="Q158" s="18" t="n"/>
      <c r="R158" s="18" t="n"/>
      <c r="S158" s="18" t="n"/>
      <c r="T158" s="18" t="n"/>
      <c r="U158" s="18" t="inlineStr">
        <is>
          <t>资本品（设备/部件级材料，按天摊销）逐条见冻结清单；8条无数据未计入</t>
        </is>
      </c>
    </row>
    <row r="159">
      <c r="A159" s="18" t="inlineStr">
        <is>
          <t>FL-MCH-04C</t>
        </is>
      </c>
      <c r="B159" s="18" t="inlineStr">
        <is>
          <t>Edge</t>
        </is>
      </c>
      <c r="C159" s="18" t="n"/>
      <c r="D159" s="18" t="n"/>
      <c r="E159" s="18" t="n"/>
      <c r="F159" s="18" t="n"/>
      <c r="G159" s="18" t="n"/>
      <c r="H159" s="18" t="n"/>
      <c r="I159" s="18" t="inlineStr">
        <is>
          <t>否</t>
        </is>
      </c>
      <c r="J159" s="18" t="n"/>
      <c r="K159" s="18" t="n"/>
      <c r="L159" s="51">
        <f>IF(A159="","",IF(B159="Edge",IFERROR(IF(INDEX('模型流与公式'!$P$5:$P$204,MATCH(A159,'模型流与公式'!$A$5:$A$204,0))="","",INDEX('模型流与公式'!$P$5:$P$204,MATCH(A159,'模型流与公式'!$A$5:$A$204,0))),""),""))</f>
        <v/>
      </c>
      <c r="M159" s="18">
        <f>IF(A159="","",IF(B159="Edge",IFERROR(IF(INDEX('模型流与公式'!$Q$5:$Q$204,MATCH(A159,'模型流与公式'!$A$5:$A$204,0))="","",INDEX('模型流与公式'!$Q$5:$Q$204,MATCH(A159,'模型流与公式'!$A$5:$A$204,0))),""),""))</f>
        <v/>
      </c>
      <c r="N159" s="18" t="n"/>
      <c r="O159" s="18" t="n"/>
      <c r="P159" s="18" t="n"/>
      <c r="Q159" s="18" t="n"/>
      <c r="R159" s="18" t="n"/>
      <c r="S159" s="18" t="n"/>
      <c r="T159" s="18" t="n"/>
      <c r="U159" s="18" t="inlineStr">
        <is>
          <t>资本品（设备/部件级材料，按天摊销）逐条见冻结清单；8条无数据未计入</t>
        </is>
      </c>
    </row>
    <row r="160">
      <c r="A160" s="18" t="inlineStr">
        <is>
          <t>FL-MCH-04D</t>
        </is>
      </c>
      <c r="B160" s="18" t="inlineStr">
        <is>
          <t>Edge</t>
        </is>
      </c>
      <c r="C160" s="18" t="n"/>
      <c r="D160" s="18" t="n"/>
      <c r="E160" s="18" t="n"/>
      <c r="F160" s="18" t="n"/>
      <c r="G160" s="18" t="n"/>
      <c r="H160" s="18" t="n"/>
      <c r="I160" s="18" t="inlineStr">
        <is>
          <t>否</t>
        </is>
      </c>
      <c r="J160" s="18" t="n"/>
      <c r="K160" s="18" t="n"/>
      <c r="L160" s="51">
        <f>IF(A160="","",IF(B160="Edge",IFERROR(IF(INDEX('模型流与公式'!$P$5:$P$204,MATCH(A160,'模型流与公式'!$A$5:$A$204,0))="","",INDEX('模型流与公式'!$P$5:$P$204,MATCH(A160,'模型流与公式'!$A$5:$A$204,0))),""),""))</f>
        <v/>
      </c>
      <c r="M160" s="18">
        <f>IF(A160="","",IF(B160="Edge",IFERROR(IF(INDEX('模型流与公式'!$Q$5:$Q$204,MATCH(A160,'模型流与公式'!$A$5:$A$204,0))="","",INDEX('模型流与公式'!$Q$5:$Q$204,MATCH(A160,'模型流与公式'!$A$5:$A$204,0))),""),""))</f>
        <v/>
      </c>
      <c r="N160" s="18" t="n"/>
      <c r="O160" s="18" t="n"/>
      <c r="P160" s="18" t="n"/>
      <c r="Q160" s="18" t="n"/>
      <c r="R160" s="18" t="n"/>
      <c r="S160" s="18" t="n"/>
      <c r="T160" s="18" t="n"/>
      <c r="U160" s="18" t="inlineStr">
        <is>
          <t>资本品（设备/部件级材料，按天摊销）逐条见冻结清单；8条无数据未计入</t>
        </is>
      </c>
    </row>
    <row r="161">
      <c r="A161" s="18" t="inlineStr">
        <is>
          <t>FL-MCH-04E</t>
        </is>
      </c>
      <c r="B161" s="18" t="inlineStr">
        <is>
          <t>Edge</t>
        </is>
      </c>
      <c r="C161" s="18" t="n"/>
      <c r="D161" s="18" t="n"/>
      <c r="E161" s="18" t="n"/>
      <c r="F161" s="18" t="n"/>
      <c r="G161" s="18" t="n"/>
      <c r="H161" s="18" t="n"/>
      <c r="I161" s="18" t="inlineStr">
        <is>
          <t>否</t>
        </is>
      </c>
      <c r="J161" s="18" t="n"/>
      <c r="K161" s="18" t="n"/>
      <c r="L161" s="51">
        <f>IF(A161="","",IF(B161="Edge",IFERROR(IF(INDEX('模型流与公式'!$P$5:$P$204,MATCH(A161,'模型流与公式'!$A$5:$A$204,0))="","",INDEX('模型流与公式'!$P$5:$P$204,MATCH(A161,'模型流与公式'!$A$5:$A$204,0))),""),""))</f>
        <v/>
      </c>
      <c r="M161" s="18">
        <f>IF(A161="","",IF(B161="Edge",IFERROR(IF(INDEX('模型流与公式'!$Q$5:$Q$204,MATCH(A161,'模型流与公式'!$A$5:$A$204,0))="","",INDEX('模型流与公式'!$Q$5:$Q$204,MATCH(A161,'模型流与公式'!$A$5:$A$204,0))),""),""))</f>
        <v/>
      </c>
      <c r="N161" s="18" t="n"/>
      <c r="O161" s="18" t="n"/>
      <c r="P161" s="18" t="n"/>
      <c r="Q161" s="18" t="n"/>
      <c r="R161" s="18" t="n"/>
      <c r="S161" s="18" t="n"/>
      <c r="T161" s="18" t="n"/>
      <c r="U161" s="18" t="inlineStr">
        <is>
          <t>资本品（设备/部件级材料，按天摊销）逐条见冻结清单；8条无数据未计入</t>
        </is>
      </c>
    </row>
    <row r="162">
      <c r="A162" s="18" t="inlineStr">
        <is>
          <t>FL-MCH-04F</t>
        </is>
      </c>
      <c r="B162" s="18" t="inlineStr">
        <is>
          <t>Edge</t>
        </is>
      </c>
      <c r="C162" s="18" t="n"/>
      <c r="D162" s="18" t="n"/>
      <c r="E162" s="18" t="n"/>
      <c r="F162" s="18" t="n"/>
      <c r="G162" s="18" t="n"/>
      <c r="H162" s="18" t="n"/>
      <c r="I162" s="18" t="inlineStr">
        <is>
          <t>否</t>
        </is>
      </c>
      <c r="J162" s="18" t="n"/>
      <c r="K162" s="18" t="n"/>
      <c r="L162" s="51">
        <f>IF(A162="","",IF(B162="Edge",IFERROR(IF(INDEX('模型流与公式'!$P$5:$P$204,MATCH(A162,'模型流与公式'!$A$5:$A$204,0))="","",INDEX('模型流与公式'!$P$5:$P$204,MATCH(A162,'模型流与公式'!$A$5:$A$204,0))),""),""))</f>
        <v/>
      </c>
      <c r="M162" s="18">
        <f>IF(A162="","",IF(B162="Edge",IFERROR(IF(INDEX('模型流与公式'!$Q$5:$Q$204,MATCH(A162,'模型流与公式'!$A$5:$A$204,0))="","",INDEX('模型流与公式'!$Q$5:$Q$204,MATCH(A162,'模型流与公式'!$A$5:$A$204,0))),""),""))</f>
        <v/>
      </c>
      <c r="N162" s="18" t="n"/>
      <c r="O162" s="18" t="n"/>
      <c r="P162" s="18" t="n"/>
      <c r="Q162" s="18" t="n"/>
      <c r="R162" s="18" t="n"/>
      <c r="S162" s="18" t="n"/>
      <c r="T162" s="18" t="n"/>
      <c r="U162" s="18" t="inlineStr">
        <is>
          <t>资本品（设备/部件级材料，按天摊销）逐条见冻结清单；8条无数据未计入</t>
        </is>
      </c>
    </row>
    <row r="163">
      <c r="A163" s="18" t="inlineStr">
        <is>
          <t>FL-MCH-04G</t>
        </is>
      </c>
      <c r="B163" s="18" t="inlineStr">
        <is>
          <t>Edge</t>
        </is>
      </c>
      <c r="C163" s="18" t="n"/>
      <c r="D163" s="18" t="n"/>
      <c r="E163" s="18" t="n"/>
      <c r="F163" s="18" t="n"/>
      <c r="G163" s="18" t="n"/>
      <c r="H163" s="18" t="n"/>
      <c r="I163" s="18" t="inlineStr">
        <is>
          <t>否</t>
        </is>
      </c>
      <c r="J163" s="18" t="n"/>
      <c r="K163" s="18" t="n"/>
      <c r="L163" s="51">
        <f>IF(A163="","",IF(B163="Edge",IFERROR(IF(INDEX('模型流与公式'!$P$5:$P$204,MATCH(A163,'模型流与公式'!$A$5:$A$204,0))="","",INDEX('模型流与公式'!$P$5:$P$204,MATCH(A163,'模型流与公式'!$A$5:$A$204,0))),""),""))</f>
        <v/>
      </c>
      <c r="M163" s="18">
        <f>IF(A163="","",IF(B163="Edge",IFERROR(IF(INDEX('模型流与公式'!$Q$5:$Q$204,MATCH(A163,'模型流与公式'!$A$5:$A$204,0))="","",INDEX('模型流与公式'!$Q$5:$Q$204,MATCH(A163,'模型流与公式'!$A$5:$A$204,0))),""),""))</f>
        <v/>
      </c>
      <c r="N163" s="18" t="n"/>
      <c r="O163" s="18" t="n"/>
      <c r="P163" s="18" t="n"/>
      <c r="Q163" s="18" t="n"/>
      <c r="R163" s="18" t="n"/>
      <c r="S163" s="18" t="n"/>
      <c r="T163" s="18" t="n"/>
      <c r="U163" s="18" t="inlineStr">
        <is>
          <t>资本品（设备/部件级材料，按天摊销）逐条见冻结清单；8条无数据未计入</t>
        </is>
      </c>
    </row>
    <row r="164">
      <c r="A164" s="18" t="inlineStr">
        <is>
          <t>FL-MCH-04H</t>
        </is>
      </c>
      <c r="B164" s="18" t="inlineStr">
        <is>
          <t>Edge</t>
        </is>
      </c>
      <c r="C164" s="18" t="n"/>
      <c r="D164" s="18" t="n"/>
      <c r="E164" s="18" t="n"/>
      <c r="F164" s="18" t="n"/>
      <c r="G164" s="18" t="n"/>
      <c r="H164" s="18" t="n"/>
      <c r="I164" s="18" t="inlineStr">
        <is>
          <t>否</t>
        </is>
      </c>
      <c r="J164" s="18" t="n"/>
      <c r="K164" s="18" t="n"/>
      <c r="L164" s="51">
        <f>IF(A164="","",IF(B164="Edge",IFERROR(IF(INDEX('模型流与公式'!$P$5:$P$204,MATCH(A164,'模型流与公式'!$A$5:$A$204,0))="","",INDEX('模型流与公式'!$P$5:$P$204,MATCH(A164,'模型流与公式'!$A$5:$A$204,0))),""),""))</f>
        <v/>
      </c>
      <c r="M164" s="18">
        <f>IF(A164="","",IF(B164="Edge",IFERROR(IF(INDEX('模型流与公式'!$Q$5:$Q$204,MATCH(A164,'模型流与公式'!$A$5:$A$204,0))="","",INDEX('模型流与公式'!$Q$5:$Q$204,MATCH(A164,'模型流与公式'!$A$5:$A$204,0))),""),""))</f>
        <v/>
      </c>
      <c r="N164" s="18" t="n"/>
      <c r="O164" s="18" t="n"/>
      <c r="P164" s="18" t="n"/>
      <c r="Q164" s="18" t="n"/>
      <c r="R164" s="18" t="n"/>
      <c r="S164" s="18" t="n"/>
      <c r="T164" s="18" t="n"/>
      <c r="U164" s="18" t="inlineStr">
        <is>
          <t>资本品（设备/部件级材料，按天摊销）逐条见冻结清单；8条无数据未计入</t>
        </is>
      </c>
    </row>
    <row r="165">
      <c r="A165" s="18" t="inlineStr">
        <is>
          <t>FL-MCH-05A</t>
        </is>
      </c>
      <c r="B165" s="18" t="inlineStr">
        <is>
          <t>Edge</t>
        </is>
      </c>
      <c r="C165" s="18" t="n"/>
      <c r="D165" s="18" t="n"/>
      <c r="E165" s="18" t="n"/>
      <c r="F165" s="18" t="n"/>
      <c r="G165" s="18" t="n"/>
      <c r="H165" s="18" t="n"/>
      <c r="I165" s="18" t="inlineStr">
        <is>
          <t>否</t>
        </is>
      </c>
      <c r="J165" s="18" t="n"/>
      <c r="K165" s="18" t="n"/>
      <c r="L165" s="51">
        <f>IF(A165="","",IF(B165="Edge",IFERROR(IF(INDEX('模型流与公式'!$P$5:$P$204,MATCH(A165,'模型流与公式'!$A$5:$A$204,0))="","",INDEX('模型流与公式'!$P$5:$P$204,MATCH(A165,'模型流与公式'!$A$5:$A$204,0))),""),""))</f>
        <v/>
      </c>
      <c r="M165" s="18">
        <f>IF(A165="","",IF(B165="Edge",IFERROR(IF(INDEX('模型流与公式'!$Q$5:$Q$204,MATCH(A165,'模型流与公式'!$A$5:$A$204,0))="","",INDEX('模型流与公式'!$Q$5:$Q$204,MATCH(A165,'模型流与公式'!$A$5:$A$204,0))),""),""))</f>
        <v/>
      </c>
      <c r="N165" s="18" t="n"/>
      <c r="O165" s="18" t="n"/>
      <c r="P165" s="18" t="n"/>
      <c r="Q165" s="18" t="n"/>
      <c r="R165" s="18" t="n"/>
      <c r="S165" s="18" t="n"/>
      <c r="T165" s="18" t="n"/>
      <c r="U165" s="18" t="inlineStr">
        <is>
          <t>资本品（设备/部件级材料，按天摊销）逐条见冻结清单；8条无数据未计入</t>
        </is>
      </c>
    </row>
    <row r="166">
      <c r="A166" s="18" t="inlineStr">
        <is>
          <t>FL-MCH-05B</t>
        </is>
      </c>
      <c r="B166" s="18" t="inlineStr">
        <is>
          <t>Edge</t>
        </is>
      </c>
      <c r="C166" s="18" t="n"/>
      <c r="D166" s="18" t="n"/>
      <c r="E166" s="18" t="n"/>
      <c r="F166" s="18" t="n"/>
      <c r="G166" s="18" t="n"/>
      <c r="H166" s="18" t="n"/>
      <c r="I166" s="18" t="inlineStr">
        <is>
          <t>否</t>
        </is>
      </c>
      <c r="J166" s="18" t="n"/>
      <c r="K166" s="18" t="n"/>
      <c r="L166" s="51">
        <f>IF(A166="","",IF(B166="Edge",IFERROR(IF(INDEX('模型流与公式'!$P$5:$P$204,MATCH(A166,'模型流与公式'!$A$5:$A$204,0))="","",INDEX('模型流与公式'!$P$5:$P$204,MATCH(A166,'模型流与公式'!$A$5:$A$204,0))),""),""))</f>
        <v/>
      </c>
      <c r="M166" s="18">
        <f>IF(A166="","",IF(B166="Edge",IFERROR(IF(INDEX('模型流与公式'!$Q$5:$Q$204,MATCH(A166,'模型流与公式'!$A$5:$A$204,0))="","",INDEX('模型流与公式'!$Q$5:$Q$204,MATCH(A166,'模型流与公式'!$A$5:$A$204,0))),""),""))</f>
        <v/>
      </c>
      <c r="N166" s="18" t="n"/>
      <c r="O166" s="18" t="n"/>
      <c r="P166" s="18" t="n"/>
      <c r="Q166" s="18" t="n"/>
      <c r="R166" s="18" t="n"/>
      <c r="S166" s="18" t="n"/>
      <c r="T166" s="18" t="n"/>
      <c r="U166" s="18" t="inlineStr">
        <is>
          <t>资本品（设备/部件级材料，按天摊销）逐条见冻结清单；8条无数据未计入</t>
        </is>
      </c>
    </row>
    <row r="167">
      <c r="A167" s="18" t="inlineStr">
        <is>
          <t>FL-MCH-05C</t>
        </is>
      </c>
      <c r="B167" s="18" t="inlineStr">
        <is>
          <t>Edge</t>
        </is>
      </c>
      <c r="C167" s="18" t="n"/>
      <c r="D167" s="18" t="n"/>
      <c r="E167" s="18" t="n"/>
      <c r="F167" s="18" t="n"/>
      <c r="G167" s="18" t="n"/>
      <c r="H167" s="18" t="n"/>
      <c r="I167" s="18" t="inlineStr">
        <is>
          <t>否</t>
        </is>
      </c>
      <c r="J167" s="18" t="n"/>
      <c r="K167" s="18" t="n"/>
      <c r="L167" s="51">
        <f>IF(A167="","",IF(B167="Edge",IFERROR(IF(INDEX('模型流与公式'!$P$5:$P$204,MATCH(A167,'模型流与公式'!$A$5:$A$204,0))="","",INDEX('模型流与公式'!$P$5:$P$204,MATCH(A167,'模型流与公式'!$A$5:$A$204,0))),""),""))</f>
        <v/>
      </c>
      <c r="M167" s="18">
        <f>IF(A167="","",IF(B167="Edge",IFERROR(IF(INDEX('模型流与公式'!$Q$5:$Q$204,MATCH(A167,'模型流与公式'!$A$5:$A$204,0))="","",INDEX('模型流与公式'!$Q$5:$Q$204,MATCH(A167,'模型流与公式'!$A$5:$A$204,0))),""),""))</f>
        <v/>
      </c>
      <c r="N167" s="18" t="n"/>
      <c r="O167" s="18" t="n"/>
      <c r="P167" s="18" t="n"/>
      <c r="Q167" s="18" t="n"/>
      <c r="R167" s="18" t="n"/>
      <c r="S167" s="18" t="n"/>
      <c r="T167" s="18" t="n"/>
      <c r="U167" s="18" t="inlineStr">
        <is>
          <t>资本品（设备/部件级材料，按天摊销）逐条见冻结清单；8条无数据未计入</t>
        </is>
      </c>
    </row>
    <row r="168">
      <c r="A168" s="18" t="inlineStr">
        <is>
          <t>FL-MCH-05D</t>
        </is>
      </c>
      <c r="B168" s="18" t="inlineStr">
        <is>
          <t>Edge</t>
        </is>
      </c>
      <c r="C168" s="18" t="n"/>
      <c r="D168" s="18" t="n"/>
      <c r="E168" s="18" t="n"/>
      <c r="F168" s="18" t="n"/>
      <c r="G168" s="18" t="n"/>
      <c r="H168" s="18" t="n"/>
      <c r="I168" s="18" t="inlineStr">
        <is>
          <t>否</t>
        </is>
      </c>
      <c r="J168" s="18" t="n"/>
      <c r="K168" s="18" t="n"/>
      <c r="L168" s="51">
        <f>IF(A168="","",IF(B168="Edge",IFERROR(IF(INDEX('模型流与公式'!$P$5:$P$204,MATCH(A168,'模型流与公式'!$A$5:$A$204,0))="","",INDEX('模型流与公式'!$P$5:$P$204,MATCH(A168,'模型流与公式'!$A$5:$A$204,0))),""),""))</f>
        <v/>
      </c>
      <c r="M168" s="18">
        <f>IF(A168="","",IF(B168="Edge",IFERROR(IF(INDEX('模型流与公式'!$Q$5:$Q$204,MATCH(A168,'模型流与公式'!$A$5:$A$204,0))="","",INDEX('模型流与公式'!$Q$5:$Q$204,MATCH(A168,'模型流与公式'!$A$5:$A$204,0))),""),""))</f>
        <v/>
      </c>
      <c r="N168" s="18" t="n"/>
      <c r="O168" s="18" t="n"/>
      <c r="P168" s="18" t="n"/>
      <c r="Q168" s="18" t="n"/>
      <c r="R168" s="18" t="n"/>
      <c r="S168" s="18" t="n"/>
      <c r="T168" s="18" t="n"/>
      <c r="U168" s="18" t="inlineStr">
        <is>
          <t>资本品（设备/部件级材料，按天摊销）逐条见冻结清单；8条无数据未计入</t>
        </is>
      </c>
    </row>
    <row r="169">
      <c r="A169" s="18" t="inlineStr">
        <is>
          <t>FL-MCH-05E</t>
        </is>
      </c>
      <c r="B169" s="18" t="inlineStr">
        <is>
          <t>Edge</t>
        </is>
      </c>
      <c r="C169" s="18" t="n"/>
      <c r="D169" s="18" t="n"/>
      <c r="E169" s="18" t="n"/>
      <c r="F169" s="18" t="n"/>
      <c r="G169" s="18" t="n"/>
      <c r="H169" s="18" t="n"/>
      <c r="I169" s="18" t="inlineStr">
        <is>
          <t>否</t>
        </is>
      </c>
      <c r="J169" s="18" t="n"/>
      <c r="K169" s="18" t="n"/>
      <c r="L169" s="51">
        <f>IF(A169="","",IF(B169="Edge",IFERROR(IF(INDEX('模型流与公式'!$P$5:$P$204,MATCH(A169,'模型流与公式'!$A$5:$A$204,0))="","",INDEX('模型流与公式'!$P$5:$P$204,MATCH(A169,'模型流与公式'!$A$5:$A$204,0))),""),""))</f>
        <v/>
      </c>
      <c r="M169" s="18">
        <f>IF(A169="","",IF(B169="Edge",IFERROR(IF(INDEX('模型流与公式'!$Q$5:$Q$204,MATCH(A169,'模型流与公式'!$A$5:$A$204,0))="","",INDEX('模型流与公式'!$Q$5:$Q$204,MATCH(A169,'模型流与公式'!$A$5:$A$204,0))),""),""))</f>
        <v/>
      </c>
      <c r="N169" s="18" t="n"/>
      <c r="O169" s="18" t="n"/>
      <c r="P169" s="18" t="n"/>
      <c r="Q169" s="18" t="n"/>
      <c r="R169" s="18" t="n"/>
      <c r="S169" s="18" t="n"/>
      <c r="T169" s="18" t="n"/>
      <c r="U169" s="18" t="inlineStr">
        <is>
          <t>资本品（设备/部件级材料，按天摊销）逐条见冻结清单；8条无数据未计入</t>
        </is>
      </c>
    </row>
    <row r="170">
      <c r="A170" s="18" t="inlineStr">
        <is>
          <t>FL-MCH-05F</t>
        </is>
      </c>
      <c r="B170" s="18" t="inlineStr">
        <is>
          <t>Edge</t>
        </is>
      </c>
      <c r="C170" s="18" t="n"/>
      <c r="D170" s="18" t="n"/>
      <c r="E170" s="18" t="n"/>
      <c r="F170" s="18" t="n"/>
      <c r="G170" s="18" t="n"/>
      <c r="H170" s="18" t="n"/>
      <c r="I170" s="18" t="inlineStr">
        <is>
          <t>否</t>
        </is>
      </c>
      <c r="J170" s="18" t="n"/>
      <c r="K170" s="18" t="n"/>
      <c r="L170" s="51">
        <f>IF(A170="","",IF(B170="Edge",IFERROR(IF(INDEX('模型流与公式'!$P$5:$P$204,MATCH(A170,'模型流与公式'!$A$5:$A$204,0))="","",INDEX('模型流与公式'!$P$5:$P$204,MATCH(A170,'模型流与公式'!$A$5:$A$204,0))),""),""))</f>
        <v/>
      </c>
      <c r="M170" s="18">
        <f>IF(A170="","",IF(B170="Edge",IFERROR(IF(INDEX('模型流与公式'!$Q$5:$Q$204,MATCH(A170,'模型流与公式'!$A$5:$A$204,0))="","",INDEX('模型流与公式'!$Q$5:$Q$204,MATCH(A170,'模型流与公式'!$A$5:$A$204,0))),""),""))</f>
        <v/>
      </c>
      <c r="N170" s="18" t="n"/>
      <c r="O170" s="18" t="n"/>
      <c r="P170" s="18" t="n"/>
      <c r="Q170" s="18" t="n"/>
      <c r="R170" s="18" t="n"/>
      <c r="S170" s="18" t="n"/>
      <c r="T170" s="18" t="n"/>
      <c r="U170" s="18" t="inlineStr">
        <is>
          <t>资本品（设备/部件级材料，按天摊销）逐条见冻结清单；8条无数据未计入</t>
        </is>
      </c>
    </row>
    <row r="171">
      <c r="A171" s="18" t="inlineStr">
        <is>
          <t>FL-MCH-05G</t>
        </is>
      </c>
      <c r="B171" s="18" t="inlineStr">
        <is>
          <t>Edge</t>
        </is>
      </c>
      <c r="C171" s="18" t="n"/>
      <c r="D171" s="18" t="n"/>
      <c r="E171" s="18" t="n"/>
      <c r="F171" s="18" t="n"/>
      <c r="G171" s="18" t="n"/>
      <c r="H171" s="18" t="n"/>
      <c r="I171" s="18" t="inlineStr">
        <is>
          <t>否</t>
        </is>
      </c>
      <c r="J171" s="18" t="n"/>
      <c r="K171" s="18" t="n"/>
      <c r="L171" s="51">
        <f>IF(A171="","",IF(B171="Edge",IFERROR(IF(INDEX('模型流与公式'!$P$5:$P$204,MATCH(A171,'模型流与公式'!$A$5:$A$204,0))="","",INDEX('模型流与公式'!$P$5:$P$204,MATCH(A171,'模型流与公式'!$A$5:$A$204,0))),""),""))</f>
        <v/>
      </c>
      <c r="M171" s="18">
        <f>IF(A171="","",IF(B171="Edge",IFERROR(IF(INDEX('模型流与公式'!$Q$5:$Q$204,MATCH(A171,'模型流与公式'!$A$5:$A$204,0))="","",INDEX('模型流与公式'!$Q$5:$Q$204,MATCH(A171,'模型流与公式'!$A$5:$A$204,0))),""),""))</f>
        <v/>
      </c>
      <c r="N171" s="18" t="n"/>
      <c r="O171" s="18" t="n"/>
      <c r="P171" s="18" t="n"/>
      <c r="Q171" s="18" t="n"/>
      <c r="R171" s="18" t="n"/>
      <c r="S171" s="18" t="n"/>
      <c r="T171" s="18" t="n"/>
      <c r="U171" s="18" t="inlineStr">
        <is>
          <t>资本品（设备/部件级材料，按天摊销）逐条见冻结清单；8条无数据未计入</t>
        </is>
      </c>
    </row>
    <row r="172">
      <c r="A172" s="18" t="inlineStr">
        <is>
          <t>FL-MCH-05H</t>
        </is>
      </c>
      <c r="B172" s="18" t="inlineStr">
        <is>
          <t>Edge</t>
        </is>
      </c>
      <c r="C172" s="18" t="n"/>
      <c r="D172" s="18" t="n"/>
      <c r="E172" s="18" t="n"/>
      <c r="F172" s="18" t="n"/>
      <c r="G172" s="18" t="n"/>
      <c r="H172" s="18" t="n"/>
      <c r="I172" s="18" t="inlineStr">
        <is>
          <t>否</t>
        </is>
      </c>
      <c r="J172" s="18" t="n"/>
      <c r="K172" s="18" t="n"/>
      <c r="L172" s="51">
        <f>IF(A172="","",IF(B172="Edge",IFERROR(IF(INDEX('模型流与公式'!$P$5:$P$204,MATCH(A172,'模型流与公式'!$A$5:$A$204,0))="","",INDEX('模型流与公式'!$P$5:$P$204,MATCH(A172,'模型流与公式'!$A$5:$A$204,0))),""),""))</f>
        <v/>
      </c>
      <c r="M172" s="18">
        <f>IF(A172="","",IF(B172="Edge",IFERROR(IF(INDEX('模型流与公式'!$Q$5:$Q$204,MATCH(A172,'模型流与公式'!$A$5:$A$204,0))="","",INDEX('模型流与公式'!$Q$5:$Q$204,MATCH(A172,'模型流与公式'!$A$5:$A$204,0))),""),""))</f>
        <v/>
      </c>
      <c r="N172" s="18" t="n"/>
      <c r="O172" s="18" t="n"/>
      <c r="P172" s="18" t="n"/>
      <c r="Q172" s="18" t="n"/>
      <c r="R172" s="18" t="n"/>
      <c r="S172" s="18" t="n"/>
      <c r="T172" s="18" t="n"/>
      <c r="U172" s="18" t="inlineStr">
        <is>
          <t>资本品（设备/部件级材料，按天摊销）逐条见冻结清单；8条无数据未计入</t>
        </is>
      </c>
    </row>
    <row r="173">
      <c r="A173" s="18" t="inlineStr">
        <is>
          <t>FL-MCH-05I</t>
        </is>
      </c>
      <c r="B173" s="18" t="inlineStr">
        <is>
          <t>Edge</t>
        </is>
      </c>
      <c r="C173" s="18" t="n"/>
      <c r="D173" s="18" t="n"/>
      <c r="E173" s="18" t="n"/>
      <c r="F173" s="18" t="n"/>
      <c r="G173" s="18" t="n"/>
      <c r="H173" s="18" t="n"/>
      <c r="I173" s="18" t="inlineStr">
        <is>
          <t>否</t>
        </is>
      </c>
      <c r="J173" s="18" t="n"/>
      <c r="K173" s="18" t="n"/>
      <c r="L173" s="51">
        <f>IF(A173="","",IF(B173="Edge",IFERROR(IF(INDEX('模型流与公式'!$P$5:$P$204,MATCH(A173,'模型流与公式'!$A$5:$A$204,0))="","",INDEX('模型流与公式'!$P$5:$P$204,MATCH(A173,'模型流与公式'!$A$5:$A$204,0))),""),""))</f>
        <v/>
      </c>
      <c r="M173" s="18">
        <f>IF(A173="","",IF(B173="Edge",IFERROR(IF(INDEX('模型流与公式'!$Q$5:$Q$204,MATCH(A173,'模型流与公式'!$A$5:$A$204,0))="","",INDEX('模型流与公式'!$Q$5:$Q$204,MATCH(A173,'模型流与公式'!$A$5:$A$204,0))),""),""))</f>
        <v/>
      </c>
      <c r="N173" s="18" t="n"/>
      <c r="O173" s="18" t="n"/>
      <c r="P173" s="18" t="n"/>
      <c r="Q173" s="18" t="n"/>
      <c r="R173" s="18" t="n"/>
      <c r="S173" s="18" t="n"/>
      <c r="T173" s="18" t="n"/>
      <c r="U173" s="18" t="inlineStr">
        <is>
          <t>资本品（设备/部件级材料，按天摊销）逐条见冻结清单；8条无数据未计入</t>
        </is>
      </c>
    </row>
    <row r="174">
      <c r="A174" s="18" t="inlineStr">
        <is>
          <t>FL-MCH-05J</t>
        </is>
      </c>
      <c r="B174" s="18" t="inlineStr">
        <is>
          <t>Edge</t>
        </is>
      </c>
      <c r="C174" s="18" t="n"/>
      <c r="D174" s="18" t="n"/>
      <c r="E174" s="18" t="n"/>
      <c r="F174" s="18" t="n"/>
      <c r="G174" s="18" t="n"/>
      <c r="H174" s="18" t="n"/>
      <c r="I174" s="18" t="inlineStr">
        <is>
          <t>否</t>
        </is>
      </c>
      <c r="J174" s="18" t="n"/>
      <c r="K174" s="18" t="n"/>
      <c r="L174" s="51">
        <f>IF(A174="","",IF(B174="Edge",IFERROR(IF(INDEX('模型流与公式'!$P$5:$P$204,MATCH(A174,'模型流与公式'!$A$5:$A$204,0))="","",INDEX('模型流与公式'!$P$5:$P$204,MATCH(A174,'模型流与公式'!$A$5:$A$204,0))),""),""))</f>
        <v/>
      </c>
      <c r="M174" s="18">
        <f>IF(A174="","",IF(B174="Edge",IFERROR(IF(INDEX('模型流与公式'!$Q$5:$Q$204,MATCH(A174,'模型流与公式'!$A$5:$A$204,0))="","",INDEX('模型流与公式'!$Q$5:$Q$204,MATCH(A174,'模型流与公式'!$A$5:$A$204,0))),""),""))</f>
        <v/>
      </c>
      <c r="N174" s="18" t="n"/>
      <c r="O174" s="18" t="n"/>
      <c r="P174" s="18" t="n"/>
      <c r="Q174" s="18" t="n"/>
      <c r="R174" s="18" t="n"/>
      <c r="S174" s="18" t="n"/>
      <c r="T174" s="18" t="n"/>
      <c r="U174" s="18" t="inlineStr">
        <is>
          <t>资本品（设备/部件级材料，按天摊销）逐条见冻结清单；8条无数据未计入</t>
        </is>
      </c>
    </row>
    <row r="175">
      <c r="A175" s="18" t="inlineStr">
        <is>
          <t>FL-MCH-05K</t>
        </is>
      </c>
      <c r="B175" s="18" t="inlineStr">
        <is>
          <t>Edge</t>
        </is>
      </c>
      <c r="C175" s="18" t="n"/>
      <c r="D175" s="18" t="n"/>
      <c r="E175" s="18" t="n"/>
      <c r="F175" s="18" t="n"/>
      <c r="G175" s="18" t="n"/>
      <c r="H175" s="18" t="n"/>
      <c r="I175" s="18" t="inlineStr">
        <is>
          <t>否</t>
        </is>
      </c>
      <c r="J175" s="18" t="n"/>
      <c r="K175" s="18" t="n"/>
      <c r="L175" s="51">
        <f>IF(A175="","",IF(B175="Edge",IFERROR(IF(INDEX('模型流与公式'!$P$5:$P$204,MATCH(A175,'模型流与公式'!$A$5:$A$204,0))="","",INDEX('模型流与公式'!$P$5:$P$204,MATCH(A175,'模型流与公式'!$A$5:$A$204,0))),""),""))</f>
        <v/>
      </c>
      <c r="M175" s="18">
        <f>IF(A175="","",IF(B175="Edge",IFERROR(IF(INDEX('模型流与公式'!$Q$5:$Q$204,MATCH(A175,'模型流与公式'!$A$5:$A$204,0))="","",INDEX('模型流与公式'!$Q$5:$Q$204,MATCH(A175,'模型流与公式'!$A$5:$A$204,0))),""),""))</f>
        <v/>
      </c>
      <c r="N175" s="18" t="n"/>
      <c r="O175" s="18" t="n"/>
      <c r="P175" s="18" t="n"/>
      <c r="Q175" s="18" t="n"/>
      <c r="R175" s="18" t="n"/>
      <c r="S175" s="18" t="n"/>
      <c r="T175" s="18" t="n"/>
      <c r="U175" s="18" t="inlineStr">
        <is>
          <t>资本品（设备/部件级材料，按天摊销）逐条见冻结清单；8条无数据未计入</t>
        </is>
      </c>
    </row>
    <row r="176">
      <c r="A176" s="18" t="inlineStr">
        <is>
          <t>FL-MCH-05L</t>
        </is>
      </c>
      <c r="B176" s="18" t="inlineStr">
        <is>
          <t>Edge</t>
        </is>
      </c>
      <c r="C176" s="18" t="n"/>
      <c r="D176" s="18" t="n"/>
      <c r="E176" s="18" t="n"/>
      <c r="F176" s="18" t="n"/>
      <c r="G176" s="18" t="n"/>
      <c r="H176" s="18" t="n"/>
      <c r="I176" s="18" t="inlineStr">
        <is>
          <t>否</t>
        </is>
      </c>
      <c r="J176" s="18" t="n"/>
      <c r="K176" s="18" t="n"/>
      <c r="L176" s="51">
        <f>IF(A176="","",IF(B176="Edge",IFERROR(IF(INDEX('模型流与公式'!$P$5:$P$204,MATCH(A176,'模型流与公式'!$A$5:$A$204,0))="","",INDEX('模型流与公式'!$P$5:$P$204,MATCH(A176,'模型流与公式'!$A$5:$A$204,0))),""),""))</f>
        <v/>
      </c>
      <c r="M176" s="18">
        <f>IF(A176="","",IF(B176="Edge",IFERROR(IF(INDEX('模型流与公式'!$Q$5:$Q$204,MATCH(A176,'模型流与公式'!$A$5:$A$204,0))="","",INDEX('模型流与公式'!$Q$5:$Q$204,MATCH(A176,'模型流与公式'!$A$5:$A$204,0))),""),""))</f>
        <v/>
      </c>
      <c r="N176" s="18" t="n"/>
      <c r="O176" s="18" t="n"/>
      <c r="P176" s="18" t="n"/>
      <c r="Q176" s="18" t="n"/>
      <c r="R176" s="18" t="n"/>
      <c r="S176" s="18" t="n"/>
      <c r="T176" s="18" t="n"/>
      <c r="U176" s="18" t="inlineStr">
        <is>
          <t>资本品（设备/部件级材料，按天摊销）逐条见冻结清单；8条无数据未计入</t>
        </is>
      </c>
    </row>
    <row r="177">
      <c r="A177" s="18" t="inlineStr">
        <is>
          <t>FL-MCH-05M</t>
        </is>
      </c>
      <c r="B177" s="18" t="inlineStr">
        <is>
          <t>Edge</t>
        </is>
      </c>
      <c r="C177" s="18" t="n"/>
      <c r="D177" s="18" t="n"/>
      <c r="E177" s="18" t="n"/>
      <c r="F177" s="18" t="n"/>
      <c r="G177" s="18" t="n"/>
      <c r="H177" s="18" t="n"/>
      <c r="I177" s="18" t="inlineStr">
        <is>
          <t>否</t>
        </is>
      </c>
      <c r="J177" s="18" t="n"/>
      <c r="K177" s="18" t="n"/>
      <c r="L177" s="51">
        <f>IF(A177="","",IF(B177="Edge",IFERROR(IF(INDEX('模型流与公式'!$P$5:$P$204,MATCH(A177,'模型流与公式'!$A$5:$A$204,0))="","",INDEX('模型流与公式'!$P$5:$P$204,MATCH(A177,'模型流与公式'!$A$5:$A$204,0))),""),""))</f>
        <v/>
      </c>
      <c r="M177" s="18">
        <f>IF(A177="","",IF(B177="Edge",IFERROR(IF(INDEX('模型流与公式'!$Q$5:$Q$204,MATCH(A177,'模型流与公式'!$A$5:$A$204,0))="","",INDEX('模型流与公式'!$Q$5:$Q$204,MATCH(A177,'模型流与公式'!$A$5:$A$204,0))),""),""))</f>
        <v/>
      </c>
      <c r="N177" s="18" t="n"/>
      <c r="O177" s="18" t="n"/>
      <c r="P177" s="18" t="n"/>
      <c r="Q177" s="18" t="n"/>
      <c r="R177" s="18" t="n"/>
      <c r="S177" s="18" t="n"/>
      <c r="T177" s="18" t="n"/>
      <c r="U177" s="18" t="inlineStr">
        <is>
          <t>资本品（设备/部件级材料，按天摊销）逐条见冻结清单；8条无数据未计入</t>
        </is>
      </c>
    </row>
    <row r="178">
      <c r="A178" s="18" t="inlineStr">
        <is>
          <t>FL-MCH-06A</t>
        </is>
      </c>
      <c r="B178" s="18" t="inlineStr">
        <is>
          <t>Edge</t>
        </is>
      </c>
      <c r="C178" s="18" t="n"/>
      <c r="D178" s="18" t="n"/>
      <c r="E178" s="18" t="n"/>
      <c r="F178" s="18" t="n"/>
      <c r="G178" s="18" t="n"/>
      <c r="H178" s="18" t="n"/>
      <c r="I178" s="18" t="inlineStr">
        <is>
          <t>否</t>
        </is>
      </c>
      <c r="J178" s="18" t="n"/>
      <c r="K178" s="18" t="n"/>
      <c r="L178" s="51">
        <f>IF(A178="","",IF(B178="Edge",IFERROR(IF(INDEX('模型流与公式'!$P$5:$P$204,MATCH(A178,'模型流与公式'!$A$5:$A$204,0))="","",INDEX('模型流与公式'!$P$5:$P$204,MATCH(A178,'模型流与公式'!$A$5:$A$204,0))),""),""))</f>
        <v/>
      </c>
      <c r="M178" s="18">
        <f>IF(A178="","",IF(B178="Edge",IFERROR(IF(INDEX('模型流与公式'!$Q$5:$Q$204,MATCH(A178,'模型流与公式'!$A$5:$A$204,0))="","",INDEX('模型流与公式'!$Q$5:$Q$204,MATCH(A178,'模型流与公式'!$A$5:$A$204,0))),""),""))</f>
        <v/>
      </c>
      <c r="N178" s="18" t="n"/>
      <c r="O178" s="18" t="n"/>
      <c r="P178" s="18" t="n"/>
      <c r="Q178" s="18" t="n"/>
      <c r="R178" s="18" t="n"/>
      <c r="S178" s="18" t="n"/>
      <c r="T178" s="18" t="n"/>
      <c r="U178" s="18" t="inlineStr">
        <is>
          <t>资本品（设备/部件级材料，按天摊销）逐条见冻结清单；8条无数据未计入</t>
        </is>
      </c>
    </row>
    <row r="179">
      <c r="A179" s="18" t="inlineStr">
        <is>
          <t>FL-MCH-06B</t>
        </is>
      </c>
      <c r="B179" s="18" t="inlineStr">
        <is>
          <t>Edge</t>
        </is>
      </c>
      <c r="C179" s="18" t="n"/>
      <c r="D179" s="18" t="n"/>
      <c r="E179" s="18" t="n"/>
      <c r="F179" s="18" t="n"/>
      <c r="G179" s="18" t="n"/>
      <c r="H179" s="18" t="n"/>
      <c r="I179" s="18" t="inlineStr">
        <is>
          <t>否</t>
        </is>
      </c>
      <c r="J179" s="18" t="n"/>
      <c r="K179" s="18" t="n"/>
      <c r="L179" s="51">
        <f>IF(A179="","",IF(B179="Edge",IFERROR(IF(INDEX('模型流与公式'!$P$5:$P$204,MATCH(A179,'模型流与公式'!$A$5:$A$204,0))="","",INDEX('模型流与公式'!$P$5:$P$204,MATCH(A179,'模型流与公式'!$A$5:$A$204,0))),""),""))</f>
        <v/>
      </c>
      <c r="M179" s="18">
        <f>IF(A179="","",IF(B179="Edge",IFERROR(IF(INDEX('模型流与公式'!$Q$5:$Q$204,MATCH(A179,'模型流与公式'!$A$5:$A$204,0))="","",INDEX('模型流与公式'!$Q$5:$Q$204,MATCH(A179,'模型流与公式'!$A$5:$A$204,0))),""),""))</f>
        <v/>
      </c>
      <c r="N179" s="18" t="n"/>
      <c r="O179" s="18" t="n"/>
      <c r="P179" s="18" t="n"/>
      <c r="Q179" s="18" t="n"/>
      <c r="R179" s="18" t="n"/>
      <c r="S179" s="18" t="n"/>
      <c r="T179" s="18" t="n"/>
      <c r="U179" s="18" t="inlineStr">
        <is>
          <t>资本品（设备/部件级材料，按天摊销）逐条见冻结清单；8条无数据未计入</t>
        </is>
      </c>
    </row>
    <row r="180">
      <c r="A180" s="18" t="inlineStr">
        <is>
          <t>FL-MCH-06C</t>
        </is>
      </c>
      <c r="B180" s="18" t="inlineStr">
        <is>
          <t>Edge</t>
        </is>
      </c>
      <c r="C180" s="18" t="n"/>
      <c r="D180" s="18" t="n"/>
      <c r="E180" s="18" t="n"/>
      <c r="F180" s="18" t="n"/>
      <c r="G180" s="18" t="n"/>
      <c r="H180" s="18" t="n"/>
      <c r="I180" s="18" t="inlineStr">
        <is>
          <t>否</t>
        </is>
      </c>
      <c r="J180" s="18" t="n"/>
      <c r="K180" s="18" t="n"/>
      <c r="L180" s="51">
        <f>IF(A180="","",IF(B180="Edge",IFERROR(IF(INDEX('模型流与公式'!$P$5:$P$204,MATCH(A180,'模型流与公式'!$A$5:$A$204,0))="","",INDEX('模型流与公式'!$P$5:$P$204,MATCH(A180,'模型流与公式'!$A$5:$A$204,0))),""),""))</f>
        <v/>
      </c>
      <c r="M180" s="18">
        <f>IF(A180="","",IF(B180="Edge",IFERROR(IF(INDEX('模型流与公式'!$Q$5:$Q$204,MATCH(A180,'模型流与公式'!$A$5:$A$204,0))="","",INDEX('模型流与公式'!$Q$5:$Q$204,MATCH(A180,'模型流与公式'!$A$5:$A$204,0))),""),""))</f>
        <v/>
      </c>
      <c r="N180" s="18" t="n"/>
      <c r="O180" s="18" t="n"/>
      <c r="P180" s="18" t="n"/>
      <c r="Q180" s="18" t="n"/>
      <c r="R180" s="18" t="n"/>
      <c r="S180" s="18" t="n"/>
      <c r="T180" s="18" t="n"/>
      <c r="U180" s="18" t="inlineStr">
        <is>
          <t>资本品（设备/部件级材料，按天摊销）逐条见冻结清单；8条无数据未计入</t>
        </is>
      </c>
    </row>
    <row r="181">
      <c r="A181" s="18" t="inlineStr">
        <is>
          <t>FL-MCH-06D</t>
        </is>
      </c>
      <c r="B181" s="18" t="inlineStr">
        <is>
          <t>Edge</t>
        </is>
      </c>
      <c r="C181" s="18" t="n"/>
      <c r="D181" s="18" t="n"/>
      <c r="E181" s="18" t="n"/>
      <c r="F181" s="18" t="n"/>
      <c r="G181" s="18" t="n"/>
      <c r="H181" s="18" t="n"/>
      <c r="I181" s="18" t="inlineStr">
        <is>
          <t>否</t>
        </is>
      </c>
      <c r="J181" s="18" t="n"/>
      <c r="K181" s="18" t="n"/>
      <c r="L181" s="51">
        <f>IF(A181="","",IF(B181="Edge",IFERROR(IF(INDEX('模型流与公式'!$P$5:$P$204,MATCH(A181,'模型流与公式'!$A$5:$A$204,0))="","",INDEX('模型流与公式'!$P$5:$P$204,MATCH(A181,'模型流与公式'!$A$5:$A$204,0))),""),""))</f>
        <v/>
      </c>
      <c r="M181" s="18">
        <f>IF(A181="","",IF(B181="Edge",IFERROR(IF(INDEX('模型流与公式'!$Q$5:$Q$204,MATCH(A181,'模型流与公式'!$A$5:$A$204,0))="","",INDEX('模型流与公式'!$Q$5:$Q$204,MATCH(A181,'模型流与公式'!$A$5:$A$204,0))),""),""))</f>
        <v/>
      </c>
      <c r="N181" s="18" t="n"/>
      <c r="O181" s="18" t="n"/>
      <c r="P181" s="18" t="n"/>
      <c r="Q181" s="18" t="n"/>
      <c r="R181" s="18" t="n"/>
      <c r="S181" s="18" t="n"/>
      <c r="T181" s="18" t="n"/>
      <c r="U181" s="18" t="inlineStr">
        <is>
          <t>资本品（设备/部件级材料，按天摊销）逐条见冻结清单；8条无数据未计入</t>
        </is>
      </c>
    </row>
    <row r="182">
      <c r="A182" s="18" t="inlineStr">
        <is>
          <t>FL-MCH-06E</t>
        </is>
      </c>
      <c r="B182" s="18" t="inlineStr">
        <is>
          <t>Edge</t>
        </is>
      </c>
      <c r="C182" s="18" t="n"/>
      <c r="D182" s="18" t="n"/>
      <c r="E182" s="18" t="n"/>
      <c r="F182" s="18" t="n"/>
      <c r="G182" s="18" t="n"/>
      <c r="H182" s="18" t="n"/>
      <c r="I182" s="18" t="inlineStr">
        <is>
          <t>否</t>
        </is>
      </c>
      <c r="J182" s="18" t="n"/>
      <c r="K182" s="18" t="n"/>
      <c r="L182" s="51">
        <f>IF(A182="","",IF(B182="Edge",IFERROR(IF(INDEX('模型流与公式'!$P$5:$P$204,MATCH(A182,'模型流与公式'!$A$5:$A$204,0))="","",INDEX('模型流与公式'!$P$5:$P$204,MATCH(A182,'模型流与公式'!$A$5:$A$204,0))),""),""))</f>
        <v/>
      </c>
      <c r="M182" s="18">
        <f>IF(A182="","",IF(B182="Edge",IFERROR(IF(INDEX('模型流与公式'!$Q$5:$Q$204,MATCH(A182,'模型流与公式'!$A$5:$A$204,0))="","",INDEX('模型流与公式'!$Q$5:$Q$204,MATCH(A182,'模型流与公式'!$A$5:$A$204,0))),""),""))</f>
        <v/>
      </c>
      <c r="N182" s="18" t="n"/>
      <c r="O182" s="18" t="n"/>
      <c r="P182" s="18" t="n"/>
      <c r="Q182" s="18" t="n"/>
      <c r="R182" s="18" t="n"/>
      <c r="S182" s="18" t="n"/>
      <c r="T182" s="18" t="n"/>
      <c r="U182" s="18" t="inlineStr">
        <is>
          <t>资本品（设备/部件级材料，按天摊销）逐条见冻结清单；8条无数据未计入</t>
        </is>
      </c>
    </row>
    <row r="183">
      <c r="A183" s="18" t="inlineStr">
        <is>
          <t>FL-MCH-07A</t>
        </is>
      </c>
      <c r="B183" s="18" t="inlineStr">
        <is>
          <t>Edge</t>
        </is>
      </c>
      <c r="C183" s="18" t="n"/>
      <c r="D183" s="18" t="n"/>
      <c r="E183" s="18" t="n"/>
      <c r="F183" s="18" t="n"/>
      <c r="G183" s="18" t="n"/>
      <c r="H183" s="18" t="n"/>
      <c r="I183" s="18" t="inlineStr">
        <is>
          <t>否</t>
        </is>
      </c>
      <c r="J183" s="18" t="n"/>
      <c r="K183" s="18" t="n"/>
      <c r="L183" s="51">
        <f>IF(A183="","",IF(B183="Edge",IFERROR(IF(INDEX('模型流与公式'!$P$5:$P$204,MATCH(A183,'模型流与公式'!$A$5:$A$204,0))="","",INDEX('模型流与公式'!$P$5:$P$204,MATCH(A183,'模型流与公式'!$A$5:$A$204,0))),""),""))</f>
        <v/>
      </c>
      <c r="M183" s="18">
        <f>IF(A183="","",IF(B183="Edge",IFERROR(IF(INDEX('模型流与公式'!$Q$5:$Q$204,MATCH(A183,'模型流与公式'!$A$5:$A$204,0))="","",INDEX('模型流与公式'!$Q$5:$Q$204,MATCH(A183,'模型流与公式'!$A$5:$A$204,0))),""),""))</f>
        <v/>
      </c>
      <c r="N183" s="18" t="n"/>
      <c r="O183" s="18" t="n"/>
      <c r="P183" s="18" t="n"/>
      <c r="Q183" s="18" t="n"/>
      <c r="R183" s="18" t="n"/>
      <c r="S183" s="18" t="n"/>
      <c r="T183" s="18" t="n"/>
      <c r="U183" s="18" t="inlineStr">
        <is>
          <t>资本品（设备/部件级材料，按天摊销）逐条见冻结清单；8条无数据未计入</t>
        </is>
      </c>
    </row>
    <row r="184">
      <c r="A184" s="18" t="inlineStr">
        <is>
          <t>FL-MCH-07B</t>
        </is>
      </c>
      <c r="B184" s="18" t="inlineStr">
        <is>
          <t>Edge</t>
        </is>
      </c>
      <c r="C184" s="18" t="n"/>
      <c r="D184" s="18" t="n"/>
      <c r="E184" s="18" t="n"/>
      <c r="F184" s="18" t="n"/>
      <c r="G184" s="18" t="n"/>
      <c r="H184" s="18" t="n"/>
      <c r="I184" s="18" t="inlineStr">
        <is>
          <t>否</t>
        </is>
      </c>
      <c r="J184" s="18" t="n"/>
      <c r="K184" s="18" t="n"/>
      <c r="L184" s="51">
        <f>IF(A184="","",IF(B184="Edge",IFERROR(IF(INDEX('模型流与公式'!$P$5:$P$204,MATCH(A184,'模型流与公式'!$A$5:$A$204,0))="","",INDEX('模型流与公式'!$P$5:$P$204,MATCH(A184,'模型流与公式'!$A$5:$A$204,0))),""),""))</f>
        <v/>
      </c>
      <c r="M184" s="18">
        <f>IF(A184="","",IF(B184="Edge",IFERROR(IF(INDEX('模型流与公式'!$Q$5:$Q$204,MATCH(A184,'模型流与公式'!$A$5:$A$204,0))="","",INDEX('模型流与公式'!$Q$5:$Q$204,MATCH(A184,'模型流与公式'!$A$5:$A$204,0))),""),""))</f>
        <v/>
      </c>
      <c r="N184" s="18" t="n"/>
      <c r="O184" s="18" t="n"/>
      <c r="P184" s="18" t="n"/>
      <c r="Q184" s="18" t="n"/>
      <c r="R184" s="18" t="n"/>
      <c r="S184" s="18" t="n"/>
      <c r="T184" s="18" t="n"/>
      <c r="U184" s="18" t="inlineStr">
        <is>
          <t>资本品（设备/部件级材料，按天摊销）逐条见冻结清单；8条无数据未计入</t>
        </is>
      </c>
    </row>
    <row r="185">
      <c r="A185" s="18" t="inlineStr">
        <is>
          <t>FL-MCH-07C</t>
        </is>
      </c>
      <c r="B185" s="18" t="inlineStr">
        <is>
          <t>Edge</t>
        </is>
      </c>
      <c r="C185" s="18" t="n"/>
      <c r="D185" s="18" t="n"/>
      <c r="E185" s="18" t="n"/>
      <c r="F185" s="18" t="n"/>
      <c r="G185" s="18" t="n"/>
      <c r="H185" s="18" t="n"/>
      <c r="I185" s="18" t="inlineStr">
        <is>
          <t>否</t>
        </is>
      </c>
      <c r="J185" s="18" t="n"/>
      <c r="K185" s="18" t="n"/>
      <c r="L185" s="51">
        <f>IF(A185="","",IF(B185="Edge",IFERROR(IF(INDEX('模型流与公式'!$P$5:$P$204,MATCH(A185,'模型流与公式'!$A$5:$A$204,0))="","",INDEX('模型流与公式'!$P$5:$P$204,MATCH(A185,'模型流与公式'!$A$5:$A$204,0))),""),""))</f>
        <v/>
      </c>
      <c r="M185" s="18">
        <f>IF(A185="","",IF(B185="Edge",IFERROR(IF(INDEX('模型流与公式'!$Q$5:$Q$204,MATCH(A185,'模型流与公式'!$A$5:$A$204,0))="","",INDEX('模型流与公式'!$Q$5:$Q$204,MATCH(A185,'模型流与公式'!$A$5:$A$204,0))),""),""))</f>
        <v/>
      </c>
      <c r="N185" s="18" t="n"/>
      <c r="O185" s="18" t="n"/>
      <c r="P185" s="18" t="n"/>
      <c r="Q185" s="18" t="n"/>
      <c r="R185" s="18" t="n"/>
      <c r="S185" s="18" t="n"/>
      <c r="T185" s="18" t="n"/>
      <c r="U185" s="18" t="inlineStr">
        <is>
          <t>资本品（设备/部件级材料，按天摊销）逐条见冻结清单；8条无数据未计入</t>
        </is>
      </c>
    </row>
    <row r="186">
      <c r="A186" s="18" t="inlineStr">
        <is>
          <t>FL-MCH-07D</t>
        </is>
      </c>
      <c r="B186" s="18" t="inlineStr">
        <is>
          <t>Edge</t>
        </is>
      </c>
      <c r="C186" s="18" t="n"/>
      <c r="D186" s="18" t="n"/>
      <c r="E186" s="18" t="n"/>
      <c r="F186" s="18" t="n"/>
      <c r="G186" s="18" t="n"/>
      <c r="H186" s="18" t="n"/>
      <c r="I186" s="18" t="inlineStr">
        <is>
          <t>否</t>
        </is>
      </c>
      <c r="J186" s="18" t="n"/>
      <c r="K186" s="18" t="n"/>
      <c r="L186" s="51">
        <f>IF(A186="","",IF(B186="Edge",IFERROR(IF(INDEX('模型流与公式'!$P$5:$P$204,MATCH(A186,'模型流与公式'!$A$5:$A$204,0))="","",INDEX('模型流与公式'!$P$5:$P$204,MATCH(A186,'模型流与公式'!$A$5:$A$204,0))),""),""))</f>
        <v/>
      </c>
      <c r="M186" s="18">
        <f>IF(A186="","",IF(B186="Edge",IFERROR(IF(INDEX('模型流与公式'!$Q$5:$Q$204,MATCH(A186,'模型流与公式'!$A$5:$A$204,0))="","",INDEX('模型流与公式'!$Q$5:$Q$204,MATCH(A186,'模型流与公式'!$A$5:$A$204,0))),""),""))</f>
        <v/>
      </c>
      <c r="N186" s="18" t="n"/>
      <c r="O186" s="18" t="n"/>
      <c r="P186" s="18" t="n"/>
      <c r="Q186" s="18" t="n"/>
      <c r="R186" s="18" t="n"/>
      <c r="S186" s="18" t="n"/>
      <c r="T186" s="18" t="n"/>
      <c r="U186" s="18" t="inlineStr">
        <is>
          <t>资本品（设备/部件级材料，按天摊销）逐条见冻结清单；8条无数据未计入</t>
        </is>
      </c>
    </row>
    <row r="187">
      <c r="A187" s="18" t="inlineStr">
        <is>
          <t>FL-MCH-08A</t>
        </is>
      </c>
      <c r="B187" s="18" t="inlineStr">
        <is>
          <t>Edge</t>
        </is>
      </c>
      <c r="C187" s="18" t="n"/>
      <c r="D187" s="18" t="n"/>
      <c r="E187" s="18" t="n"/>
      <c r="F187" s="18" t="n"/>
      <c r="G187" s="18" t="n"/>
      <c r="H187" s="18" t="n"/>
      <c r="I187" s="18" t="inlineStr">
        <is>
          <t>否</t>
        </is>
      </c>
      <c r="J187" s="18" t="n"/>
      <c r="K187" s="18" t="n"/>
      <c r="L187" s="51">
        <f>IF(A187="","",IF(B187="Edge",IFERROR(IF(INDEX('模型流与公式'!$P$5:$P$204,MATCH(A187,'模型流与公式'!$A$5:$A$204,0))="","",INDEX('模型流与公式'!$P$5:$P$204,MATCH(A187,'模型流与公式'!$A$5:$A$204,0))),""),""))</f>
        <v/>
      </c>
      <c r="M187" s="18">
        <f>IF(A187="","",IF(B187="Edge",IFERROR(IF(INDEX('模型流与公式'!$Q$5:$Q$204,MATCH(A187,'模型流与公式'!$A$5:$A$204,0))="","",INDEX('模型流与公式'!$Q$5:$Q$204,MATCH(A187,'模型流与公式'!$A$5:$A$204,0))),""),""))</f>
        <v/>
      </c>
      <c r="N187" s="18" t="n"/>
      <c r="O187" s="18" t="n"/>
      <c r="P187" s="18" t="n"/>
      <c r="Q187" s="18" t="n"/>
      <c r="R187" s="18" t="n"/>
      <c r="S187" s="18" t="n"/>
      <c r="T187" s="18" t="n"/>
      <c r="U187" s="18" t="inlineStr">
        <is>
          <t>资本品（设备/部件级材料，按天摊销）逐条见冻结清单；8条无数据未计入</t>
        </is>
      </c>
    </row>
    <row r="188">
      <c r="A188" s="18" t="inlineStr">
        <is>
          <t>FL-MCH-08B</t>
        </is>
      </c>
      <c r="B188" s="18" t="inlineStr">
        <is>
          <t>Edge</t>
        </is>
      </c>
      <c r="C188" s="18" t="n"/>
      <c r="D188" s="18" t="n"/>
      <c r="E188" s="18" t="n"/>
      <c r="F188" s="18" t="n"/>
      <c r="G188" s="18" t="n"/>
      <c r="H188" s="18" t="n"/>
      <c r="I188" s="18" t="inlineStr">
        <is>
          <t>否</t>
        </is>
      </c>
      <c r="J188" s="18" t="n"/>
      <c r="K188" s="18" t="n"/>
      <c r="L188" s="51">
        <f>IF(A188="","",IF(B188="Edge",IFERROR(IF(INDEX('模型流与公式'!$P$5:$P$204,MATCH(A188,'模型流与公式'!$A$5:$A$204,0))="","",INDEX('模型流与公式'!$P$5:$P$204,MATCH(A188,'模型流与公式'!$A$5:$A$204,0))),""),""))</f>
        <v/>
      </c>
      <c r="M188" s="18">
        <f>IF(A188="","",IF(B188="Edge",IFERROR(IF(INDEX('模型流与公式'!$Q$5:$Q$204,MATCH(A188,'模型流与公式'!$A$5:$A$204,0))="","",INDEX('模型流与公式'!$Q$5:$Q$204,MATCH(A188,'模型流与公式'!$A$5:$A$204,0))),""),""))</f>
        <v/>
      </c>
      <c r="N188" s="18" t="n"/>
      <c r="O188" s="18" t="n"/>
      <c r="P188" s="18" t="n"/>
      <c r="Q188" s="18" t="n"/>
      <c r="R188" s="18" t="n"/>
      <c r="S188" s="18" t="n"/>
      <c r="T188" s="18" t="n"/>
      <c r="U188" s="18" t="inlineStr">
        <is>
          <t>资本品（设备/部件级材料，按天摊销）逐条见冻结清单；8条无数据未计入</t>
        </is>
      </c>
    </row>
    <row r="189">
      <c r="A189" s="18" t="inlineStr">
        <is>
          <t>FL-MCH-08C</t>
        </is>
      </c>
      <c r="B189" s="18" t="inlineStr">
        <is>
          <t>Edge</t>
        </is>
      </c>
      <c r="C189" s="18" t="n"/>
      <c r="D189" s="18" t="n"/>
      <c r="E189" s="18" t="n"/>
      <c r="F189" s="18" t="n"/>
      <c r="G189" s="18" t="n"/>
      <c r="H189" s="18" t="n"/>
      <c r="I189" s="18" t="inlineStr">
        <is>
          <t>否</t>
        </is>
      </c>
      <c r="J189" s="18" t="n"/>
      <c r="K189" s="18" t="n"/>
      <c r="L189" s="51">
        <f>IF(A189="","",IF(B189="Edge",IFERROR(IF(INDEX('模型流与公式'!$P$5:$P$204,MATCH(A189,'模型流与公式'!$A$5:$A$204,0))="","",INDEX('模型流与公式'!$P$5:$P$204,MATCH(A189,'模型流与公式'!$A$5:$A$204,0))),""),""))</f>
        <v/>
      </c>
      <c r="M189" s="18">
        <f>IF(A189="","",IF(B189="Edge",IFERROR(IF(INDEX('模型流与公式'!$Q$5:$Q$204,MATCH(A189,'模型流与公式'!$A$5:$A$204,0))="","",INDEX('模型流与公式'!$Q$5:$Q$204,MATCH(A189,'模型流与公式'!$A$5:$A$204,0))),""),""))</f>
        <v/>
      </c>
      <c r="N189" s="18" t="n"/>
      <c r="O189" s="18" t="n"/>
      <c r="P189" s="18" t="n"/>
      <c r="Q189" s="18" t="n"/>
      <c r="R189" s="18" t="n"/>
      <c r="S189" s="18" t="n"/>
      <c r="T189" s="18" t="n"/>
      <c r="U189" s="18" t="inlineStr">
        <is>
          <t>资本品（设备/部件级材料，按天摊销）逐条见冻结清单；8条无数据未计入</t>
        </is>
      </c>
    </row>
    <row r="190">
      <c r="A190" s="18" t="inlineStr">
        <is>
          <t>FL-MCH-08D</t>
        </is>
      </c>
      <c r="B190" s="18" t="inlineStr">
        <is>
          <t>Edge</t>
        </is>
      </c>
      <c r="C190" s="18" t="n"/>
      <c r="D190" s="18" t="n"/>
      <c r="E190" s="18" t="n"/>
      <c r="F190" s="18" t="n"/>
      <c r="G190" s="18" t="n"/>
      <c r="H190" s="18" t="n"/>
      <c r="I190" s="18" t="inlineStr">
        <is>
          <t>否</t>
        </is>
      </c>
      <c r="J190" s="18" t="n"/>
      <c r="K190" s="18" t="n"/>
      <c r="L190" s="51">
        <f>IF(A190="","",IF(B190="Edge",IFERROR(IF(INDEX('模型流与公式'!$P$5:$P$204,MATCH(A190,'模型流与公式'!$A$5:$A$204,0))="","",INDEX('模型流与公式'!$P$5:$P$204,MATCH(A190,'模型流与公式'!$A$5:$A$204,0))),""),""))</f>
        <v/>
      </c>
      <c r="M190" s="18">
        <f>IF(A190="","",IF(B190="Edge",IFERROR(IF(INDEX('模型流与公式'!$Q$5:$Q$204,MATCH(A190,'模型流与公式'!$A$5:$A$204,0))="","",INDEX('模型流与公式'!$Q$5:$Q$204,MATCH(A190,'模型流与公式'!$A$5:$A$204,0))),""),""))</f>
        <v/>
      </c>
      <c r="N190" s="18" t="n"/>
      <c r="O190" s="18" t="n"/>
      <c r="P190" s="18" t="n"/>
      <c r="Q190" s="18" t="n"/>
      <c r="R190" s="18" t="n"/>
      <c r="S190" s="18" t="n"/>
      <c r="T190" s="18" t="n"/>
      <c r="U190" s="18" t="inlineStr">
        <is>
          <t>资本品（设备/部件级材料，按天摊销）逐条见冻结清单；8条无数据未计入</t>
        </is>
      </c>
    </row>
    <row r="191">
      <c r="A191" s="18" t="inlineStr">
        <is>
          <t>FL-MCH-08E</t>
        </is>
      </c>
      <c r="B191" s="18" t="inlineStr">
        <is>
          <t>Edge</t>
        </is>
      </c>
      <c r="C191" s="18" t="n"/>
      <c r="D191" s="18" t="n"/>
      <c r="E191" s="18" t="n"/>
      <c r="F191" s="18" t="n"/>
      <c r="G191" s="18" t="n"/>
      <c r="H191" s="18" t="n"/>
      <c r="I191" s="18" t="inlineStr">
        <is>
          <t>否</t>
        </is>
      </c>
      <c r="J191" s="18" t="n"/>
      <c r="K191" s="18" t="n"/>
      <c r="L191" s="51">
        <f>IF(A191="","",IF(B191="Edge",IFERROR(IF(INDEX('模型流与公式'!$P$5:$P$204,MATCH(A191,'模型流与公式'!$A$5:$A$204,0))="","",INDEX('模型流与公式'!$P$5:$P$204,MATCH(A191,'模型流与公式'!$A$5:$A$204,0))),""),""))</f>
        <v/>
      </c>
      <c r="M191" s="18">
        <f>IF(A191="","",IF(B191="Edge",IFERROR(IF(INDEX('模型流与公式'!$Q$5:$Q$204,MATCH(A191,'模型流与公式'!$A$5:$A$204,0))="","",INDEX('模型流与公式'!$Q$5:$Q$204,MATCH(A191,'模型流与公式'!$A$5:$A$204,0))),""),""))</f>
        <v/>
      </c>
      <c r="N191" s="18" t="n"/>
      <c r="O191" s="18" t="n"/>
      <c r="P191" s="18" t="n"/>
      <c r="Q191" s="18" t="n"/>
      <c r="R191" s="18" t="n"/>
      <c r="S191" s="18" t="n"/>
      <c r="T191" s="18" t="n"/>
      <c r="U191" s="18" t="inlineStr">
        <is>
          <t>资本品（设备/部件级材料，按天摊销）逐条见冻结清单；8条无数据未计入</t>
        </is>
      </c>
    </row>
    <row r="192">
      <c r="A192" s="18" t="inlineStr">
        <is>
          <t>FL-MCH-08F</t>
        </is>
      </c>
      <c r="B192" s="18" t="inlineStr">
        <is>
          <t>Edge</t>
        </is>
      </c>
      <c r="C192" s="18" t="n"/>
      <c r="D192" s="18" t="n"/>
      <c r="E192" s="18" t="n"/>
      <c r="F192" s="18" t="n"/>
      <c r="G192" s="18" t="n"/>
      <c r="H192" s="18" t="n"/>
      <c r="I192" s="18" t="inlineStr">
        <is>
          <t>否</t>
        </is>
      </c>
      <c r="J192" s="18" t="n"/>
      <c r="K192" s="18" t="n"/>
      <c r="L192" s="51">
        <f>IF(A192="","",IF(B192="Edge",IFERROR(IF(INDEX('模型流与公式'!$P$5:$P$204,MATCH(A192,'模型流与公式'!$A$5:$A$204,0))="","",INDEX('模型流与公式'!$P$5:$P$204,MATCH(A192,'模型流与公式'!$A$5:$A$204,0))),""),""))</f>
        <v/>
      </c>
      <c r="M192" s="18">
        <f>IF(A192="","",IF(B192="Edge",IFERROR(IF(INDEX('模型流与公式'!$Q$5:$Q$204,MATCH(A192,'模型流与公式'!$A$5:$A$204,0))="","",INDEX('模型流与公式'!$Q$5:$Q$204,MATCH(A192,'模型流与公式'!$A$5:$A$204,0))),""),""))</f>
        <v/>
      </c>
      <c r="N192" s="18" t="n"/>
      <c r="O192" s="18" t="n"/>
      <c r="P192" s="18" t="n"/>
      <c r="Q192" s="18" t="n"/>
      <c r="R192" s="18" t="n"/>
      <c r="S192" s="18" t="n"/>
      <c r="T192" s="18" t="n"/>
      <c r="U192" s="18" t="inlineStr">
        <is>
          <t>资本品（设备/部件级材料，按天摊销）逐条见冻结清单；8条无数据未计入</t>
        </is>
      </c>
    </row>
    <row r="193">
      <c r="A193" s="18" t="inlineStr">
        <is>
          <t>FL-MCH-08G</t>
        </is>
      </c>
      <c r="B193" s="18" t="inlineStr">
        <is>
          <t>Edge</t>
        </is>
      </c>
      <c r="C193" s="18" t="n"/>
      <c r="D193" s="18" t="n"/>
      <c r="E193" s="18" t="n"/>
      <c r="F193" s="18" t="n"/>
      <c r="G193" s="18" t="n"/>
      <c r="H193" s="18" t="n"/>
      <c r="I193" s="18" t="inlineStr">
        <is>
          <t>否</t>
        </is>
      </c>
      <c r="J193" s="18" t="n"/>
      <c r="K193" s="18" t="n"/>
      <c r="L193" s="51">
        <f>IF(A193="","",IF(B193="Edge",IFERROR(IF(INDEX('模型流与公式'!$P$5:$P$204,MATCH(A193,'模型流与公式'!$A$5:$A$204,0))="","",INDEX('模型流与公式'!$P$5:$P$204,MATCH(A193,'模型流与公式'!$A$5:$A$204,0))),""),""))</f>
        <v/>
      </c>
      <c r="M193" s="18">
        <f>IF(A193="","",IF(B193="Edge",IFERROR(IF(INDEX('模型流与公式'!$Q$5:$Q$204,MATCH(A193,'模型流与公式'!$A$5:$A$204,0))="","",INDEX('模型流与公式'!$Q$5:$Q$204,MATCH(A193,'模型流与公式'!$A$5:$A$204,0))),""),""))</f>
        <v/>
      </c>
      <c r="N193" s="18" t="n"/>
      <c r="O193" s="18" t="n"/>
      <c r="P193" s="18" t="n"/>
      <c r="Q193" s="18" t="n"/>
      <c r="R193" s="18" t="n"/>
      <c r="S193" s="18" t="n"/>
      <c r="T193" s="18" t="n"/>
      <c r="U193" s="18" t="inlineStr">
        <is>
          <t>资本品（设备/部件级材料，按天摊销）逐条见冻结清单；8条无数据未计入</t>
        </is>
      </c>
    </row>
    <row r="194">
      <c r="A194" s="18" t="inlineStr">
        <is>
          <t>FL-MCH-08H</t>
        </is>
      </c>
      <c r="B194" s="18" t="inlineStr">
        <is>
          <t>Edge</t>
        </is>
      </c>
      <c r="C194" s="18" t="n"/>
      <c r="D194" s="18" t="n"/>
      <c r="E194" s="18" t="n"/>
      <c r="F194" s="18" t="n"/>
      <c r="G194" s="18" t="n"/>
      <c r="H194" s="18" t="n"/>
      <c r="I194" s="18" t="inlineStr">
        <is>
          <t>否</t>
        </is>
      </c>
      <c r="J194" s="18" t="n"/>
      <c r="K194" s="18" t="n"/>
      <c r="L194" s="51">
        <f>IF(A194="","",IF(B194="Edge",IFERROR(IF(INDEX('模型流与公式'!$P$5:$P$204,MATCH(A194,'模型流与公式'!$A$5:$A$204,0))="","",INDEX('模型流与公式'!$P$5:$P$204,MATCH(A194,'模型流与公式'!$A$5:$A$204,0))),""),""))</f>
        <v/>
      </c>
      <c r="M194" s="18">
        <f>IF(A194="","",IF(B194="Edge",IFERROR(IF(INDEX('模型流与公式'!$Q$5:$Q$204,MATCH(A194,'模型流与公式'!$A$5:$A$204,0))="","",INDEX('模型流与公式'!$Q$5:$Q$204,MATCH(A194,'模型流与公式'!$A$5:$A$204,0))),""),""))</f>
        <v/>
      </c>
      <c r="N194" s="18" t="n"/>
      <c r="O194" s="18" t="n"/>
      <c r="P194" s="18" t="n"/>
      <c r="Q194" s="18" t="n"/>
      <c r="R194" s="18" t="n"/>
      <c r="S194" s="18" t="n"/>
      <c r="T194" s="18" t="n"/>
      <c r="U194" s="18" t="inlineStr">
        <is>
          <t>资本品（设备/部件级材料，按天摊销）逐条见冻结清单；8条无数据未计入</t>
        </is>
      </c>
    </row>
    <row r="195">
      <c r="A195" s="18" t="inlineStr">
        <is>
          <t>FL-MCH-08I</t>
        </is>
      </c>
      <c r="B195" s="18" t="inlineStr">
        <is>
          <t>Edge</t>
        </is>
      </c>
      <c r="C195" s="18" t="n"/>
      <c r="D195" s="18" t="n"/>
      <c r="E195" s="18" t="n"/>
      <c r="F195" s="18" t="n"/>
      <c r="G195" s="18" t="n"/>
      <c r="H195" s="18" t="n"/>
      <c r="I195" s="18" t="inlineStr">
        <is>
          <t>否</t>
        </is>
      </c>
      <c r="J195" s="18" t="n"/>
      <c r="K195" s="18" t="n"/>
      <c r="L195" s="51">
        <f>IF(A195="","",IF(B195="Edge",IFERROR(IF(INDEX('模型流与公式'!$P$5:$P$204,MATCH(A195,'模型流与公式'!$A$5:$A$204,0))="","",INDEX('模型流与公式'!$P$5:$P$204,MATCH(A195,'模型流与公式'!$A$5:$A$204,0))),""),""))</f>
        <v/>
      </c>
      <c r="M195" s="18">
        <f>IF(A195="","",IF(B195="Edge",IFERROR(IF(INDEX('模型流与公式'!$Q$5:$Q$204,MATCH(A195,'模型流与公式'!$A$5:$A$204,0))="","",INDEX('模型流与公式'!$Q$5:$Q$204,MATCH(A195,'模型流与公式'!$A$5:$A$204,0))),""),""))</f>
        <v/>
      </c>
      <c r="N195" s="18" t="n"/>
      <c r="O195" s="18" t="n"/>
      <c r="P195" s="18" t="n"/>
      <c r="Q195" s="18" t="n"/>
      <c r="R195" s="18" t="n"/>
      <c r="S195" s="18" t="n"/>
      <c r="T195" s="18" t="n"/>
      <c r="U195" s="18" t="inlineStr">
        <is>
          <t>资本品（设备/部件级材料，按天摊销）逐条见冻结清单；8条无数据未计入</t>
        </is>
      </c>
    </row>
    <row r="196">
      <c r="A196" s="18" t="inlineStr">
        <is>
          <t>FL-MCH-08J</t>
        </is>
      </c>
      <c r="B196" s="18" t="inlineStr">
        <is>
          <t>Edge</t>
        </is>
      </c>
      <c r="C196" s="18" t="n"/>
      <c r="D196" s="18" t="n"/>
      <c r="E196" s="18" t="n"/>
      <c r="F196" s="18" t="n"/>
      <c r="G196" s="18" t="n"/>
      <c r="H196" s="18" t="n"/>
      <c r="I196" s="18" t="inlineStr">
        <is>
          <t>否</t>
        </is>
      </c>
      <c r="J196" s="18" t="n"/>
      <c r="K196" s="18" t="n"/>
      <c r="L196" s="51">
        <f>IF(A196="","",IF(B196="Edge",IFERROR(IF(INDEX('模型流与公式'!$P$5:$P$204,MATCH(A196,'模型流与公式'!$A$5:$A$204,0))="","",INDEX('模型流与公式'!$P$5:$P$204,MATCH(A196,'模型流与公式'!$A$5:$A$204,0))),""),""))</f>
        <v/>
      </c>
      <c r="M196" s="18">
        <f>IF(A196="","",IF(B196="Edge",IFERROR(IF(INDEX('模型流与公式'!$Q$5:$Q$204,MATCH(A196,'模型流与公式'!$A$5:$A$204,0))="","",INDEX('模型流与公式'!$Q$5:$Q$204,MATCH(A196,'模型流与公式'!$A$5:$A$204,0))),""),""))</f>
        <v/>
      </c>
      <c r="N196" s="18" t="n"/>
      <c r="O196" s="18" t="n"/>
      <c r="P196" s="18" t="n"/>
      <c r="Q196" s="18" t="n"/>
      <c r="R196" s="18" t="n"/>
      <c r="S196" s="18" t="n"/>
      <c r="T196" s="18" t="n"/>
      <c r="U196" s="18" t="inlineStr">
        <is>
          <t>资本品（设备/部件级材料，按天摊销）逐条见冻结清单；8条无数据未计入</t>
        </is>
      </c>
    </row>
    <row r="197">
      <c r="A197" s="18" t="inlineStr">
        <is>
          <t>FL-MCH-08K</t>
        </is>
      </c>
      <c r="B197" s="18" t="inlineStr">
        <is>
          <t>Edge</t>
        </is>
      </c>
      <c r="C197" s="18" t="n"/>
      <c r="D197" s="18" t="n"/>
      <c r="E197" s="18" t="n"/>
      <c r="F197" s="18" t="n"/>
      <c r="G197" s="18" t="n"/>
      <c r="H197" s="18" t="n"/>
      <c r="I197" s="18" t="inlineStr">
        <is>
          <t>否</t>
        </is>
      </c>
      <c r="J197" s="18" t="n"/>
      <c r="K197" s="18" t="n"/>
      <c r="L197" s="51">
        <f>IF(A197="","",IF(B197="Edge",IFERROR(IF(INDEX('模型流与公式'!$P$5:$P$204,MATCH(A197,'模型流与公式'!$A$5:$A$204,0))="","",INDEX('模型流与公式'!$P$5:$P$204,MATCH(A197,'模型流与公式'!$A$5:$A$204,0))),""),""))</f>
        <v/>
      </c>
      <c r="M197" s="18">
        <f>IF(A197="","",IF(B197="Edge",IFERROR(IF(INDEX('模型流与公式'!$Q$5:$Q$204,MATCH(A197,'模型流与公式'!$A$5:$A$204,0))="","",INDEX('模型流与公式'!$Q$5:$Q$204,MATCH(A197,'模型流与公式'!$A$5:$A$204,0))),""),""))</f>
        <v/>
      </c>
      <c r="N197" s="18" t="n"/>
      <c r="O197" s="18" t="n"/>
      <c r="P197" s="18" t="n"/>
      <c r="Q197" s="18" t="n"/>
      <c r="R197" s="18" t="n"/>
      <c r="S197" s="18" t="n"/>
      <c r="T197" s="18" t="n"/>
      <c r="U197" s="18" t="inlineStr">
        <is>
          <t>资本品（设备/部件级材料，按天摊销）逐条见冻结清单；8条无数据未计入</t>
        </is>
      </c>
    </row>
    <row r="198">
      <c r="A198" s="18" t="inlineStr">
        <is>
          <t>FL-MCH-08L</t>
        </is>
      </c>
      <c r="B198" s="18" t="inlineStr">
        <is>
          <t>Edge</t>
        </is>
      </c>
      <c r="C198" s="18" t="n"/>
      <c r="D198" s="18" t="n"/>
      <c r="E198" s="18" t="n"/>
      <c r="F198" s="18" t="n"/>
      <c r="G198" s="18" t="n"/>
      <c r="H198" s="18" t="n"/>
      <c r="I198" s="18" t="inlineStr">
        <is>
          <t>否</t>
        </is>
      </c>
      <c r="J198" s="18" t="n"/>
      <c r="K198" s="18" t="n"/>
      <c r="L198" s="51">
        <f>IF(A198="","",IF(B198="Edge",IFERROR(IF(INDEX('模型流与公式'!$P$5:$P$204,MATCH(A198,'模型流与公式'!$A$5:$A$204,0))="","",INDEX('模型流与公式'!$P$5:$P$204,MATCH(A198,'模型流与公式'!$A$5:$A$204,0))),""),""))</f>
        <v/>
      </c>
      <c r="M198" s="18">
        <f>IF(A198="","",IF(B198="Edge",IFERROR(IF(INDEX('模型流与公式'!$Q$5:$Q$204,MATCH(A198,'模型流与公式'!$A$5:$A$204,0))="","",INDEX('模型流与公式'!$Q$5:$Q$204,MATCH(A198,'模型流与公式'!$A$5:$A$204,0))),""),""))</f>
        <v/>
      </c>
      <c r="N198" s="18" t="n"/>
      <c r="O198" s="18" t="n"/>
      <c r="P198" s="18" t="n"/>
      <c r="Q198" s="18" t="n"/>
      <c r="R198" s="18" t="n"/>
      <c r="S198" s="18" t="n"/>
      <c r="T198" s="18" t="n"/>
      <c r="U198" s="18" t="inlineStr">
        <is>
          <t>资本品（设备/部件级材料，按天摊销）逐条见冻结清单；8条无数据未计入</t>
        </is>
      </c>
    </row>
    <row r="199">
      <c r="A199" s="18" t="inlineStr">
        <is>
          <t>FL-MCH-09A</t>
        </is>
      </c>
      <c r="B199" s="18" t="inlineStr">
        <is>
          <t>Edge</t>
        </is>
      </c>
      <c r="C199" s="18" t="n"/>
      <c r="D199" s="18" t="n"/>
      <c r="E199" s="18" t="n"/>
      <c r="F199" s="18" t="n"/>
      <c r="G199" s="18" t="n"/>
      <c r="H199" s="18" t="n"/>
      <c r="I199" s="18" t="inlineStr">
        <is>
          <t>否</t>
        </is>
      </c>
      <c r="J199" s="18" t="n"/>
      <c r="K199" s="18" t="n"/>
      <c r="L199" s="51">
        <f>IF(A199="","",IF(B199="Edge",IFERROR(IF(INDEX('模型流与公式'!$P$5:$P$204,MATCH(A199,'模型流与公式'!$A$5:$A$204,0))="","",INDEX('模型流与公式'!$P$5:$P$204,MATCH(A199,'模型流与公式'!$A$5:$A$204,0))),""),""))</f>
        <v/>
      </c>
      <c r="M199" s="18">
        <f>IF(A199="","",IF(B199="Edge",IFERROR(IF(INDEX('模型流与公式'!$Q$5:$Q$204,MATCH(A199,'模型流与公式'!$A$5:$A$204,0))="","",INDEX('模型流与公式'!$Q$5:$Q$204,MATCH(A199,'模型流与公式'!$A$5:$A$204,0))),""),""))</f>
        <v/>
      </c>
      <c r="N199" s="18" t="n"/>
      <c r="O199" s="18" t="n"/>
      <c r="P199" s="18" t="n"/>
      <c r="Q199" s="18" t="n"/>
      <c r="R199" s="18" t="n"/>
      <c r="S199" s="18" t="n"/>
      <c r="T199" s="18" t="n"/>
      <c r="U199" s="18" t="inlineStr">
        <is>
          <t>资本品（设备/部件级材料，按天摊销）逐条见冻结清单；8条无数据未计入</t>
        </is>
      </c>
    </row>
    <row r="200">
      <c r="A200" s="18" t="inlineStr">
        <is>
          <t>FL-MCH-09B</t>
        </is>
      </c>
      <c r="B200" s="18" t="inlineStr">
        <is>
          <t>Edge</t>
        </is>
      </c>
      <c r="C200" s="18" t="n"/>
      <c r="D200" s="18" t="n"/>
      <c r="E200" s="18" t="n"/>
      <c r="F200" s="18" t="n"/>
      <c r="G200" s="18" t="n"/>
      <c r="H200" s="18" t="n"/>
      <c r="I200" s="18" t="inlineStr">
        <is>
          <t>否</t>
        </is>
      </c>
      <c r="J200" s="18" t="n"/>
      <c r="K200" s="18" t="n"/>
      <c r="L200" s="51">
        <f>IF(A200="","",IF(B200="Edge",IFERROR(IF(INDEX('模型流与公式'!$P$5:$P$204,MATCH(A200,'模型流与公式'!$A$5:$A$204,0))="","",INDEX('模型流与公式'!$P$5:$P$204,MATCH(A200,'模型流与公式'!$A$5:$A$204,0))),""),""))</f>
        <v/>
      </c>
      <c r="M200" s="18">
        <f>IF(A200="","",IF(B200="Edge",IFERROR(IF(INDEX('模型流与公式'!$Q$5:$Q$204,MATCH(A200,'模型流与公式'!$A$5:$A$204,0))="","",INDEX('模型流与公式'!$Q$5:$Q$204,MATCH(A200,'模型流与公式'!$A$5:$A$204,0))),""),""))</f>
        <v/>
      </c>
      <c r="N200" s="18" t="n"/>
      <c r="O200" s="18" t="n"/>
      <c r="P200" s="18" t="n"/>
      <c r="Q200" s="18" t="n"/>
      <c r="R200" s="18" t="n"/>
      <c r="S200" s="18" t="n"/>
      <c r="T200" s="18" t="n"/>
      <c r="U200" s="18" t="inlineStr">
        <is>
          <t>资本品（设备/部件级材料，按天摊销）逐条见冻结清单；8条无数据未计入</t>
        </is>
      </c>
    </row>
    <row r="201">
      <c r="A201" s="18" t="inlineStr">
        <is>
          <t>FL-MCH-10A</t>
        </is>
      </c>
      <c r="B201" s="18" t="inlineStr">
        <is>
          <t>Edge</t>
        </is>
      </c>
      <c r="C201" s="18" t="n"/>
      <c r="D201" s="18" t="n"/>
      <c r="E201" s="18" t="n"/>
      <c r="F201" s="18" t="n"/>
      <c r="G201" s="18" t="n"/>
      <c r="H201" s="18" t="n"/>
      <c r="I201" s="18" t="inlineStr">
        <is>
          <t>否</t>
        </is>
      </c>
      <c r="J201" s="18" t="n"/>
      <c r="K201" s="18" t="n"/>
      <c r="L201" s="51">
        <f>IF(A201="","",IF(B201="Edge",IFERROR(IF(INDEX('模型流与公式'!$P$5:$P$204,MATCH(A201,'模型流与公式'!$A$5:$A$204,0))="","",INDEX('模型流与公式'!$P$5:$P$204,MATCH(A201,'模型流与公式'!$A$5:$A$204,0))),""),""))</f>
        <v/>
      </c>
      <c r="M201" s="18">
        <f>IF(A201="","",IF(B201="Edge",IFERROR(IF(INDEX('模型流与公式'!$Q$5:$Q$204,MATCH(A201,'模型流与公式'!$A$5:$A$204,0))="","",INDEX('模型流与公式'!$Q$5:$Q$204,MATCH(A201,'模型流与公式'!$A$5:$A$204,0))),""),""))</f>
        <v/>
      </c>
      <c r="N201" s="18" t="n"/>
      <c r="O201" s="18" t="n"/>
      <c r="P201" s="18" t="n"/>
      <c r="Q201" s="18" t="n"/>
      <c r="R201" s="18" t="n"/>
      <c r="S201" s="18" t="n"/>
      <c r="T201" s="18" t="n"/>
      <c r="U201" s="18" t="inlineStr">
        <is>
          <t>资本品（设备/部件级材料，按天摊销）逐条见冻结清单；8条无数据未计入</t>
        </is>
      </c>
    </row>
    <row r="202">
      <c r="A202" s="18" t="inlineStr">
        <is>
          <t>FL-MCH-10B</t>
        </is>
      </c>
      <c r="B202" s="18" t="inlineStr">
        <is>
          <t>Edge</t>
        </is>
      </c>
      <c r="C202" s="18" t="n"/>
      <c r="D202" s="18" t="n"/>
      <c r="E202" s="18" t="n"/>
      <c r="F202" s="18" t="n"/>
      <c r="G202" s="18" t="n"/>
      <c r="H202" s="18" t="n"/>
      <c r="I202" s="18" t="inlineStr">
        <is>
          <t>否</t>
        </is>
      </c>
      <c r="J202" s="18" t="n"/>
      <c r="K202" s="18" t="n"/>
      <c r="L202" s="51">
        <f>IF(A202="","",IF(B202="Edge",IFERROR(IF(INDEX('模型流与公式'!$P$5:$P$204,MATCH(A202,'模型流与公式'!$A$5:$A$204,0))="","",INDEX('模型流与公式'!$P$5:$P$204,MATCH(A202,'模型流与公式'!$A$5:$A$204,0))),""),""))</f>
        <v/>
      </c>
      <c r="M202" s="18">
        <f>IF(A202="","",IF(B202="Edge",IFERROR(IF(INDEX('模型流与公式'!$Q$5:$Q$204,MATCH(A202,'模型流与公式'!$A$5:$A$204,0))="","",INDEX('模型流与公式'!$Q$5:$Q$204,MATCH(A202,'模型流与公式'!$A$5:$A$204,0))),""),""))</f>
        <v/>
      </c>
      <c r="N202" s="18" t="n"/>
      <c r="O202" s="18" t="n"/>
      <c r="P202" s="18" t="n"/>
      <c r="Q202" s="18" t="n"/>
      <c r="R202" s="18" t="n"/>
      <c r="S202" s="18" t="n"/>
      <c r="T202" s="18" t="n"/>
      <c r="U202" s="18" t="inlineStr">
        <is>
          <t>资本品（设备/部件级材料，按天摊销）逐条见冻结清单；8条无数据未计入</t>
        </is>
      </c>
    </row>
    <row r="203">
      <c r="A203" s="18" t="inlineStr">
        <is>
          <t>FL-MCH-10C</t>
        </is>
      </c>
      <c r="B203" s="18" t="inlineStr">
        <is>
          <t>Edge</t>
        </is>
      </c>
      <c r="C203" s="18" t="n"/>
      <c r="D203" s="18" t="n"/>
      <c r="E203" s="18" t="n"/>
      <c r="F203" s="18" t="n"/>
      <c r="G203" s="18" t="n"/>
      <c r="H203" s="18" t="n"/>
      <c r="I203" s="18" t="inlineStr">
        <is>
          <t>否</t>
        </is>
      </c>
      <c r="J203" s="18" t="n"/>
      <c r="K203" s="18" t="n"/>
      <c r="L203" s="51">
        <f>IF(A203="","",IF(B203="Edge",IFERROR(IF(INDEX('模型流与公式'!$P$5:$P$204,MATCH(A203,'模型流与公式'!$A$5:$A$204,0))="","",INDEX('模型流与公式'!$P$5:$P$204,MATCH(A203,'模型流与公式'!$A$5:$A$204,0))),""),""))</f>
        <v/>
      </c>
      <c r="M203" s="18">
        <f>IF(A203="","",IF(B203="Edge",IFERROR(IF(INDEX('模型流与公式'!$Q$5:$Q$204,MATCH(A203,'模型流与公式'!$A$5:$A$204,0))="","",INDEX('模型流与公式'!$Q$5:$Q$204,MATCH(A203,'模型流与公式'!$A$5:$A$204,0))),""),""))</f>
        <v/>
      </c>
      <c r="N203" s="18" t="n"/>
      <c r="O203" s="18" t="n"/>
      <c r="P203" s="18" t="n"/>
      <c r="Q203" s="18" t="n"/>
      <c r="R203" s="18" t="n"/>
      <c r="S203" s="18" t="n"/>
      <c r="T203" s="18" t="n"/>
      <c r="U203" s="18" t="inlineStr">
        <is>
          <t>资本品（设备/部件级材料，按天摊销）逐条见冻结清单；8条无数据未计入</t>
        </is>
      </c>
    </row>
    <row r="204">
      <c r="A204" s="18" t="inlineStr">
        <is>
          <t>FL-MCH-11A</t>
        </is>
      </c>
      <c r="B204" s="18" t="inlineStr">
        <is>
          <t>Edge</t>
        </is>
      </c>
      <c r="C204" s="18" t="n"/>
      <c r="D204" s="18" t="n"/>
      <c r="E204" s="18" t="n"/>
      <c r="F204" s="18" t="n"/>
      <c r="G204" s="18" t="n"/>
      <c r="H204" s="18" t="n"/>
      <c r="I204" s="18" t="inlineStr">
        <is>
          <t>否</t>
        </is>
      </c>
      <c r="J204" s="18" t="n"/>
      <c r="K204" s="18" t="n"/>
      <c r="L204" s="51">
        <f>IF(A204="","",IF(B204="Edge",IFERROR(IF(INDEX('模型流与公式'!$P$5:$P$204,MATCH(A204,'模型流与公式'!$A$5:$A$204,0))="","",INDEX('模型流与公式'!$P$5:$P$204,MATCH(A204,'模型流与公式'!$A$5:$A$204,0))),""),""))</f>
        <v/>
      </c>
      <c r="M204" s="18">
        <f>IF(A204="","",IF(B204="Edge",IFERROR(IF(INDEX('模型流与公式'!$Q$5:$Q$204,MATCH(A204,'模型流与公式'!$A$5:$A$204,0))="","",INDEX('模型流与公式'!$Q$5:$Q$204,MATCH(A204,'模型流与公式'!$A$5:$A$204,0))),""),""))</f>
        <v/>
      </c>
      <c r="N204" s="18" t="n"/>
      <c r="O204" s="18" t="n"/>
      <c r="P204" s="18" t="n"/>
      <c r="Q204" s="18" t="n"/>
      <c r="R204" s="18" t="n"/>
      <c r="S204" s="18" t="n"/>
      <c r="T204" s="18" t="n"/>
      <c r="U204" s="18" t="inlineStr">
        <is>
          <t>资本品（设备/部件级材料，按天摊销）逐条见冻结清单；8条无数据未计入</t>
        </is>
      </c>
    </row>
    <row r="205">
      <c r="A205" t="inlineStr">
        <is>
          <t>FL-MCH-11B</t>
        </is>
      </c>
      <c r="B205" t="inlineStr">
        <is>
          <t>Edge</t>
        </is>
      </c>
      <c r="I205" t="inlineStr">
        <is>
          <t>否</t>
        </is>
      </c>
      <c r="L205">
        <f>IF(A205="","",IF(B205="Edge",IFERROR(IF(INDEX(模型流与公式!$P$5:$P$204,MATCH(A205,模型流与公式!$A$5:$A$204,0))="","",INDEX(模型流与公式!$P$5:$P$204,MATCH(A205,模型流与公式!$A$5:$A$204,0))),""),""))</f>
        <v/>
      </c>
      <c r="M205">
        <f>IF(A205="","",IF(B205="Edge",IFERROR(IF(INDEX(模型流与公式!$Q$5:$Q$204,MATCH(A205,模型流与公式!$A$5:$A$204,0))="","",INDEX(模型流与公式!$Q$5:$Q$204,MATCH(A205,模型流与公式!$A$5:$A$204,0))),""),""))</f>
        <v/>
      </c>
      <c r="U205" t="inlineStr">
        <is>
          <t>资本品（设备/部件级材料，按天摊销）逐条见冻结清单；8条无数据未计入</t>
        </is>
      </c>
    </row>
    <row r="206">
      <c r="A206" t="inlineStr">
        <is>
          <t>FL-MCH-11C</t>
        </is>
      </c>
      <c r="B206" t="inlineStr">
        <is>
          <t>Edge</t>
        </is>
      </c>
      <c r="I206" t="inlineStr">
        <is>
          <t>否</t>
        </is>
      </c>
      <c r="L206">
        <f>IF(A206="","",IF(B206="Edge",IFERROR(IF(INDEX(模型流与公式!$P$5:$P$204,MATCH(A206,模型流与公式!$A$5:$A$204,0))="","",INDEX(模型流与公式!$P$5:$P$204,MATCH(A206,模型流与公式!$A$5:$A$204,0))),""),""))</f>
        <v/>
      </c>
      <c r="M206">
        <f>IF(A206="","",IF(B206="Edge",IFERROR(IF(INDEX(模型流与公式!$Q$5:$Q$204,MATCH(A206,模型流与公式!$A$5:$A$204,0))="","",INDEX(模型流与公式!$Q$5:$Q$204,MATCH(A206,模型流与公式!$A$5:$A$204,0))),""),""))</f>
        <v/>
      </c>
      <c r="U206" t="inlineStr">
        <is>
          <t>资本品（设备/部件级材料，按天摊销）逐条见冻结清单；8条无数据未计入</t>
        </is>
      </c>
    </row>
    <row r="207">
      <c r="A207" t="inlineStr">
        <is>
          <t>FL-MCH-11D</t>
        </is>
      </c>
      <c r="B207" t="inlineStr">
        <is>
          <t>Edge</t>
        </is>
      </c>
      <c r="I207" t="inlineStr">
        <is>
          <t>否</t>
        </is>
      </c>
      <c r="L207">
        <f>IF(A207="","",IF(B207="Edge",IFERROR(IF(INDEX(模型流与公式!$P$5:$P$204,MATCH(A207,模型流与公式!$A$5:$A$204,0))="","",INDEX(模型流与公式!$P$5:$P$204,MATCH(A207,模型流与公式!$A$5:$A$204,0))),""),""))</f>
        <v/>
      </c>
      <c r="M207">
        <f>IF(A207="","",IF(B207="Edge",IFERROR(IF(INDEX(模型流与公式!$Q$5:$Q$204,MATCH(A207,模型流与公式!$A$5:$A$204,0))="","",INDEX(模型流与公式!$Q$5:$Q$204,MATCH(A207,模型流与公式!$A$5:$A$204,0))),""),""))</f>
        <v/>
      </c>
      <c r="U207" t="inlineStr">
        <is>
          <t>资本品（设备/部件级材料，按天摊销）逐条见冻结清单；8条无数据未计入</t>
        </is>
      </c>
    </row>
    <row r="208">
      <c r="A208" t="inlineStr">
        <is>
          <t>FL-MCH-11E</t>
        </is>
      </c>
      <c r="B208" t="inlineStr">
        <is>
          <t>Edge</t>
        </is>
      </c>
      <c r="I208" t="inlineStr">
        <is>
          <t>否</t>
        </is>
      </c>
      <c r="L208">
        <f>IF(A208="","",IF(B208="Edge",IFERROR(IF(INDEX(模型流与公式!$P$5:$P$204,MATCH(A208,模型流与公式!$A$5:$A$204,0))="","",INDEX(模型流与公式!$P$5:$P$204,MATCH(A208,模型流与公式!$A$5:$A$204,0))),""),""))</f>
        <v/>
      </c>
      <c r="M208">
        <f>IF(A208="","",IF(B208="Edge",IFERROR(IF(INDEX(模型流与公式!$Q$5:$Q$204,MATCH(A208,模型流与公式!$A$5:$A$204,0))="","",INDEX(模型流与公式!$Q$5:$Q$204,MATCH(A208,模型流与公式!$A$5:$A$204,0))),""),""))</f>
        <v/>
      </c>
      <c r="U208" t="inlineStr">
        <is>
          <t>资本品（设备/部件级材料，按天摊销）逐条见冻结清单；8条无数据未计入</t>
        </is>
      </c>
    </row>
    <row r="209">
      <c r="A209" t="inlineStr">
        <is>
          <t>FL-MCH-11F</t>
        </is>
      </c>
      <c r="B209" t="inlineStr">
        <is>
          <t>Edge</t>
        </is>
      </c>
      <c r="I209" t="inlineStr">
        <is>
          <t>否</t>
        </is>
      </c>
      <c r="L209">
        <f>IF(A209="","",IF(B209="Edge",IFERROR(IF(INDEX(模型流与公式!$P$5:$P$204,MATCH(A209,模型流与公式!$A$5:$A$204,0))="","",INDEX(模型流与公式!$P$5:$P$204,MATCH(A209,模型流与公式!$A$5:$A$204,0))),""),""))</f>
        <v/>
      </c>
      <c r="M209">
        <f>IF(A209="","",IF(B209="Edge",IFERROR(IF(INDEX(模型流与公式!$Q$5:$Q$204,MATCH(A209,模型流与公式!$A$5:$A$204,0))="","",INDEX(模型流与公式!$Q$5:$Q$204,MATCH(A209,模型流与公式!$A$5:$A$204,0))),""),""))</f>
        <v/>
      </c>
      <c r="U209" t="inlineStr">
        <is>
          <t>资本品（设备/部件级材料，按天摊销）逐条见冻结清单；8条无数据未计入</t>
        </is>
      </c>
    </row>
    <row r="210">
      <c r="A210" t="inlineStr">
        <is>
          <t>FL-MCH-11G</t>
        </is>
      </c>
      <c r="B210" t="inlineStr">
        <is>
          <t>Edge</t>
        </is>
      </c>
      <c r="I210" t="inlineStr">
        <is>
          <t>否</t>
        </is>
      </c>
      <c r="L210">
        <f>IF(A210="","",IF(B210="Edge",IFERROR(IF(INDEX(模型流与公式!$P$5:$P$204,MATCH(A210,模型流与公式!$A$5:$A$204,0))="","",INDEX(模型流与公式!$P$5:$P$204,MATCH(A210,模型流与公式!$A$5:$A$204,0))),""),""))</f>
        <v/>
      </c>
      <c r="M210">
        <f>IF(A210="","",IF(B210="Edge",IFERROR(IF(INDEX(模型流与公式!$Q$5:$Q$204,MATCH(A210,模型流与公式!$A$5:$A$204,0))="","",INDEX(模型流与公式!$Q$5:$Q$204,MATCH(A210,模型流与公式!$A$5:$A$204,0))),""),""))</f>
        <v/>
      </c>
      <c r="U210" t="inlineStr">
        <is>
          <t>资本品（设备/部件级材料，按天摊销）逐条见冻结清单；8条无数据未计入</t>
        </is>
      </c>
    </row>
    <row r="211">
      <c r="A211" t="inlineStr">
        <is>
          <t>FL-MCH-11H</t>
        </is>
      </c>
      <c r="B211" t="inlineStr">
        <is>
          <t>Edge</t>
        </is>
      </c>
      <c r="I211" t="inlineStr">
        <is>
          <t>否</t>
        </is>
      </c>
      <c r="L211">
        <f>IF(A211="","",IF(B211="Edge",IFERROR(IF(INDEX(模型流与公式!$P$5:$P$204,MATCH(A211,模型流与公式!$A$5:$A$204,0))="","",INDEX(模型流与公式!$P$5:$P$204,MATCH(A211,模型流与公式!$A$5:$A$204,0))),""),""))</f>
        <v/>
      </c>
      <c r="M211">
        <f>IF(A211="","",IF(B211="Edge",IFERROR(IF(INDEX(模型流与公式!$Q$5:$Q$204,MATCH(A211,模型流与公式!$A$5:$A$204,0))="","",INDEX(模型流与公式!$Q$5:$Q$204,MATCH(A211,模型流与公式!$A$5:$A$204,0))),""),""))</f>
        <v/>
      </c>
      <c r="U211" t="inlineStr">
        <is>
          <t>资本品（设备/部件级材料，按天摊销）逐条见冻结清单；8条无数据未计入</t>
        </is>
      </c>
    </row>
    <row r="212">
      <c r="A212" t="inlineStr">
        <is>
          <t>FL-MCH-11I</t>
        </is>
      </c>
      <c r="B212" t="inlineStr">
        <is>
          <t>Edge</t>
        </is>
      </c>
      <c r="I212" t="inlineStr">
        <is>
          <t>否</t>
        </is>
      </c>
      <c r="L212">
        <f>IF(A212="","",IF(B212="Edge",IFERROR(IF(INDEX(模型流与公式!$P$5:$P$204,MATCH(A212,模型流与公式!$A$5:$A$204,0))="","",INDEX(模型流与公式!$P$5:$P$204,MATCH(A212,模型流与公式!$A$5:$A$204,0))),""),""))</f>
        <v/>
      </c>
      <c r="M212">
        <f>IF(A212="","",IF(B212="Edge",IFERROR(IF(INDEX(模型流与公式!$Q$5:$Q$204,MATCH(A212,模型流与公式!$A$5:$A$204,0))="","",INDEX(模型流与公式!$Q$5:$Q$204,MATCH(A212,模型流与公式!$A$5:$A$204,0))),""),""))</f>
        <v/>
      </c>
      <c r="U212" t="inlineStr">
        <is>
          <t>资本品（设备/部件级材料，按天摊销）逐条见冻结清单；8条无数据未计入</t>
        </is>
      </c>
    </row>
    <row r="213">
      <c r="A213" t="inlineStr">
        <is>
          <t>FL-MCH-11J</t>
        </is>
      </c>
      <c r="B213" t="inlineStr">
        <is>
          <t>Edge</t>
        </is>
      </c>
      <c r="I213" t="inlineStr">
        <is>
          <t>否</t>
        </is>
      </c>
      <c r="L213">
        <f>IF(A213="","",IF(B213="Edge",IFERROR(IF(INDEX(模型流与公式!$P$5:$P$204,MATCH(A213,模型流与公式!$A$5:$A$204,0))="","",INDEX(模型流与公式!$P$5:$P$204,MATCH(A213,模型流与公式!$A$5:$A$204,0))),""),""))</f>
        <v/>
      </c>
      <c r="M213">
        <f>IF(A213="","",IF(B213="Edge",IFERROR(IF(INDEX(模型流与公式!$Q$5:$Q$204,MATCH(A213,模型流与公式!$A$5:$A$204,0))="","",INDEX(模型流与公式!$Q$5:$Q$204,MATCH(A213,模型流与公式!$A$5:$A$204,0))),""),""))</f>
        <v/>
      </c>
      <c r="U213" t="inlineStr">
        <is>
          <t>资本品（设备/部件级材料，按天摊销）逐条见冻结清单；8条无数据未计入</t>
        </is>
      </c>
    </row>
    <row r="214">
      <c r="A214" t="inlineStr">
        <is>
          <t>FL-MCH-11K</t>
        </is>
      </c>
      <c r="B214" t="inlineStr">
        <is>
          <t>Edge</t>
        </is>
      </c>
      <c r="I214" t="inlineStr">
        <is>
          <t>否</t>
        </is>
      </c>
      <c r="L214">
        <f>IF(A214="","",IF(B214="Edge",IFERROR(IF(INDEX(模型流与公式!$P$5:$P$204,MATCH(A214,模型流与公式!$A$5:$A$204,0))="","",INDEX(模型流与公式!$P$5:$P$204,MATCH(A214,模型流与公式!$A$5:$A$204,0))),""),""))</f>
        <v/>
      </c>
      <c r="M214">
        <f>IF(A214="","",IF(B214="Edge",IFERROR(IF(INDEX(模型流与公式!$Q$5:$Q$204,MATCH(A214,模型流与公式!$A$5:$A$204,0))="","",INDEX(模型流与公式!$Q$5:$Q$204,MATCH(A214,模型流与公式!$A$5:$A$204,0))),""),""))</f>
        <v/>
      </c>
      <c r="U214" t="inlineStr">
        <is>
          <t>资本品（设备/部件级材料，按天摊销）逐条见冻结清单；8条无数据未计入</t>
        </is>
      </c>
    </row>
    <row r="215">
      <c r="A215" t="inlineStr">
        <is>
          <t>FL-MCH-11L</t>
        </is>
      </c>
      <c r="B215" t="inlineStr">
        <is>
          <t>Edge</t>
        </is>
      </c>
      <c r="I215" t="inlineStr">
        <is>
          <t>否</t>
        </is>
      </c>
      <c r="L215">
        <f>IF(A215="","",IF(B215="Edge",IFERROR(IF(INDEX(模型流与公式!$P$5:$P$204,MATCH(A215,模型流与公式!$A$5:$A$204,0))="","",INDEX(模型流与公式!$P$5:$P$204,MATCH(A215,模型流与公式!$A$5:$A$204,0))),""),""))</f>
        <v/>
      </c>
      <c r="M215">
        <f>IF(A215="","",IF(B215="Edge",IFERROR(IF(INDEX(模型流与公式!$Q$5:$Q$204,MATCH(A215,模型流与公式!$A$5:$A$204,0))="","",INDEX(模型流与公式!$Q$5:$Q$204,MATCH(A215,模型流与公式!$A$5:$A$204,0))),""),""))</f>
        <v/>
      </c>
      <c r="U215" t="inlineStr">
        <is>
          <t>资本品（设备/部件级材料，按天摊销）逐条见冻结清单；8条无数据未计入</t>
        </is>
      </c>
    </row>
    <row r="216">
      <c r="A216" t="inlineStr">
        <is>
          <t>FL-MCH-12A</t>
        </is>
      </c>
      <c r="B216" t="inlineStr">
        <is>
          <t>Edge</t>
        </is>
      </c>
      <c r="I216" t="inlineStr">
        <is>
          <t>否</t>
        </is>
      </c>
      <c r="L216">
        <f>IF(A216="","",IF(B216="Edge",IFERROR(IF(INDEX(模型流与公式!$P$5:$P$204,MATCH(A216,模型流与公式!$A$5:$A$204,0))="","",INDEX(模型流与公式!$P$5:$P$204,MATCH(A216,模型流与公式!$A$5:$A$204,0))),""),""))</f>
        <v/>
      </c>
      <c r="M216">
        <f>IF(A216="","",IF(B216="Edge",IFERROR(IF(INDEX(模型流与公式!$Q$5:$Q$204,MATCH(A216,模型流与公式!$A$5:$A$204,0))="","",INDEX(模型流与公式!$Q$5:$Q$204,MATCH(A216,模型流与公式!$A$5:$A$204,0))),""),""))</f>
        <v/>
      </c>
      <c r="U216" t="inlineStr">
        <is>
          <t>资本品（设备/部件级材料，按天摊销）逐条见冻结清单；8条无数据未计入</t>
        </is>
      </c>
    </row>
    <row r="217">
      <c r="A217" t="inlineStr">
        <is>
          <t>FL-MCH-12B</t>
        </is>
      </c>
      <c r="B217" t="inlineStr">
        <is>
          <t>Edge</t>
        </is>
      </c>
      <c r="I217" t="inlineStr">
        <is>
          <t>否</t>
        </is>
      </c>
      <c r="L217">
        <f>IF(A217="","",IF(B217="Edge",IFERROR(IF(INDEX(模型流与公式!$P$5:$P$204,MATCH(A217,模型流与公式!$A$5:$A$204,0))="","",INDEX(模型流与公式!$P$5:$P$204,MATCH(A217,模型流与公式!$A$5:$A$204,0))),""),""))</f>
        <v/>
      </c>
      <c r="M217">
        <f>IF(A217="","",IF(B217="Edge",IFERROR(IF(INDEX(模型流与公式!$Q$5:$Q$204,MATCH(A217,模型流与公式!$A$5:$A$204,0))="","",INDEX(模型流与公式!$Q$5:$Q$204,MATCH(A217,模型流与公式!$A$5:$A$204,0))),""),""))</f>
        <v/>
      </c>
      <c r="U217" t="inlineStr">
        <is>
          <t>资本品（设备/部件级材料，按天摊销）逐条见冻结清单；8条无数据未计入</t>
        </is>
      </c>
    </row>
    <row r="218">
      <c r="A218" t="inlineStr">
        <is>
          <t>FL-WW-20</t>
        </is>
      </c>
      <c r="B218" t="inlineStr">
        <is>
          <t>Edge</t>
        </is>
      </c>
      <c r="F218" t="inlineStr">
        <is>
          <t>PR20-OP1</t>
        </is>
      </c>
      <c r="G218" t="inlineStr">
        <is>
          <t>支线（三废处理）</t>
        </is>
      </c>
      <c r="I218" t="inlineStr">
        <is>
          <t>是</t>
        </is>
      </c>
      <c r="J218" t="inlineStr">
        <is>
          <t>清洗废水（入污水站）191.7</t>
        </is>
      </c>
      <c r="L218">
        <f>IF(A218="","",IF(B218="Edge",IFERROR(IF(INDEX(模型流与公式!$P$5:$P$204,MATCH(A218,模型流与公式!$A$5:$A$204,0))="","",INDEX(模型流与公式!$P$5:$P$204,MATCH(A218,模型流与公式!$A$5:$A$204,0))),""),""))</f>
        <v/>
      </c>
      <c r="M218">
        <f>IF(A218="","",IF(B218="Edge",IFERROR(IF(INDEX(模型流与公式!$Q$5:$Q$204,MATCH(A218,模型流与公式!$A$5:$A$204,0))="","",INDEX(模型流与公式!$Q$5:$Q$204,MATCH(A218,模型流与公式!$A$5:$A$204,0))),""),""))</f>
        <v/>
      </c>
    </row>
    <row r="219">
      <c r="A219" t="inlineStr">
        <is>
          <t>FL-FECL</t>
        </is>
      </c>
      <c r="B219" t="inlineStr">
        <is>
          <t>Edge</t>
        </is>
      </c>
      <c r="F219" t="inlineStr">
        <is>
          <t>PR20-OP1</t>
        </is>
      </c>
      <c r="G219" t="inlineStr">
        <is>
          <t>支线（三废处理）</t>
        </is>
      </c>
      <c r="I219" t="inlineStr">
        <is>
          <t>是</t>
        </is>
      </c>
      <c r="J219" t="inlineStr">
        <is>
          <t>FeCl 12 kg/d</t>
        </is>
      </c>
      <c r="L219">
        <f>IF(A219="","",IF(B219="Edge",IFERROR(IF(INDEX(模型流与公式!$P$5:$P$204,MATCH(A219,模型流与公式!$A$5:$A$204,0))="","",INDEX(模型流与公式!$P$5:$P$204,MATCH(A219,模型流与公式!$A$5:$A$204,0))),""),""))</f>
        <v/>
      </c>
      <c r="M219">
        <f>IF(A219="","",IF(B219="Edge",IFERROR(IF(INDEX(模型流与公式!$Q$5:$Q$204,MATCH(A219,模型流与公式!$A$5:$A$204,0))="","",INDEX(模型流与公式!$Q$5:$Q$204,MATCH(A219,模型流与公式!$A$5:$A$204,0))),""),""))</f>
        <v/>
      </c>
    </row>
    <row r="220">
      <c r="A220" t="inlineStr">
        <is>
          <t>FL-TEW-20</t>
        </is>
      </c>
      <c r="B220" t="inlineStr">
        <is>
          <t>Edge</t>
        </is>
      </c>
      <c r="E220" t="inlineStr">
        <is>
          <t>PR20-OP1</t>
        </is>
      </c>
      <c r="G220" t="inlineStr">
        <is>
          <t>支线（三废处理）</t>
        </is>
      </c>
      <c r="I220" t="inlineStr">
        <is>
          <t>是</t>
        </is>
      </c>
      <c r="J220" t="inlineStr">
        <is>
          <t>出水（proxy）450</t>
        </is>
      </c>
      <c r="L220">
        <f>IF(A220="","",IF(B220="Edge",IFERROR(IF(INDEX(模型流与公式!$P$5:$P$204,MATCH(A220,模型流与公式!$A$5:$A$204,0))="","",INDEX(模型流与公式!$P$5:$P$204,MATCH(A220,模型流与公式!$A$5:$A$204,0))),""),""))</f>
        <v/>
      </c>
      <c r="M220">
        <f>IF(A220="","",IF(B220="Edge",IFERROR(IF(INDEX(模型流与公式!$Q$5:$Q$204,MATCH(A220,模型流与公式!$A$5:$A$204,0))="","",INDEX(模型流与公式!$Q$5:$Q$204,MATCH(A220,模型流与公式!$A$5:$A$204,0))),""),""))</f>
        <v/>
      </c>
    </row>
    <row r="221">
      <c r="A221" t="inlineStr">
        <is>
          <t>FL-TSS-20</t>
        </is>
      </c>
      <c r="B221" t="inlineStr">
        <is>
          <t>Edge</t>
        </is>
      </c>
      <c r="E221" t="inlineStr">
        <is>
          <t>PR20-OP1</t>
        </is>
      </c>
      <c r="G221" t="inlineStr">
        <is>
          <t>支线（三废处理）</t>
        </is>
      </c>
      <c r="I221" t="inlineStr">
        <is>
          <t>是</t>
        </is>
      </c>
      <c r="J221" t="inlineStr">
        <is>
          <t>出水TSS 15.75</t>
        </is>
      </c>
      <c r="L221">
        <f>IF(A221="","",IF(B221="Edge",IFERROR(IF(INDEX(模型流与公式!$P$5:$P$204,MATCH(A221,模型流与公式!$A$5:$A$204,0))="","",INDEX(模型流与公式!$P$5:$P$204,MATCH(A221,模型流与公式!$A$5:$A$204,0))),""),""))</f>
        <v/>
      </c>
      <c r="M221">
        <f>IF(A221="","",IF(B221="Edge",IFERROR(IF(INDEX(模型流与公式!$Q$5:$Q$204,MATCH(A221,模型流与公式!$A$5:$A$204,0))="","",INDEX(模型流与公式!$Q$5:$Q$204,MATCH(A221,模型流与公式!$A$5:$A$204,0))),""),""))</f>
        <v/>
      </c>
    </row>
    <row r="222">
      <c r="A222" t="inlineStr">
        <is>
          <t>FL-CODW-20</t>
        </is>
      </c>
      <c r="B222" t="inlineStr">
        <is>
          <t>Edge</t>
        </is>
      </c>
      <c r="E222" t="inlineStr">
        <is>
          <t>PR20-OP1</t>
        </is>
      </c>
      <c r="G222" t="inlineStr">
        <is>
          <t>支线（三废处理）</t>
        </is>
      </c>
      <c r="I222" t="inlineStr">
        <is>
          <t>是</t>
        </is>
      </c>
      <c r="J222" t="inlineStr">
        <is>
          <t>出水COD 56.25</t>
        </is>
      </c>
      <c r="L222">
        <f>IF(A222="","",IF(B222="Edge",IFERROR(IF(INDEX(模型流与公式!$P$5:$P$204,MATCH(A222,模型流与公式!$A$5:$A$204,0))="","",INDEX(模型流与公式!$P$5:$P$204,MATCH(A222,模型流与公式!$A$5:$A$204,0))),""),""))</f>
        <v/>
      </c>
      <c r="M222">
        <f>IF(A222="","",IF(B222="Edge",IFERROR(IF(INDEX(模型流与公式!$Q$5:$Q$204,MATCH(A222,模型流与公式!$A$5:$A$204,0))="","",INDEX(模型流与公式!$Q$5:$Q$204,MATCH(A222,模型流与公式!$A$5:$A$204,0))),""),""))</f>
        <v/>
      </c>
    </row>
    <row r="223">
      <c r="A223" t="inlineStr">
        <is>
          <t>FL-BOD-20</t>
        </is>
      </c>
      <c r="B223" t="inlineStr">
        <is>
          <t>Edge</t>
        </is>
      </c>
      <c r="E223" t="inlineStr">
        <is>
          <t>PR20-OP1</t>
        </is>
      </c>
      <c r="G223" t="inlineStr">
        <is>
          <t>支线（三废处理）</t>
        </is>
      </c>
      <c r="I223" t="inlineStr">
        <is>
          <t>是</t>
        </is>
      </c>
      <c r="J223" t="inlineStr">
        <is>
          <t>出水BOD₅ 16.2</t>
        </is>
      </c>
      <c r="L223">
        <f>IF(A223="","",IF(B223="Edge",IFERROR(IF(INDEX(模型流与公式!$P$5:$P$204,MATCH(A223,模型流与公式!$A$5:$A$204,0))="","",INDEX(模型流与公式!$P$5:$P$204,MATCH(A223,模型流与公式!$A$5:$A$204,0))),""),""))</f>
        <v/>
      </c>
      <c r="M223">
        <f>IF(A223="","",IF(B223="Edge",IFERROR(IF(INDEX(模型流与公式!$Q$5:$Q$204,MATCH(A223,模型流与公式!$A$5:$A$204,0))="","",INDEX(模型流与公式!$Q$5:$Q$204,MATCH(A223,模型流与公式!$A$5:$A$204,0))),""),""))</f>
        <v/>
      </c>
    </row>
    <row r="224">
      <c r="A224" t="inlineStr">
        <is>
          <t>FL-TN-20</t>
        </is>
      </c>
      <c r="B224" t="inlineStr">
        <is>
          <t>Edge</t>
        </is>
      </c>
      <c r="E224" t="inlineStr">
        <is>
          <t>PR20-OP1</t>
        </is>
      </c>
      <c r="G224" t="inlineStr">
        <is>
          <t>支线（三废处理）</t>
        </is>
      </c>
      <c r="I224" t="inlineStr">
        <is>
          <t>是</t>
        </is>
      </c>
      <c r="J224" t="inlineStr">
        <is>
          <t>出水TN 2.25</t>
        </is>
      </c>
      <c r="L224">
        <f>IF(A224="","",IF(B224="Edge",IFERROR(IF(INDEX(模型流与公式!$P$5:$P$204,MATCH(A224,模型流与公式!$A$5:$A$204,0))="","",INDEX(模型流与公式!$P$5:$P$204,MATCH(A224,模型流与公式!$A$5:$A$204,0))),""),""))</f>
        <v/>
      </c>
      <c r="M224">
        <f>IF(A224="","",IF(B224="Edge",IFERROR(IF(INDEX(模型流与公式!$Q$5:$Q$204,MATCH(A224,模型流与公式!$A$5:$A$204,0))="","",INDEX(模型流与公式!$Q$5:$Q$204,MATCH(A224,模型流与公式!$A$5:$A$204,0))),""),""))</f>
        <v/>
      </c>
    </row>
    <row r="225">
      <c r="A225" t="inlineStr">
        <is>
          <t>FL-TP-20</t>
        </is>
      </c>
      <c r="B225" t="inlineStr">
        <is>
          <t>Edge</t>
        </is>
      </c>
      <c r="E225" t="inlineStr">
        <is>
          <t>PR20-OP1</t>
        </is>
      </c>
      <c r="G225" t="inlineStr">
        <is>
          <t>支线（三废处理）</t>
        </is>
      </c>
      <c r="I225" t="inlineStr">
        <is>
          <t>是</t>
        </is>
      </c>
      <c r="J225" t="inlineStr">
        <is>
          <t>出水TP 0.45</t>
        </is>
      </c>
      <c r="L225">
        <f>IF(A225="","",IF(B225="Edge",IFERROR(IF(INDEX(模型流与公式!$P$5:$P$204,MATCH(A225,模型流与公式!$A$5:$A$204,0))="","",INDEX(模型流与公式!$P$5:$P$204,MATCH(A225,模型流与公式!$A$5:$A$204,0))),""),""))</f>
        <v/>
      </c>
      <c r="M225">
        <f>IF(A225="","",IF(B225="Edge",IFERROR(IF(INDEX(模型流与公式!$Q$5:$Q$204,MATCH(A225,模型流与公式!$A$5:$A$204,0))="","",INDEX(模型流与公式!$Q$5:$Q$204,MATCH(A225,模型流与公式!$A$5:$A$204,0))),""),""))</f>
        <v/>
      </c>
    </row>
    <row r="226">
      <c r="A226" t="inlineStr">
        <is>
          <t>FL-N2-20</t>
        </is>
      </c>
      <c r="B226" t="inlineStr">
        <is>
          <t>Edge</t>
        </is>
      </c>
      <c r="E226" t="inlineStr">
        <is>
          <t>PR20-OP1</t>
        </is>
      </c>
      <c r="G226" t="inlineStr">
        <is>
          <t>支线（三废处理）</t>
        </is>
      </c>
      <c r="I226" t="inlineStr">
        <is>
          <t>是</t>
        </is>
      </c>
      <c r="J226" t="inlineStr">
        <is>
          <t>排空气N₂ 5.75</t>
        </is>
      </c>
      <c r="L226">
        <f>IF(A226="","",IF(B226="Edge",IFERROR(IF(INDEX(模型流与公式!$P$5:$P$204,MATCH(A226,模型流与公式!$A$5:$A$204,0))="","",INDEX(模型流与公式!$P$5:$P$204,MATCH(A226,模型流与公式!$A$5:$A$204,0))),""),""))</f>
        <v/>
      </c>
      <c r="M226">
        <f>IF(A226="","",IF(B226="Edge",IFERROR(IF(INDEX(模型流与公式!$Q$5:$Q$204,MATCH(A226,模型流与公式!$A$5:$A$204,0))="","",INDEX(模型流与公式!$Q$5:$Q$204,MATCH(A226,模型流与公式!$A$5:$A$204,0))),""),""))</f>
        <v/>
      </c>
    </row>
    <row r="227">
      <c r="A227" t="inlineStr">
        <is>
          <t>FL-SLN-20</t>
        </is>
      </c>
      <c r="B227" t="inlineStr">
        <is>
          <t>Edge</t>
        </is>
      </c>
      <c r="E227" t="inlineStr">
        <is>
          <t>PR20-OP1</t>
        </is>
      </c>
      <c r="G227" t="inlineStr">
        <is>
          <t>支线（三废处理）</t>
        </is>
      </c>
      <c r="I227" t="inlineStr">
        <is>
          <t>是</t>
        </is>
      </c>
      <c r="J227" t="inlineStr">
        <is>
          <t>污泥N 12</t>
        </is>
      </c>
      <c r="L227">
        <f>IF(A227="","",IF(B227="Edge",IFERROR(IF(INDEX(模型流与公式!$P$5:$P$204,MATCH(A227,模型流与公式!$A$5:$A$204,0))="","",INDEX(模型流与公式!$P$5:$P$204,MATCH(A227,模型流与公式!$A$5:$A$204,0))),""),""))</f>
        <v/>
      </c>
      <c r="M227">
        <f>IF(A227="","",IF(B227="Edge",IFERROR(IF(INDEX(模型流与公式!$Q$5:$Q$204,MATCH(A227,模型流与公式!$A$5:$A$204,0))="","",INDEX(模型流与公式!$Q$5:$Q$204,MATCH(A227,模型流与公式!$A$5:$A$204,0))),""),""))</f>
        <v/>
      </c>
    </row>
    <row r="228">
      <c r="A228" t="inlineStr">
        <is>
          <t>FL-SLP-20</t>
        </is>
      </c>
      <c r="B228" t="inlineStr">
        <is>
          <t>Edge</t>
        </is>
      </c>
      <c r="E228" t="inlineStr">
        <is>
          <t>PR20-OP1</t>
        </is>
      </c>
      <c r="G228" t="inlineStr">
        <is>
          <t>支线（三废处理）</t>
        </is>
      </c>
      <c r="I228" t="inlineStr">
        <is>
          <t>是</t>
        </is>
      </c>
      <c r="J228" t="inlineStr">
        <is>
          <t>污泥P 4.25</t>
        </is>
      </c>
      <c r="L228">
        <f>IF(A228="","",IF(B228="Edge",IFERROR(IF(INDEX(模型流与公式!$P$5:$P$204,MATCH(A228,模型流与公式!$A$5:$A$204,0))="","",INDEX(模型流与公式!$P$5:$P$204,MATCH(A228,模型流与公式!$A$5:$A$204,0))),""),""))</f>
        <v/>
      </c>
      <c r="M228">
        <f>IF(A228="","",IF(B228="Edge",IFERROR(IF(INDEX(模型流与公式!$Q$5:$Q$204,MATCH(A228,模型流与公式!$A$5:$A$204,0))="","",INDEX(模型流与公式!$Q$5:$Q$204,MATCH(A228,模型流与公式!$A$5:$A$204,0))),""),""))</f>
        <v/>
      </c>
    </row>
    <row r="229">
      <c r="A229" t="inlineStr">
        <is>
          <t>FL-SLFE-20</t>
        </is>
      </c>
      <c r="B229" t="inlineStr">
        <is>
          <t>Edge</t>
        </is>
      </c>
      <c r="E229" t="inlineStr">
        <is>
          <t>PR20-OP1</t>
        </is>
      </c>
      <c r="G229" t="inlineStr">
        <is>
          <t>支线（三废处理）</t>
        </is>
      </c>
      <c r="I229" t="inlineStr">
        <is>
          <t>是</t>
        </is>
      </c>
      <c r="J229" t="inlineStr">
        <is>
          <t>污泥Fe 7.34</t>
        </is>
      </c>
      <c r="L229">
        <f>IF(A229="","",IF(B229="Edge",IFERROR(IF(INDEX(模型流与公式!$P$5:$P$204,MATCH(A229,模型流与公式!$A$5:$A$204,0))="","",INDEX(模型流与公式!$P$5:$P$204,MATCH(A229,模型流与公式!$A$5:$A$204,0))),""),""))</f>
        <v/>
      </c>
      <c r="M229">
        <f>IF(A229="","",IF(B229="Edge",IFERROR(IF(INDEX(模型流与公式!$Q$5:$Q$204,MATCH(A229,模型流与公式!$A$5:$A$204,0))="","",INDEX(模型流与公式!$Q$5:$Q$204,MATCH(A229,模型流与公式!$A$5:$A$204,0))),""),""))</f>
        <v/>
      </c>
    </row>
    <row r="230">
      <c r="A230" t="inlineStr">
        <is>
          <t>TOP-01</t>
        </is>
      </c>
      <c r="B230" t="inlineStr">
        <is>
          <t>Topology</t>
        </is>
      </c>
      <c r="E230" t="inlineStr">
        <is>
          <t>PR01-OP1</t>
        </is>
      </c>
      <c r="F230" t="inlineStr">
        <is>
          <t>PR02-OP1</t>
        </is>
      </c>
      <c r="J230" t="inlineStr">
        <is>
          <t>原料奶（4°C）</t>
        </is>
      </c>
      <c r="U230" t="inlineStr">
        <is>
          <t>相邻步进出量一致；原文逐步直接报告，无数值登记</t>
        </is>
      </c>
    </row>
    <row r="231">
      <c r="A231" t="inlineStr">
        <is>
          <t>TOP-02</t>
        </is>
      </c>
      <c r="B231" t="inlineStr">
        <is>
          <t>Topology</t>
        </is>
      </c>
      <c r="E231" t="inlineStr">
        <is>
          <t>PR04-OP1</t>
        </is>
      </c>
      <c r="F231" t="inlineStr">
        <is>
          <t>PR05-OP1</t>
        </is>
      </c>
      <c r="J231" t="inlineStr">
        <is>
          <t>脱脂奶</t>
        </is>
      </c>
      <c r="U231" t="inlineStr">
        <is>
          <t>相邻步进出量一致；原文逐步直接报告，无数值登记</t>
        </is>
      </c>
    </row>
    <row r="232">
      <c r="A232" t="inlineStr">
        <is>
          <t>TOP-03</t>
        </is>
      </c>
      <c r="B232" t="inlineStr">
        <is>
          <t>Topology</t>
        </is>
      </c>
      <c r="E232" t="inlineStr">
        <is>
          <t>PR07-OP1</t>
        </is>
      </c>
      <c r="F232" t="inlineStr">
        <is>
          <t>PR08-OP1</t>
        </is>
      </c>
      <c r="J232" t="inlineStr">
        <is>
          <t>乳清</t>
        </is>
      </c>
      <c r="U232" t="inlineStr">
        <is>
          <t>相邻步进出量一致；原文逐步直接报告，无数值登记</t>
        </is>
      </c>
    </row>
    <row r="233">
      <c r="A233" t="inlineStr">
        <is>
          <t>TOP-04</t>
        </is>
      </c>
      <c r="B233" t="inlineStr">
        <is>
          <t>Topology</t>
        </is>
      </c>
      <c r="E233" t="inlineStr">
        <is>
          <t>PR09-OP1</t>
        </is>
      </c>
      <c r="F233" t="inlineStr">
        <is>
          <t>PR10-OP1</t>
        </is>
      </c>
      <c r="J233" t="inlineStr">
        <is>
          <t>WPI浓缩液（4°C）</t>
        </is>
      </c>
      <c r="U233" t="inlineStr">
        <is>
          <t>相邻步进出量一致；原文逐步直接报告，无数值登记</t>
        </is>
      </c>
    </row>
    <row r="234">
      <c r="A234" t="inlineStr">
        <is>
          <t>OPR-PR01-EL</t>
        </is>
      </c>
      <c r="B234" t="inlineStr">
        <is>
          <t>OpEnergy</t>
        </is>
      </c>
      <c r="E234" t="inlineStr">
        <is>
          <t>PR01</t>
        </is>
      </c>
      <c r="J234" t="inlineStr">
        <is>
          <t>电力（生产）</t>
        </is>
      </c>
      <c r="L234" t="n">
        <v>1138</v>
      </c>
      <c r="M234" t="inlineStr">
        <is>
          <t>kWh/d</t>
        </is>
      </c>
      <c r="U234" t="inlineStr">
        <is>
          <t>＝FL-EL-01；分项实测加总（TOTALs未给出）</t>
        </is>
      </c>
    </row>
    <row r="235">
      <c r="A235" t="inlineStr">
        <is>
          <t>OPR-PR02-EL</t>
        </is>
      </c>
      <c r="B235" t="inlineStr">
        <is>
          <t>OpEnergy</t>
        </is>
      </c>
      <c r="E235" t="inlineStr">
        <is>
          <t>PR02</t>
        </is>
      </c>
      <c r="J235" t="inlineStr">
        <is>
          <t>电力（生产）</t>
        </is>
      </c>
      <c r="L235" t="n">
        <v>1035</v>
      </c>
      <c r="M235" t="inlineStr">
        <is>
          <t>kWh/d</t>
        </is>
      </c>
      <c r="U235" t="inlineStr">
        <is>
          <t>＝FL-EL-02；分项实测加总（TOTALs未给出）</t>
        </is>
      </c>
    </row>
    <row r="236">
      <c r="A236" t="inlineStr">
        <is>
          <t>OPR-PR03-EL</t>
        </is>
      </c>
      <c r="B236" t="inlineStr">
        <is>
          <t>OpEnergy</t>
        </is>
      </c>
      <c r="E236" t="inlineStr">
        <is>
          <t>PR03</t>
        </is>
      </c>
      <c r="J236" t="inlineStr">
        <is>
          <t>电力（生产）</t>
        </is>
      </c>
      <c r="L236" t="n">
        <v>1216.4</v>
      </c>
      <c r="M236" t="inlineStr">
        <is>
          <t>kWh/d</t>
        </is>
      </c>
      <c r="U236" t="inlineStr">
        <is>
          <t>＝FL-EL-03；原文TOTALs直接报告</t>
        </is>
      </c>
    </row>
    <row r="237">
      <c r="A237" t="inlineStr">
        <is>
          <t>OPR-PR04-EL</t>
        </is>
      </c>
      <c r="B237" t="inlineStr">
        <is>
          <t>OpEnergy</t>
        </is>
      </c>
      <c r="E237" t="inlineStr">
        <is>
          <t>PR04</t>
        </is>
      </c>
      <c r="J237" t="inlineStr">
        <is>
          <t>电力（生产）</t>
        </is>
      </c>
      <c r="L237" t="n">
        <v>1440</v>
      </c>
      <c r="M237" t="inlineStr">
        <is>
          <t>kWh/d</t>
        </is>
      </c>
      <c r="U237" t="inlineStr">
        <is>
          <t>＝FL-EL-04；分项实测加总（TOTALs未给出）</t>
        </is>
      </c>
    </row>
    <row r="238">
      <c r="A238" t="inlineStr">
        <is>
          <t>OPR-PR04-GAS</t>
        </is>
      </c>
      <c r="B238" t="inlineStr">
        <is>
          <t>OpEnergy</t>
        </is>
      </c>
      <c r="E238" t="inlineStr">
        <is>
          <t>PR04</t>
        </is>
      </c>
      <c r="J238" t="inlineStr">
        <is>
          <t>燃气热（生产）</t>
        </is>
      </c>
      <c r="L238" t="n">
        <v>19465</v>
      </c>
      <c r="M238" t="inlineStr">
        <is>
          <t>MJ/d</t>
        </is>
      </c>
      <c r="U238" t="inlineStr">
        <is>
          <t>＝FL-GAS-04；燃气锅炉</t>
        </is>
      </c>
    </row>
    <row r="239">
      <c r="A239" t="inlineStr">
        <is>
          <t>OPR-PR05-EL</t>
        </is>
      </c>
      <c r="B239" t="inlineStr">
        <is>
          <t>OpEnergy</t>
        </is>
      </c>
      <c r="E239" t="inlineStr">
        <is>
          <t>PR05</t>
        </is>
      </c>
      <c r="J239" t="inlineStr">
        <is>
          <t>电力（生产）</t>
        </is>
      </c>
      <c r="L239" t="n">
        <v>8153</v>
      </c>
      <c r="M239" t="inlineStr">
        <is>
          <t>kWh/d</t>
        </is>
      </c>
      <c r="U239" t="inlineStr">
        <is>
          <t>＝FL-EL-05；分项实测加总（TOTALs未给出）</t>
        </is>
      </c>
    </row>
    <row r="240">
      <c r="A240" t="inlineStr">
        <is>
          <t>OPR-PR05-GAS</t>
        </is>
      </c>
      <c r="B240" t="inlineStr">
        <is>
          <t>OpEnergy</t>
        </is>
      </c>
      <c r="E240" t="inlineStr">
        <is>
          <t>PR05</t>
        </is>
      </c>
      <c r="J240" t="inlineStr">
        <is>
          <t>燃气热（生产）</t>
        </is>
      </c>
      <c r="L240" t="n">
        <v>54075</v>
      </c>
      <c r="M240" t="inlineStr">
        <is>
          <t>MJ/d</t>
        </is>
      </c>
      <c r="U240" t="inlineStr">
        <is>
          <t>＝FL-GAS-05；燃气锅炉</t>
        </is>
      </c>
    </row>
    <row r="241">
      <c r="A241" t="inlineStr">
        <is>
          <t>OPR-PR06-EL</t>
        </is>
      </c>
      <c r="B241" t="inlineStr">
        <is>
          <t>OpEnergy</t>
        </is>
      </c>
      <c r="E241" t="inlineStr">
        <is>
          <t>PR06</t>
        </is>
      </c>
      <c r="J241" t="inlineStr">
        <is>
          <t>电力（生产）</t>
        </is>
      </c>
      <c r="L241" t="n">
        <v>3685</v>
      </c>
      <c r="M241" t="inlineStr">
        <is>
          <t>kWh/d</t>
        </is>
      </c>
      <c r="U241" t="inlineStr">
        <is>
          <t>＝FL-EL-06；分项实测加总（TOTALs未给出）</t>
        </is>
      </c>
    </row>
    <row r="242">
      <c r="A242" t="inlineStr">
        <is>
          <t>OPR-PR07-EL</t>
        </is>
      </c>
      <c r="B242" t="inlineStr">
        <is>
          <t>OpEnergy</t>
        </is>
      </c>
      <c r="E242" t="inlineStr">
        <is>
          <t>PR07</t>
        </is>
      </c>
      <c r="J242" t="inlineStr">
        <is>
          <t>电力（生产）</t>
        </is>
      </c>
      <c r="L242" t="n">
        <v>38</v>
      </c>
      <c r="M242" t="inlineStr">
        <is>
          <t>kWh/d</t>
        </is>
      </c>
      <c r="U242" t="inlineStr">
        <is>
          <t>＝FL-EL-07；分项实测加总（TOTALs未给出）</t>
        </is>
      </c>
    </row>
    <row r="243">
      <c r="A243" t="inlineStr">
        <is>
          <t>OPR-PR08-EL</t>
        </is>
      </c>
      <c r="B243" t="inlineStr">
        <is>
          <t>OpEnergy</t>
        </is>
      </c>
      <c r="E243" t="inlineStr">
        <is>
          <t>PR08</t>
        </is>
      </c>
      <c r="J243" t="inlineStr">
        <is>
          <t>电力（生产）</t>
        </is>
      </c>
      <c r="L243" t="n">
        <v>2213</v>
      </c>
      <c r="M243" t="inlineStr">
        <is>
          <t>kWh/d</t>
        </is>
      </c>
      <c r="U243" t="inlineStr">
        <is>
          <t>＝FL-EL-08；分项实测加总（TOTALs未给出）</t>
        </is>
      </c>
    </row>
    <row r="244">
      <c r="A244" t="inlineStr">
        <is>
          <t>OPR-PR09-EL</t>
        </is>
      </c>
      <c r="B244" t="inlineStr">
        <is>
          <t>OpEnergy</t>
        </is>
      </c>
      <c r="E244" t="inlineStr">
        <is>
          <t>PR09</t>
        </is>
      </c>
      <c r="J244" t="inlineStr">
        <is>
          <t>电力（生产）</t>
        </is>
      </c>
      <c r="L244" t="n">
        <v>129</v>
      </c>
      <c r="M244" t="inlineStr">
        <is>
          <t>kWh/d</t>
        </is>
      </c>
      <c r="U244" t="inlineStr">
        <is>
          <t>＝FL-EL-09；分项实测加总（TOTALs未给出）</t>
        </is>
      </c>
    </row>
    <row r="245">
      <c r="A245" t="inlineStr">
        <is>
          <t>OPR-PR10-EL</t>
        </is>
      </c>
      <c r="B245" t="inlineStr">
        <is>
          <t>OpEnergy</t>
        </is>
      </c>
      <c r="E245" t="inlineStr">
        <is>
          <t>PR10</t>
        </is>
      </c>
      <c r="J245" t="inlineStr">
        <is>
          <t>电力（生产）</t>
        </is>
      </c>
      <c r="L245" t="n">
        <v>1.2</v>
      </c>
      <c r="M245" t="inlineStr">
        <is>
          <t>kWh/d</t>
        </is>
      </c>
      <c r="U245" t="inlineStr">
        <is>
          <t>＝FL-EL-10；分项实测加总（TOTALs未给出）</t>
        </is>
      </c>
    </row>
    <row r="246">
      <c r="A246" t="inlineStr">
        <is>
          <t>OPR-PR11-EL</t>
        </is>
      </c>
      <c r="B246" t="inlineStr">
        <is>
          <t>OpEnergy</t>
        </is>
      </c>
      <c r="E246" t="inlineStr">
        <is>
          <t>PR11</t>
        </is>
      </c>
      <c r="J246" t="inlineStr">
        <is>
          <t>电力（生产）</t>
        </is>
      </c>
      <c r="L246" t="n">
        <v>1535</v>
      </c>
      <c r="M246" t="inlineStr">
        <is>
          <t>kWh/d</t>
        </is>
      </c>
      <c r="U246" t="inlineStr">
        <is>
          <t>＝FL-EL-11；分项实测加总（TOTALs未给出）</t>
        </is>
      </c>
    </row>
    <row r="247">
      <c r="A247" t="inlineStr">
        <is>
          <t>OPR-PR12-EL</t>
        </is>
      </c>
      <c r="B247" t="inlineStr">
        <is>
          <t>OpEnergy</t>
        </is>
      </c>
      <c r="E247" t="inlineStr">
        <is>
          <t>PR12</t>
        </is>
      </c>
      <c r="J247" t="inlineStr">
        <is>
          <t>电力（生产）</t>
        </is>
      </c>
      <c r="L247" t="n">
        <v>172</v>
      </c>
      <c r="M247" t="inlineStr">
        <is>
          <t>kWh/d</t>
        </is>
      </c>
      <c r="U247" t="inlineStr">
        <is>
          <t>＝FL-EL-12；分项实测加总（TOTALs未给出）</t>
        </is>
      </c>
    </row>
    <row r="248">
      <c r="A248" t="inlineStr">
        <is>
          <t>OPR-PR20-EL</t>
        </is>
      </c>
      <c r="B248" t="inlineStr">
        <is>
          <t>OpEnergy</t>
        </is>
      </c>
      <c r="E248" t="inlineStr">
        <is>
          <t>PR20</t>
        </is>
      </c>
      <c r="J248" t="inlineStr">
        <is>
          <t>电力（生产）</t>
        </is>
      </c>
      <c r="L248" t="n">
        <v>5050.7</v>
      </c>
      <c r="M248" t="inlineStr">
        <is>
          <t>kWh/d</t>
        </is>
      </c>
      <c r="U248" t="inlineStr">
        <is>
          <t>＝FL-EL-20；分项实测加总（TOTALs未给出）</t>
        </is>
      </c>
    </row>
    <row r="249">
      <c r="A249" t="inlineStr">
        <is>
          <t>NOTE-01</t>
        </is>
      </c>
      <c r="B249" t="inlineStr">
        <is>
          <t>Note</t>
        </is>
      </c>
      <c r="E249" t="inlineStr">
        <is>
          <t>ALL</t>
        </is>
      </c>
      <c r="J249" t="inlineStr">
        <is>
          <t>资本品：Machines段设备/部件级材料81条，合计约26.6 kg/d（按天摊销，WPI边界），逐条见冻结清单；8条无数据未计入</t>
        </is>
      </c>
    </row>
    <row r="250">
      <c r="A250" t="inlineStr">
        <is>
          <t>NOTE-02</t>
        </is>
      </c>
      <c r="B250" t="inlineStr">
        <is>
          <t>Note</t>
        </is>
      </c>
      <c r="E250" t="inlineStr">
        <is>
          <t>ALL</t>
        </is>
      </c>
      <c r="J250" t="inlineStr">
        <is>
          <t>CIP清洗：清洗剂/水/热/电逐步给出（清洗电约2084.0 kWh/d、热约17290.1 MJ/d、水约194.2 m³/d，WPI边界），逐条见冻结清单</t>
        </is>
      </c>
    </row>
    <row r="251">
      <c r="A251" t="inlineStr">
        <is>
          <t>NOTE-03</t>
        </is>
      </c>
      <c r="B251" t="inlineStr">
        <is>
          <t>Note</t>
        </is>
      </c>
      <c r="E251" t="inlineStr">
        <is>
          <t>ALL</t>
        </is>
      </c>
      <c r="J251" t="inlineStr">
        <is>
          <t>制冷剂NH3补加逐步给出（1_RCS为m³/d，其余kg/d），逐条见冻结清单</t>
        </is>
      </c>
    </row>
    <row r="252">
      <c r="A252" t="inlineStr">
        <is>
          <t>NOTE-04</t>
        </is>
      </c>
      <c r="B252" t="inlineStr">
        <is>
          <t>Note</t>
        </is>
      </c>
      <c r="E252" t="inlineStr">
        <is>
          <t>PR20</t>
        </is>
      </c>
      <c r="J252" t="inlineStr">
        <is>
          <t>污水站出水450 m³/d为proxy参考流（Q-15/GB-04），与进水191.7 m³/d不对应，按proxy口径使用</t>
        </is>
      </c>
    </row>
    <row r="253">
      <c r="A253" t="inlineStr">
        <is>
          <t>NOTE-05</t>
        </is>
      </c>
      <c r="B253" t="inlineStr">
        <is>
          <t>Note</t>
        </is>
      </c>
      <c r="E253" t="inlineStr">
        <is>
          <t>ALL</t>
        </is>
      </c>
      <c r="J253" t="inlineStr">
        <is>
          <t>单位口径：液体 m³/d、产品/化学品 kg/d、电力 kWh/d、热量 MJ/d；计量基础＝1天生产</t>
        </is>
      </c>
    </row>
    <row r="254">
      <c r="A254" t="inlineStr">
        <is>
          <t>NOTE-06</t>
        </is>
      </c>
      <c r="B254" t="inlineStr">
        <is>
          <t>Note</t>
        </is>
      </c>
      <c r="E254" t="inlineStr">
        <is>
          <t>ALL</t>
        </is>
      </c>
      <c r="J254" t="inlineStr">
        <is>
          <t>产品干物质组成原文未报告（组成%为示意图层参考数据，不采用）</t>
        </is>
      </c>
    </row>
    <row r="255">
      <c r="A255" t="inlineStr">
        <is>
          <t>NOTE-07</t>
        </is>
      </c>
      <c r="B255" t="inlineStr">
        <is>
          <t>Note</t>
        </is>
      </c>
      <c r="E255" t="inlineStr">
        <is>
          <t>ALL</t>
        </is>
      </c>
      <c r="J255" t="inlineStr">
        <is>
          <t>边界：原料奶进厂→WPI浓缩液出厂（含4°C 100km冷藏运输）；含乳糖回收、清洗废水处理与设备资本品；α/β蛋白分离（PR13-19）不在系统边界内；不含电力/化学品生产背景过程</t>
        </is>
      </c>
    </row>
  </sheetData>
  <dataValidations count="7">
    <dataValidation sqref="B5:B204" showDropDown="0" showInputMessage="0" showErrorMessage="0" allowBlank="0" type="list">
      <formula1>"Container,Node,Edge,Note"</formula1>
    </dataValidation>
    <dataValidation sqref="H5:H204" showDropDown="0" showInputMessage="0" showErrorMessage="0" allowBlank="0" type="list">
      <formula1>"as_modelled,expand_confirmed,collapse_confirmed"</formula1>
    </dataValidation>
    <dataValidation sqref="I5:I204" showDropDown="0" showInputMessage="0" showErrorMessage="0" allowBlank="0" type="list">
      <formula1>"是,否,待确认"</formula1>
    </dataValidation>
    <dataValidation sqref="K5:K204" showDropDown="0" showInputMessage="0" showErrorMessage="0" allowBlank="0" type="list">
      <formula1>"是,否"</formula1>
    </dataValidation>
    <dataValidation sqref="N5:N204" showDropDown="0" showInputMessage="0" showErrorMessage="0" allowBlank="0" type="list">
      <formula1>"name,name_value,id_name_value,none"</formula1>
    </dataValidation>
    <dataValidation sqref="P5:Q204" showDropDown="0" showInputMessage="0" showErrorMessage="0" allowBlank="0" type="list">
      <formula1>"待确认,已确认,重新打开"</formula1>
    </dataValidation>
    <dataValidation sqref="S5:S204" showDropDown="0" showInputMessage="0" showErrorMessage="0" allowBlank="0" type="list">
      <formula1>"PASS,REVIEW,BLOCKED,NOT_CHECKED"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423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5" customWidth="1" min="4" max="4"/>
    <col width="25" customWidth="1" min="5" max="5"/>
    <col width="25" customWidth="1" min="6" max="6"/>
    <col width="16" customWidth="1" min="7" max="7"/>
    <col width="16" customWidth="1" min="8" max="8"/>
    <col width="16" customWidth="1" min="9" max="9"/>
    <col width="2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25" customWidth="1" min="16" max="16"/>
    <col width="18" customWidth="1" min="17" max="17"/>
    <col width="18" customWidth="1" min="18" max="18"/>
    <col width="18" customWidth="1" min="19" max="19"/>
    <col width="26" customWidth="1" min="20" max="20"/>
  </cols>
  <sheetData>
    <row r="1">
      <c r="A1" s="44" t="inlineStr">
        <is>
          <t>来源候选数据</t>
        </is>
      </c>
    </row>
    <row r="2">
      <c r="A2" s="37" t="inlineStr">
        <is>
          <t>每行一个来源数值；原始值与研究基准换算值分开。采用决定写回模型参数或模型流。</t>
        </is>
      </c>
    </row>
    <row r="4" ht="34" customHeight="1">
      <c r="A4" s="42" t="inlineStr">
        <is>
          <t>候选ID</t>
        </is>
      </c>
      <c r="B4" s="42" t="inlineStr">
        <is>
          <t>目标对象类型</t>
        </is>
      </c>
      <c r="C4" s="42" t="inlineStr">
        <is>
          <t>目标对象ID</t>
        </is>
      </c>
      <c r="D4" s="42" t="inlineStr">
        <is>
          <t>来源ID</t>
        </is>
      </c>
      <c r="E4" s="42" t="inlineStr">
        <is>
          <t>证据位置</t>
        </is>
      </c>
      <c r="F4" s="42" t="inlineStr">
        <is>
          <t>来源原名</t>
        </is>
      </c>
      <c r="G4" s="42" t="inlineStr">
        <is>
          <t>原始值</t>
        </is>
      </c>
      <c r="H4" s="42" t="inlineStr">
        <is>
          <t>原始单位</t>
        </is>
      </c>
      <c r="I4" s="42" t="inlineStr">
        <is>
          <t>原始基准</t>
        </is>
      </c>
      <c r="J4" s="42" t="inlineStr">
        <is>
          <t>适用条件</t>
        </is>
      </c>
      <c r="K4" s="42" t="inlineStr">
        <is>
          <t>分布类型</t>
        </is>
      </c>
      <c r="L4" s="42" t="inlineStr">
        <is>
          <t>分布参数</t>
        </is>
      </c>
      <c r="M4" s="42" t="inlineStr">
        <is>
          <t>换算值</t>
        </is>
      </c>
      <c r="N4" s="42" t="inlineStr">
        <is>
          <t>换算单位</t>
        </is>
      </c>
      <c r="O4" s="42" t="inlineStr">
        <is>
          <t>研究基准</t>
        </is>
      </c>
      <c r="P4" s="42" t="inlineStr">
        <is>
          <t>换算依据</t>
        </is>
      </c>
      <c r="Q4" s="42" t="inlineStr">
        <is>
          <t>可比性</t>
        </is>
      </c>
      <c r="R4" s="42" t="inlineStr">
        <is>
          <t>采用状态</t>
        </is>
      </c>
      <c r="S4" s="42" t="inlineStr">
        <is>
          <t>决策ID</t>
        </is>
      </c>
      <c r="T4" s="42" t="inlineStr">
        <is>
          <t>备注</t>
        </is>
      </c>
    </row>
    <row r="5" ht="25" customHeight="1">
      <c r="A5" s="47" t="inlineStr">
        <is>
          <t>CT-PA-RM-FAT</t>
        </is>
      </c>
      <c r="B5" s="47" t="inlineStr">
        <is>
          <t>参数</t>
        </is>
      </c>
      <c r="C5" s="47" t="inlineStr">
        <is>
          <t>PA-RM-FAT</t>
        </is>
      </c>
      <c r="D5" s="47" t="inlineStr">
        <is>
          <t>SRC-PDF</t>
        </is>
      </c>
      <c r="E5" s="47" t="inlineStr">
        <is>
          <t>p1 Raw milk 框</t>
        </is>
      </c>
      <c r="F5" s="47" t="inlineStr">
        <is>
          <t>% fat</t>
        </is>
      </c>
      <c r="G5" s="47" t="n">
        <v>0.04</v>
      </c>
      <c r="H5" s="47" t="inlineStr">
        <is>
          <t>g/g</t>
        </is>
      </c>
      <c r="I5" s="47" t="inlineStr">
        <is>
          <t>质量分数（湿基）</t>
        </is>
      </c>
      <c r="J5" s="47" t="inlineStr">
        <is>
          <t>日产工况（1天，kg/j 基准）</t>
        </is>
      </c>
      <c r="K5" s="47" t="inlineStr">
        <is>
          <t>FIXED</t>
        </is>
      </c>
      <c r="L5" s="47" t="inlineStr"/>
      <c r="M5" s="47" t="inlineStr"/>
      <c r="N5" s="47" t="inlineStr"/>
      <c r="O5" s="47" t="inlineStr"/>
      <c r="P5" s="47" t="inlineStr"/>
      <c r="Q5" s="47" t="inlineStr">
        <is>
          <t>可直接比较</t>
        </is>
      </c>
      <c r="R5" s="47" t="inlineStr">
        <is>
          <t>不采用</t>
        </is>
      </c>
      <c r="S5" s="47" t="inlineStr">
        <is>
          <t>D-A1</t>
        </is>
      </c>
      <c r="T5" s="47" t="inlineStr">
        <is>
          <t>原料奶；示意图层/分配参考数据，仅备查不作基准（2026-09-28用户指示）</t>
        </is>
      </c>
    </row>
    <row r="6" ht="25" customHeight="1">
      <c r="A6" s="47" t="inlineStr">
        <is>
          <t>CT-PA-RM-DM</t>
        </is>
      </c>
      <c r="B6" s="47" t="inlineStr">
        <is>
          <t>参数</t>
        </is>
      </c>
      <c r="C6" s="47" t="inlineStr">
        <is>
          <t>PA-RM-DM</t>
        </is>
      </c>
      <c r="D6" s="47" t="inlineStr">
        <is>
          <t>SRC-PDF</t>
        </is>
      </c>
      <c r="E6" s="47" t="inlineStr">
        <is>
          <t>p1 Raw milk 框</t>
        </is>
      </c>
      <c r="F6" s="47" t="inlineStr">
        <is>
          <t>% DM</t>
        </is>
      </c>
      <c r="G6" s="47" t="n">
        <v>0.127</v>
      </c>
      <c r="H6" s="47" t="inlineStr">
        <is>
          <t>g/g</t>
        </is>
      </c>
      <c r="I6" s="47" t="inlineStr">
        <is>
          <t>质量分数（湿基）</t>
        </is>
      </c>
      <c r="J6" s="47" t="inlineStr">
        <is>
          <t>日产工况（1天，kg/j 基准）</t>
        </is>
      </c>
      <c r="K6" s="47" t="inlineStr">
        <is>
          <t>FIXED</t>
        </is>
      </c>
      <c r="L6" s="47" t="inlineStr"/>
      <c r="M6" s="47" t="inlineStr"/>
      <c r="N6" s="47" t="inlineStr"/>
      <c r="O6" s="47" t="inlineStr"/>
      <c r="P6" s="47" t="inlineStr"/>
      <c r="Q6" s="47" t="inlineStr">
        <is>
          <t>可直接比较</t>
        </is>
      </c>
      <c r="R6" s="47" t="inlineStr">
        <is>
          <t>不采用</t>
        </is>
      </c>
      <c r="S6" s="47" t="inlineStr">
        <is>
          <t>D-A1</t>
        </is>
      </c>
      <c r="T6" s="47" t="inlineStr">
        <is>
          <t>原料奶；示意图层/分配参考数据，仅备查不作基准（2026-09-28用户指示）</t>
        </is>
      </c>
    </row>
    <row r="7" ht="25" customHeight="1">
      <c r="A7" s="47" t="inlineStr">
        <is>
          <t>CT-PA-RM-PRO</t>
        </is>
      </c>
      <c r="B7" s="47" t="inlineStr">
        <is>
          <t>参数</t>
        </is>
      </c>
      <c r="C7" s="47" t="inlineStr">
        <is>
          <t>PA-RM-PRO</t>
        </is>
      </c>
      <c r="D7" s="47" t="inlineStr">
        <is>
          <t>SRC-PDF</t>
        </is>
      </c>
      <c r="E7" s="47" t="inlineStr">
        <is>
          <t>p1 Raw milk 框</t>
        </is>
      </c>
      <c r="F7" s="47" t="inlineStr">
        <is>
          <t>% protein</t>
        </is>
      </c>
      <c r="G7" s="47" t="n">
        <v>0.032</v>
      </c>
      <c r="H7" s="47" t="inlineStr">
        <is>
          <t>g/g</t>
        </is>
      </c>
      <c r="I7" s="47" t="inlineStr">
        <is>
          <t>质量分数（湿基）</t>
        </is>
      </c>
      <c r="J7" s="47" t="inlineStr">
        <is>
          <t>日产工况（1天，kg/j 基准）</t>
        </is>
      </c>
      <c r="K7" s="47" t="inlineStr">
        <is>
          <t>FIXED</t>
        </is>
      </c>
      <c r="L7" s="47" t="inlineStr"/>
      <c r="M7" s="47" t="inlineStr"/>
      <c r="N7" s="47" t="inlineStr"/>
      <c r="O7" s="47" t="inlineStr"/>
      <c r="P7" s="47" t="inlineStr"/>
      <c r="Q7" s="47" t="inlineStr">
        <is>
          <t>可直接比较</t>
        </is>
      </c>
      <c r="R7" s="47" t="inlineStr">
        <is>
          <t>不采用</t>
        </is>
      </c>
      <c r="S7" s="47" t="inlineStr">
        <is>
          <t>D-A1</t>
        </is>
      </c>
      <c r="T7" s="47" t="inlineStr">
        <is>
          <t>原料奶；示意图层/分配参考数据，仅备查不作基准（2026-09-28用户指示）</t>
        </is>
      </c>
    </row>
    <row r="8" ht="25" customHeight="1">
      <c r="A8" s="47" t="inlineStr">
        <is>
          <t>CT-PA-SKIM-FAT</t>
        </is>
      </c>
      <c r="B8" s="47" t="inlineStr">
        <is>
          <t>参数</t>
        </is>
      </c>
      <c r="C8" s="47" t="inlineStr">
        <is>
          <t>PA-SKIM-FAT</t>
        </is>
      </c>
      <c r="D8" s="47" t="inlineStr">
        <is>
          <t>SRC-PDF</t>
        </is>
      </c>
      <c r="E8" s="47" t="inlineStr">
        <is>
          <t>p1 Skimmed milk 框</t>
        </is>
      </c>
      <c r="F8" s="47" t="inlineStr">
        <is>
          <t>% fat</t>
        </is>
      </c>
      <c r="G8" s="47" t="n">
        <v>0.0005</v>
      </c>
      <c r="H8" s="47" t="inlineStr">
        <is>
          <t>g/g</t>
        </is>
      </c>
      <c r="I8" s="47" t="inlineStr">
        <is>
          <t>质量分数（湿基）</t>
        </is>
      </c>
      <c r="J8" s="47" t="inlineStr">
        <is>
          <t>日产工况（1天，kg/j 基准）</t>
        </is>
      </c>
      <c r="K8" s="47" t="inlineStr">
        <is>
          <t>FIXED</t>
        </is>
      </c>
      <c r="L8" s="47" t="inlineStr"/>
      <c r="M8" s="47" t="inlineStr"/>
      <c r="N8" s="47" t="inlineStr"/>
      <c r="O8" s="47" t="inlineStr"/>
      <c r="P8" s="47" t="inlineStr"/>
      <c r="Q8" s="47" t="inlineStr">
        <is>
          <t>可直接比较</t>
        </is>
      </c>
      <c r="R8" s="47" t="inlineStr">
        <is>
          <t>不采用</t>
        </is>
      </c>
      <c r="S8" s="47" t="inlineStr">
        <is>
          <t>D-A1</t>
        </is>
      </c>
      <c r="T8" s="47" t="inlineStr">
        <is>
          <t>脱脂奶；示意图层/分配参考数据，仅备查不作基准（2026-09-28用户指示）</t>
        </is>
      </c>
    </row>
    <row r="9" ht="25" customHeight="1">
      <c r="A9" s="47" t="inlineStr">
        <is>
          <t>CT-PA-SKIM-DM</t>
        </is>
      </c>
      <c r="B9" s="47" t="inlineStr">
        <is>
          <t>参数</t>
        </is>
      </c>
      <c r="C9" s="47" t="inlineStr">
        <is>
          <t>PA-SKIM-DM</t>
        </is>
      </c>
      <c r="D9" s="47" t="inlineStr">
        <is>
          <t>SRC-PDF</t>
        </is>
      </c>
      <c r="E9" s="47" t="inlineStr">
        <is>
          <t>p1 Skimmed milk 框</t>
        </is>
      </c>
      <c r="F9" s="47" t="inlineStr">
        <is>
          <t>% DM</t>
        </is>
      </c>
      <c r="G9" s="47" t="n">
        <v>0.0916</v>
      </c>
      <c r="H9" s="47" t="inlineStr">
        <is>
          <t>g/g</t>
        </is>
      </c>
      <c r="I9" s="47" t="inlineStr">
        <is>
          <t>质量分数（湿基）</t>
        </is>
      </c>
      <c r="J9" s="47" t="inlineStr">
        <is>
          <t>日产工况（1天，kg/j 基准）</t>
        </is>
      </c>
      <c r="K9" s="47" t="inlineStr">
        <is>
          <t>FIXED</t>
        </is>
      </c>
      <c r="L9" s="47" t="inlineStr"/>
      <c r="M9" s="47" t="inlineStr"/>
      <c r="N9" s="47" t="inlineStr"/>
      <c r="O9" s="47" t="inlineStr"/>
      <c r="P9" s="47" t="inlineStr"/>
      <c r="Q9" s="47" t="inlineStr">
        <is>
          <t>可直接比较</t>
        </is>
      </c>
      <c r="R9" s="47" t="inlineStr">
        <is>
          <t>不采用</t>
        </is>
      </c>
      <c r="S9" s="47" t="inlineStr">
        <is>
          <t>D-A1</t>
        </is>
      </c>
      <c r="T9" s="47" t="inlineStr">
        <is>
          <t>脱脂奶；示意图层/分配参考数据，仅备查不作基准（2026-09-28用户指示）</t>
        </is>
      </c>
    </row>
    <row r="10" ht="25" customHeight="1">
      <c r="A10" s="47" t="inlineStr">
        <is>
          <t>CT-PA-SKIM-PRO</t>
        </is>
      </c>
      <c r="B10" s="47" t="inlineStr">
        <is>
          <t>参数</t>
        </is>
      </c>
      <c r="C10" s="47" t="inlineStr">
        <is>
          <t>PA-SKIM-PRO</t>
        </is>
      </c>
      <c r="D10" s="47" t="inlineStr">
        <is>
          <t>SRC-PDF</t>
        </is>
      </c>
      <c r="E10" s="47" t="inlineStr">
        <is>
          <t>p1 Skimmed milk 框</t>
        </is>
      </c>
      <c r="F10" s="47" t="inlineStr">
        <is>
          <t>% protein</t>
        </is>
      </c>
      <c r="G10" s="47" t="n">
        <v>0.0329</v>
      </c>
      <c r="H10" s="47" t="inlineStr">
        <is>
          <t>g/g</t>
        </is>
      </c>
      <c r="I10" s="47" t="inlineStr">
        <is>
          <t>质量分数（湿基）</t>
        </is>
      </c>
      <c r="J10" s="47" t="inlineStr">
        <is>
          <t>日产工况（1天，kg/j 基准）</t>
        </is>
      </c>
      <c r="K10" s="47" t="inlineStr">
        <is>
          <t>FIXED</t>
        </is>
      </c>
      <c r="L10" s="47" t="inlineStr"/>
      <c r="M10" s="47" t="inlineStr"/>
      <c r="N10" s="47" t="inlineStr"/>
      <c r="O10" s="47" t="inlineStr"/>
      <c r="P10" s="47" t="inlineStr"/>
      <c r="Q10" s="47" t="inlineStr">
        <is>
          <t>可直接比较</t>
        </is>
      </c>
      <c r="R10" s="47" t="inlineStr">
        <is>
          <t>不采用</t>
        </is>
      </c>
      <c r="S10" s="47" t="inlineStr">
        <is>
          <t>D-A1</t>
        </is>
      </c>
      <c r="T10" s="47" t="inlineStr">
        <is>
          <t>脱脂奶；示意图层/分配参考数据，仅备查不作基准（2026-09-28用户指示）</t>
        </is>
      </c>
    </row>
    <row r="11" ht="25" customHeight="1">
      <c r="A11" s="47" t="inlineStr">
        <is>
          <t>CT-PA-CREAM-FAT</t>
        </is>
      </c>
      <c r="B11" s="47" t="inlineStr">
        <is>
          <t>参数</t>
        </is>
      </c>
      <c r="C11" s="47" t="inlineStr">
        <is>
          <t>PA-CREAM-FAT</t>
        </is>
      </c>
      <c r="D11" s="47" t="inlineStr">
        <is>
          <t>SRC-PDF</t>
        </is>
      </c>
      <c r="E11" s="47" t="inlineStr">
        <is>
          <t>p1 Raw cream 框</t>
        </is>
      </c>
      <c r="F11" s="47" t="inlineStr">
        <is>
          <t>% fat</t>
        </is>
      </c>
      <c r="G11" s="47" t="n">
        <v>0.307</v>
      </c>
      <c r="H11" s="47" t="inlineStr">
        <is>
          <t>g/g</t>
        </is>
      </c>
      <c r="I11" s="47" t="inlineStr">
        <is>
          <t>质量分数（湿基）</t>
        </is>
      </c>
      <c r="J11" s="47" t="inlineStr">
        <is>
          <t>日产工况（1天，kg/j 基准）</t>
        </is>
      </c>
      <c r="K11" s="47" t="inlineStr">
        <is>
          <t>FIXED</t>
        </is>
      </c>
      <c r="L11" s="47" t="inlineStr"/>
      <c r="M11" s="47" t="inlineStr"/>
      <c r="N11" s="47" t="inlineStr"/>
      <c r="O11" s="47" t="inlineStr"/>
      <c r="P11" s="47" t="inlineStr"/>
      <c r="Q11" s="47" t="inlineStr">
        <is>
          <t>可直接比较</t>
        </is>
      </c>
      <c r="R11" s="47" t="inlineStr">
        <is>
          <t>不采用</t>
        </is>
      </c>
      <c r="S11" s="47" t="inlineStr">
        <is>
          <t>D-A1</t>
        </is>
      </c>
      <c r="T11" s="47" t="inlineStr">
        <is>
          <t>稀奶油；示意图层/分配参考数据，仅备查不作基准（2026-09-28用户指示）</t>
        </is>
      </c>
    </row>
    <row r="12" ht="25" customHeight="1">
      <c r="A12" s="47" t="inlineStr">
        <is>
          <t>CT-PA-CREAM-DM</t>
        </is>
      </c>
      <c r="B12" s="47" t="inlineStr">
        <is>
          <t>参数</t>
        </is>
      </c>
      <c r="C12" s="47" t="inlineStr">
        <is>
          <t>PA-CREAM-DM</t>
        </is>
      </c>
      <c r="D12" s="47" t="inlineStr">
        <is>
          <t>SRC-PDF</t>
        </is>
      </c>
      <c r="E12" s="47" t="inlineStr">
        <is>
          <t>p1 Raw cream 框</t>
        </is>
      </c>
      <c r="F12" s="47" t="inlineStr">
        <is>
          <t>% DM</t>
        </is>
      </c>
      <c r="G12" s="47" t="n">
        <v>0.371</v>
      </c>
      <c r="H12" s="47" t="inlineStr">
        <is>
          <t>g/g</t>
        </is>
      </c>
      <c r="I12" s="47" t="inlineStr">
        <is>
          <t>质量分数（湿基）</t>
        </is>
      </c>
      <c r="J12" s="47" t="inlineStr">
        <is>
          <t>日产工况（1天，kg/j 基准）</t>
        </is>
      </c>
      <c r="K12" s="47" t="inlineStr">
        <is>
          <t>FIXED</t>
        </is>
      </c>
      <c r="L12" s="47" t="inlineStr"/>
      <c r="M12" s="47" t="inlineStr"/>
      <c r="N12" s="47" t="inlineStr"/>
      <c r="O12" s="47" t="inlineStr"/>
      <c r="P12" s="47" t="inlineStr"/>
      <c r="Q12" s="47" t="inlineStr">
        <is>
          <t>可直接比较</t>
        </is>
      </c>
      <c r="R12" s="47" t="inlineStr">
        <is>
          <t>不采用</t>
        </is>
      </c>
      <c r="S12" s="47" t="inlineStr">
        <is>
          <t>D-A1</t>
        </is>
      </c>
      <c r="T12" s="47" t="inlineStr">
        <is>
          <t>稀奶油；示意图层/分配参考数据，仅备查不作基准（2026-09-28用户指示）</t>
        </is>
      </c>
    </row>
    <row r="13" ht="25" customHeight="1">
      <c r="A13" s="47" t="inlineStr">
        <is>
          <t>CT-PA-CREAM-PRO</t>
        </is>
      </c>
      <c r="B13" s="47" t="inlineStr">
        <is>
          <t>参数</t>
        </is>
      </c>
      <c r="C13" s="47" t="inlineStr">
        <is>
          <t>PA-CREAM-PRO</t>
        </is>
      </c>
      <c r="D13" s="47" t="inlineStr">
        <is>
          <t>SRC-PDF</t>
        </is>
      </c>
      <c r="E13" s="47" t="inlineStr">
        <is>
          <t>p1 Raw cream 框</t>
        </is>
      </c>
      <c r="F13" s="47" t="inlineStr">
        <is>
          <t>% protein</t>
        </is>
      </c>
      <c r="G13" s="47" t="n">
        <v>0.0244</v>
      </c>
      <c r="H13" s="47" t="inlineStr">
        <is>
          <t>g/g</t>
        </is>
      </c>
      <c r="I13" s="47" t="inlineStr">
        <is>
          <t>质量分数（湿基）</t>
        </is>
      </c>
      <c r="J13" s="47" t="inlineStr">
        <is>
          <t>日产工况（1天，kg/j 基准）</t>
        </is>
      </c>
      <c r="K13" s="47" t="inlineStr">
        <is>
          <t>FIXED</t>
        </is>
      </c>
      <c r="L13" s="47" t="inlineStr"/>
      <c r="M13" s="47" t="inlineStr"/>
      <c r="N13" s="47" t="inlineStr"/>
      <c r="O13" s="47" t="inlineStr"/>
      <c r="P13" s="47" t="inlineStr"/>
      <c r="Q13" s="47" t="inlineStr">
        <is>
          <t>可直接比较</t>
        </is>
      </c>
      <c r="R13" s="47" t="inlineStr">
        <is>
          <t>不采用</t>
        </is>
      </c>
      <c r="S13" s="47" t="inlineStr">
        <is>
          <t>D-A1</t>
        </is>
      </c>
      <c r="T13" s="47" t="inlineStr">
        <is>
          <t>稀奶油；示意图层/分配参考数据，仅备查不作基准（2026-09-28用户指示）</t>
        </is>
      </c>
    </row>
    <row r="14" ht="25" customHeight="1">
      <c r="A14" s="47" t="inlineStr">
        <is>
          <t>CT-PA-CAS-FAT</t>
        </is>
      </c>
      <c r="B14" s="47" t="inlineStr">
        <is>
          <t>参数</t>
        </is>
      </c>
      <c r="C14" s="47" t="inlineStr">
        <is>
          <t>PA-CAS-FAT</t>
        </is>
      </c>
      <c r="D14" s="47" t="inlineStr">
        <is>
          <t>SRC-PDF</t>
        </is>
      </c>
      <c r="E14" s="47" t="inlineStr">
        <is>
          <t>p1 Retentate casein micelles 框</t>
        </is>
      </c>
      <c r="F14" s="47" t="inlineStr">
        <is>
          <t>% fat</t>
        </is>
      </c>
      <c r="G14" s="47" t="n">
        <v>0.0015</v>
      </c>
      <c r="H14" s="47" t="inlineStr">
        <is>
          <t>g/g</t>
        </is>
      </c>
      <c r="I14" s="47" t="inlineStr">
        <is>
          <t>质量分数（湿基）</t>
        </is>
      </c>
      <c r="J14" s="47" t="inlineStr">
        <is>
          <t>日产工况（1天，kg/j 基准）</t>
        </is>
      </c>
      <c r="K14" s="47" t="inlineStr">
        <is>
          <t>FIXED</t>
        </is>
      </c>
      <c r="L14" s="47" t="inlineStr"/>
      <c r="M14" s="47" t="inlineStr"/>
      <c r="N14" s="47" t="inlineStr"/>
      <c r="O14" s="47" t="inlineStr"/>
      <c r="P14" s="47" t="inlineStr"/>
      <c r="Q14" s="47" t="inlineStr">
        <is>
          <t>可直接比较</t>
        </is>
      </c>
      <c r="R14" s="47" t="inlineStr">
        <is>
          <t>不采用</t>
        </is>
      </c>
      <c r="S14" s="47" t="inlineStr">
        <is>
          <t>D-A1</t>
        </is>
      </c>
      <c r="T14" s="47" t="inlineStr">
        <is>
          <t>胶束酪蛋白；示意图层/分配参考数据，仅备查不作基准（2026-09-28用户指示）</t>
        </is>
      </c>
    </row>
    <row r="15" ht="25" customHeight="1">
      <c r="A15" s="47" t="inlineStr">
        <is>
          <t>CT-PA-CAS-DM</t>
        </is>
      </c>
      <c r="B15" s="47" t="inlineStr">
        <is>
          <t>参数</t>
        </is>
      </c>
      <c r="C15" s="47" t="inlineStr">
        <is>
          <t>PA-CAS-DM</t>
        </is>
      </c>
      <c r="D15" s="47" t="inlineStr">
        <is>
          <t>SRC-PDF</t>
        </is>
      </c>
      <c r="E15" s="47" t="inlineStr">
        <is>
          <t>p1 Retentate casein micelles 框</t>
        </is>
      </c>
      <c r="F15" s="47" t="inlineStr">
        <is>
          <t>% DM</t>
        </is>
      </c>
      <c r="G15" s="47" t="n">
        <v>0.1391</v>
      </c>
      <c r="H15" s="47" t="inlineStr">
        <is>
          <t>g/g</t>
        </is>
      </c>
      <c r="I15" s="47" t="inlineStr">
        <is>
          <t>质量分数（湿基）</t>
        </is>
      </c>
      <c r="J15" s="47" t="inlineStr">
        <is>
          <t>日产工况（1天，kg/j 基准）</t>
        </is>
      </c>
      <c r="K15" s="47" t="inlineStr">
        <is>
          <t>FIXED</t>
        </is>
      </c>
      <c r="L15" s="47" t="inlineStr"/>
      <c r="M15" s="47" t="inlineStr"/>
      <c r="N15" s="47" t="inlineStr"/>
      <c r="O15" s="47" t="inlineStr"/>
      <c r="P15" s="47" t="inlineStr"/>
      <c r="Q15" s="47" t="inlineStr">
        <is>
          <t>可直接比较</t>
        </is>
      </c>
      <c r="R15" s="47" t="inlineStr">
        <is>
          <t>不采用</t>
        </is>
      </c>
      <c r="S15" s="47" t="inlineStr">
        <is>
          <t>D-A1</t>
        </is>
      </c>
      <c r="T15" s="47" t="inlineStr">
        <is>
          <t>胶束酪蛋白；示意图层/分配参考数据，仅备查不作基准（2026-09-28用户指示）</t>
        </is>
      </c>
    </row>
    <row r="16" ht="25" customHeight="1">
      <c r="A16" s="47" t="inlineStr">
        <is>
          <t>CT-PA-CAS-PRO</t>
        </is>
      </c>
      <c r="B16" s="47" t="inlineStr">
        <is>
          <t>参数</t>
        </is>
      </c>
      <c r="C16" s="47" t="inlineStr">
        <is>
          <t>PA-CAS-PRO</t>
        </is>
      </c>
      <c r="D16" s="47" t="inlineStr">
        <is>
          <t>SRC-PDF</t>
        </is>
      </c>
      <c r="E16" s="47" t="inlineStr">
        <is>
          <t>p1 Retentate casein micelles 框</t>
        </is>
      </c>
      <c r="F16" s="47" t="inlineStr">
        <is>
          <t>% protein</t>
        </is>
      </c>
      <c r="G16" s="47" t="n">
        <v>0.0801</v>
      </c>
      <c r="H16" s="47" t="inlineStr">
        <is>
          <t>g/g</t>
        </is>
      </c>
      <c r="I16" s="47" t="inlineStr">
        <is>
          <t>质量分数（湿基）</t>
        </is>
      </c>
      <c r="J16" s="47" t="inlineStr">
        <is>
          <t>日产工况（1天，kg/j 基准）</t>
        </is>
      </c>
      <c r="K16" s="47" t="inlineStr">
        <is>
          <t>FIXED</t>
        </is>
      </c>
      <c r="L16" s="47" t="inlineStr"/>
      <c r="M16" s="47" t="inlineStr"/>
      <c r="N16" s="47" t="inlineStr"/>
      <c r="O16" s="47" t="inlineStr"/>
      <c r="P16" s="47" t="inlineStr"/>
      <c r="Q16" s="47" t="inlineStr">
        <is>
          <t>可直接比较</t>
        </is>
      </c>
      <c r="R16" s="47" t="inlineStr">
        <is>
          <t>不采用</t>
        </is>
      </c>
      <c r="S16" s="47" t="inlineStr">
        <is>
          <t>D-A1</t>
        </is>
      </c>
      <c r="T16" s="47" t="inlineStr">
        <is>
          <t>胶束酪蛋白；示意图层/分配参考数据，仅备查不作基准（2026-09-28用户指示）</t>
        </is>
      </c>
    </row>
    <row r="17" ht="25" customHeight="1">
      <c r="A17" s="47" t="inlineStr">
        <is>
          <t>CT-PA-WHEY-DM</t>
        </is>
      </c>
      <c r="B17" s="47" t="inlineStr">
        <is>
          <t>参数</t>
        </is>
      </c>
      <c r="C17" s="47" t="inlineStr">
        <is>
          <t>PA-WHEY-DM</t>
        </is>
      </c>
      <c r="D17" s="47" t="inlineStr">
        <is>
          <t>SRC-PDF</t>
        </is>
      </c>
      <c r="E17" s="47" t="inlineStr">
        <is>
          <t>p1 Permeate whey 框</t>
        </is>
      </c>
      <c r="F17" s="47" t="inlineStr">
        <is>
          <t>% DM</t>
        </is>
      </c>
      <c r="G17" s="47" t="n">
        <v>0.06279999999999999</v>
      </c>
      <c r="H17" s="47" t="inlineStr">
        <is>
          <t>g/g</t>
        </is>
      </c>
      <c r="I17" s="47" t="inlineStr">
        <is>
          <t>质量分数（湿基）</t>
        </is>
      </c>
      <c r="J17" s="47" t="inlineStr">
        <is>
          <t>日产工况（1天，kg/j 基准）</t>
        </is>
      </c>
      <c r="K17" s="47" t="inlineStr">
        <is>
          <t>FIXED</t>
        </is>
      </c>
      <c r="L17" s="47" t="inlineStr"/>
      <c r="M17" s="47" t="inlineStr"/>
      <c r="N17" s="47" t="inlineStr"/>
      <c r="O17" s="47" t="inlineStr"/>
      <c r="P17" s="47" t="inlineStr"/>
      <c r="Q17" s="47" t="inlineStr">
        <is>
          <t>可直接比较</t>
        </is>
      </c>
      <c r="R17" s="47" t="inlineStr">
        <is>
          <t>不采用</t>
        </is>
      </c>
      <c r="S17" s="47" t="inlineStr">
        <is>
          <t>D-A1</t>
        </is>
      </c>
      <c r="T17" s="47" t="inlineStr">
        <is>
          <t>乳清；示意图层/分配参考数据，仅备查不作基准（2026-09-28用户指示）</t>
        </is>
      </c>
    </row>
    <row r="18" ht="25" customHeight="1">
      <c r="A18" s="47" t="inlineStr">
        <is>
          <t>CT-PA-WHEY-PRO</t>
        </is>
      </c>
      <c r="B18" s="47" t="inlineStr">
        <is>
          <t>参数</t>
        </is>
      </c>
      <c r="C18" s="47" t="inlineStr">
        <is>
          <t>PA-WHEY-PRO</t>
        </is>
      </c>
      <c r="D18" s="47" t="inlineStr">
        <is>
          <t>SRC-PDF</t>
        </is>
      </c>
      <c r="E18" s="47" t="inlineStr">
        <is>
          <t>p1 Permeate whey 框</t>
        </is>
      </c>
      <c r="F18" s="47" t="inlineStr">
        <is>
          <t>% protein</t>
        </is>
      </c>
      <c r="G18" s="47" t="n">
        <v>0.0059</v>
      </c>
      <c r="H18" s="47" t="inlineStr">
        <is>
          <t>g/g</t>
        </is>
      </c>
      <c r="I18" s="47" t="inlineStr">
        <is>
          <t>质量分数（湿基）</t>
        </is>
      </c>
      <c r="J18" s="47" t="inlineStr">
        <is>
          <t>日产工况（1天，kg/j 基准）</t>
        </is>
      </c>
      <c r="K18" s="47" t="inlineStr">
        <is>
          <t>FIXED</t>
        </is>
      </c>
      <c r="L18" s="47" t="inlineStr"/>
      <c r="M18" s="47" t="inlineStr"/>
      <c r="N18" s="47" t="inlineStr"/>
      <c r="O18" s="47" t="inlineStr"/>
      <c r="P18" s="47" t="inlineStr"/>
      <c r="Q18" s="47" t="inlineStr">
        <is>
          <t>可直接比较</t>
        </is>
      </c>
      <c r="R18" s="47" t="inlineStr">
        <is>
          <t>不采用</t>
        </is>
      </c>
      <c r="S18" s="47" t="inlineStr">
        <is>
          <t>D-A1</t>
        </is>
      </c>
      <c r="T18" s="47" t="inlineStr">
        <is>
          <t>乳清；示意图层/分配参考数据，仅备查不作基准（2026-09-28用户指示）</t>
        </is>
      </c>
    </row>
    <row r="19" ht="25" customHeight="1">
      <c r="A19" s="47" t="inlineStr">
        <is>
          <t>CT-PA-WHEY-LAC</t>
        </is>
      </c>
      <c r="B19" s="47" t="inlineStr">
        <is>
          <t>参数</t>
        </is>
      </c>
      <c r="C19" s="47" t="inlineStr">
        <is>
          <t>PA-WHEY-LAC</t>
        </is>
      </c>
      <c r="D19" s="47" t="inlineStr">
        <is>
          <t>SRC-PDF</t>
        </is>
      </c>
      <c r="E19" s="47" t="inlineStr">
        <is>
          <t>p1 Permeate whey 框</t>
        </is>
      </c>
      <c r="F19" s="47" t="inlineStr">
        <is>
          <t>% lactose</t>
        </is>
      </c>
      <c r="G19" s="47" t="n">
        <v>0.005</v>
      </c>
      <c r="H19" s="47" t="inlineStr">
        <is>
          <t>g/g</t>
        </is>
      </c>
      <c r="I19" s="47" t="inlineStr">
        <is>
          <t>质量分数（湿基）</t>
        </is>
      </c>
      <c r="J19" s="47" t="inlineStr">
        <is>
          <t>日产工况（1天，kg/j 基准）</t>
        </is>
      </c>
      <c r="K19" s="47" t="inlineStr">
        <is>
          <t>FIXED</t>
        </is>
      </c>
      <c r="L19" s="47" t="inlineStr"/>
      <c r="M19" s="47" t="inlineStr"/>
      <c r="N19" s="47" t="inlineStr"/>
      <c r="O19" s="47" t="inlineStr"/>
      <c r="P19" s="47" t="inlineStr"/>
      <c r="Q19" s="47" t="inlineStr">
        <is>
          <t>可直接比较</t>
        </is>
      </c>
      <c r="R19" s="47" t="inlineStr">
        <is>
          <t>不采用</t>
        </is>
      </c>
      <c r="S19" s="47" t="inlineStr">
        <is>
          <t>D-A1</t>
        </is>
      </c>
      <c r="T19" s="47" t="inlineStr">
        <is>
          <t>乳清；示意图层/分配参考数据，仅备查不作基准（2026-09-28用户指示）</t>
        </is>
      </c>
    </row>
    <row r="20" ht="25" customHeight="1">
      <c r="A20" s="47" t="inlineStr">
        <is>
          <t>CT-PA-WPI-DM</t>
        </is>
      </c>
      <c r="B20" s="47" t="inlineStr">
        <is>
          <t>参数</t>
        </is>
      </c>
      <c r="C20" s="47" t="inlineStr">
        <is>
          <t>PA-WPI-DM</t>
        </is>
      </c>
      <c r="D20" s="47" t="inlineStr">
        <is>
          <t>SRC-PDF</t>
        </is>
      </c>
      <c r="E20" s="47" t="inlineStr">
        <is>
          <t>p1 Retentate WPI 框</t>
        </is>
      </c>
      <c r="F20" s="47" t="inlineStr">
        <is>
          <t>% DM</t>
        </is>
      </c>
      <c r="G20" s="47" t="n">
        <v>0.1185</v>
      </c>
      <c r="H20" s="47" t="inlineStr">
        <is>
          <t>g/g</t>
        </is>
      </c>
      <c r="I20" s="47" t="inlineStr">
        <is>
          <t>质量分数（湿基）</t>
        </is>
      </c>
      <c r="J20" s="47" t="inlineStr">
        <is>
          <t>日产工况（1天，kg/j 基准）</t>
        </is>
      </c>
      <c r="K20" s="47" t="inlineStr">
        <is>
          <t>FIXED</t>
        </is>
      </c>
      <c r="L20" s="47" t="inlineStr"/>
      <c r="M20" s="47" t="inlineStr"/>
      <c r="N20" s="47" t="inlineStr"/>
      <c r="O20" s="47" t="inlineStr"/>
      <c r="P20" s="47" t="inlineStr"/>
      <c r="Q20" s="47" t="inlineStr">
        <is>
          <t>可直接比较</t>
        </is>
      </c>
      <c r="R20" s="47" t="inlineStr">
        <is>
          <t>不采用</t>
        </is>
      </c>
      <c r="S20" s="47" t="inlineStr">
        <is>
          <t>D-A1</t>
        </is>
      </c>
      <c r="T20" s="47" t="inlineStr">
        <is>
          <t>WPI浓缩液；示意图层/分配参考数据，仅备查不作基准（2026-09-28用户指示）</t>
        </is>
      </c>
    </row>
    <row r="21" ht="25" customHeight="1">
      <c r="A21" s="47" t="inlineStr">
        <is>
          <t>CT-PA-WPI-PRO</t>
        </is>
      </c>
      <c r="B21" s="47" t="inlineStr">
        <is>
          <t>参数</t>
        </is>
      </c>
      <c r="C21" s="47" t="inlineStr">
        <is>
          <t>PA-WPI-PRO</t>
        </is>
      </c>
      <c r="D21" s="47" t="inlineStr">
        <is>
          <t>SRC-PDF</t>
        </is>
      </c>
      <c r="E21" s="47" t="inlineStr">
        <is>
          <t>p1 Retentate WPI 框</t>
        </is>
      </c>
      <c r="F21" s="47" t="inlineStr">
        <is>
          <t>% protein</t>
        </is>
      </c>
      <c r="G21" s="47" t="n">
        <v>0.114</v>
      </c>
      <c r="H21" s="47" t="inlineStr">
        <is>
          <t>g/g</t>
        </is>
      </c>
      <c r="I21" s="47" t="inlineStr">
        <is>
          <t>质量分数（湿基）</t>
        </is>
      </c>
      <c r="J21" s="47" t="inlineStr">
        <is>
          <t>日产工况（1天，kg/j 基准）</t>
        </is>
      </c>
      <c r="K21" s="47" t="inlineStr">
        <is>
          <t>FIXED</t>
        </is>
      </c>
      <c r="L21" s="47" t="inlineStr"/>
      <c r="M21" s="47" t="inlineStr"/>
      <c r="N21" s="47" t="inlineStr"/>
      <c r="O21" s="47" t="inlineStr"/>
      <c r="P21" s="47" t="inlineStr"/>
      <c r="Q21" s="47" t="inlineStr">
        <is>
          <t>可直接比较</t>
        </is>
      </c>
      <c r="R21" s="47" t="inlineStr">
        <is>
          <t>不采用</t>
        </is>
      </c>
      <c r="S21" s="47" t="inlineStr">
        <is>
          <t>D-A1</t>
        </is>
      </c>
      <c r="T21" s="47" t="inlineStr">
        <is>
          <t>WPI浓缩液；示意图层/分配参考数据，仅备查不作基准（2026-09-28用户指示）</t>
        </is>
      </c>
    </row>
    <row r="22" ht="25" customHeight="1">
      <c r="A22" s="47" t="inlineStr">
        <is>
          <t>CT-PA-LACP-DM</t>
        </is>
      </c>
      <c r="B22" s="47" t="inlineStr">
        <is>
          <t>参数</t>
        </is>
      </c>
      <c r="C22" s="47" t="inlineStr">
        <is>
          <t>PA-LACP-DM</t>
        </is>
      </c>
      <c r="D22" s="47" t="inlineStr">
        <is>
          <t>SRC-PDF</t>
        </is>
      </c>
      <c r="E22" s="47" t="inlineStr">
        <is>
          <t>p1 Permeate lactose 框</t>
        </is>
      </c>
      <c r="F22" s="47" t="inlineStr">
        <is>
          <t>% DM</t>
        </is>
      </c>
      <c r="G22" s="47" t="n">
        <v>0.044</v>
      </c>
      <c r="H22" s="47" t="inlineStr">
        <is>
          <t>g/g</t>
        </is>
      </c>
      <c r="I22" s="47" t="inlineStr">
        <is>
          <t>质量分数（湿基）</t>
        </is>
      </c>
      <c r="J22" s="47" t="inlineStr">
        <is>
          <t>日产工况（1天，kg/j 基准）</t>
        </is>
      </c>
      <c r="K22" s="47" t="inlineStr">
        <is>
          <t>FIXED</t>
        </is>
      </c>
      <c r="L22" s="47" t="inlineStr"/>
      <c r="M22" s="47" t="inlineStr"/>
      <c r="N22" s="47" t="inlineStr"/>
      <c r="O22" s="47" t="inlineStr"/>
      <c r="P22" s="47" t="inlineStr"/>
      <c r="Q22" s="47" t="inlineStr">
        <is>
          <t>可直接比较</t>
        </is>
      </c>
      <c r="R22" s="47" t="inlineStr">
        <is>
          <t>不采用</t>
        </is>
      </c>
      <c r="S22" s="47" t="inlineStr">
        <is>
          <t>D-A1</t>
        </is>
      </c>
      <c r="T22" s="47" t="inlineStr">
        <is>
          <t>乳糖渗透液；示意图层/分配参考数据，仅备查不作基准（2026-09-28用户指示）</t>
        </is>
      </c>
    </row>
    <row r="23" ht="25" customHeight="1">
      <c r="A23" s="47" t="inlineStr">
        <is>
          <t>CT-PA-LAC-DM</t>
        </is>
      </c>
      <c r="B23" s="47" t="inlineStr">
        <is>
          <t>参数</t>
        </is>
      </c>
      <c r="C23" s="47" t="inlineStr">
        <is>
          <t>PA-LAC-DM</t>
        </is>
      </c>
      <c r="D23" s="47" t="inlineStr">
        <is>
          <t>SRC-PDF</t>
        </is>
      </c>
      <c r="E23" s="47" t="inlineStr">
        <is>
          <t>p1 Lactose 框</t>
        </is>
      </c>
      <c r="F23" s="47" t="inlineStr">
        <is>
          <t>% DM</t>
        </is>
      </c>
      <c r="G23" s="47" t="n">
        <v>0.24</v>
      </c>
      <c r="H23" s="47" t="inlineStr">
        <is>
          <t>g/g</t>
        </is>
      </c>
      <c r="I23" s="47" t="inlineStr">
        <is>
          <t>质量分数（湿基）</t>
        </is>
      </c>
      <c r="J23" s="47" t="inlineStr">
        <is>
          <t>日产工况（1天，kg/j 基准）</t>
        </is>
      </c>
      <c r="K23" s="47" t="inlineStr">
        <is>
          <t>FIXED</t>
        </is>
      </c>
      <c r="L23" s="47" t="inlineStr"/>
      <c r="M23" s="47" t="inlineStr"/>
      <c r="N23" s="47" t="inlineStr"/>
      <c r="O23" s="47" t="inlineStr"/>
      <c r="P23" s="47" t="inlineStr"/>
      <c r="Q23" s="47" t="inlineStr">
        <is>
          <t>可直接比较</t>
        </is>
      </c>
      <c r="R23" s="47" t="inlineStr">
        <is>
          <t>不采用</t>
        </is>
      </c>
      <c r="S23" s="47" t="inlineStr">
        <is>
          <t>D-A1</t>
        </is>
      </c>
      <c r="T23" s="47" t="inlineStr">
        <is>
          <t>浓缩乳糖；示意图层/分配参考数据，仅备查不作基准（2026-09-28用户指示）</t>
        </is>
      </c>
    </row>
    <row r="24" ht="25" customHeight="1">
      <c r="A24" s="47" t="inlineStr">
        <is>
          <t>CT-PA-APRE-DM</t>
        </is>
      </c>
      <c r="B24" s="47" t="inlineStr">
        <is>
          <t>参数</t>
        </is>
      </c>
      <c r="C24" s="47" t="inlineStr">
        <is>
          <t>PA-APRE-DM</t>
        </is>
      </c>
      <c r="D24" s="47" t="inlineStr">
        <is>
          <t>SRC-PDF</t>
        </is>
      </c>
      <c r="E24" s="47" t="inlineStr">
        <is>
          <t>p1 Retentate precipitated α-lactalbumin 框</t>
        </is>
      </c>
      <c r="F24" s="47" t="inlineStr">
        <is>
          <t>% DM</t>
        </is>
      </c>
      <c r="G24" s="47" t="n">
        <v>0.0712</v>
      </c>
      <c r="H24" s="47" t="inlineStr">
        <is>
          <t>g/g</t>
        </is>
      </c>
      <c r="I24" s="47" t="inlineStr">
        <is>
          <t>质量分数（湿基）</t>
        </is>
      </c>
      <c r="J24" s="47" t="inlineStr">
        <is>
          <t>日产工况（1天，kg/j 基准）</t>
        </is>
      </c>
      <c r="K24" s="47" t="inlineStr">
        <is>
          <t>FIXED</t>
        </is>
      </c>
      <c r="L24" s="47" t="inlineStr"/>
      <c r="M24" s="47" t="inlineStr"/>
      <c r="N24" s="47" t="inlineStr"/>
      <c r="O24" s="47" t="inlineStr"/>
      <c r="P24" s="47" t="inlineStr"/>
      <c r="Q24" s="47" t="inlineStr">
        <is>
          <t>可直接比较</t>
        </is>
      </c>
      <c r="R24" s="47" t="inlineStr">
        <is>
          <t>不采用</t>
        </is>
      </c>
      <c r="S24" s="47" t="inlineStr">
        <is>
          <t>D-A1</t>
        </is>
      </c>
      <c r="T24" s="47" t="inlineStr">
        <is>
          <t>α-乳白蛋白沉淀；示意图层/分配参考数据，仅备查不作基准（2026-09-28用户指示）</t>
        </is>
      </c>
    </row>
    <row r="25" ht="25" customHeight="1">
      <c r="A25" s="47" t="inlineStr">
        <is>
          <t>CT-PA-APRE-PRO</t>
        </is>
      </c>
      <c r="B25" s="47" t="inlineStr">
        <is>
          <t>参数</t>
        </is>
      </c>
      <c r="C25" s="47" t="inlineStr">
        <is>
          <t>PA-APRE-PRO</t>
        </is>
      </c>
      <c r="D25" s="47" t="inlineStr">
        <is>
          <t>SRC-PDF</t>
        </is>
      </c>
      <c r="E25" s="47" t="inlineStr">
        <is>
          <t>p1 Retentate precipitated α-lactalbumin 框</t>
        </is>
      </c>
      <c r="F25" s="47" t="inlineStr">
        <is>
          <t>% protein</t>
        </is>
      </c>
      <c r="G25" s="47" t="n">
        <v>0.07049999999999999</v>
      </c>
      <c r="H25" s="47" t="inlineStr">
        <is>
          <t>g/g</t>
        </is>
      </c>
      <c r="I25" s="47" t="inlineStr">
        <is>
          <t>质量分数（湿基）</t>
        </is>
      </c>
      <c r="J25" s="47" t="inlineStr">
        <is>
          <t>日产工况（1天，kg/j 基准）</t>
        </is>
      </c>
      <c r="K25" s="47" t="inlineStr">
        <is>
          <t>FIXED</t>
        </is>
      </c>
      <c r="L25" s="47" t="inlineStr"/>
      <c r="M25" s="47" t="inlineStr"/>
      <c r="N25" s="47" t="inlineStr"/>
      <c r="O25" s="47" t="inlineStr"/>
      <c r="P25" s="47" t="inlineStr"/>
      <c r="Q25" s="47" t="inlineStr">
        <is>
          <t>可直接比较</t>
        </is>
      </c>
      <c r="R25" s="47" t="inlineStr">
        <is>
          <t>不采用</t>
        </is>
      </c>
      <c r="S25" s="47" t="inlineStr">
        <is>
          <t>D-A1</t>
        </is>
      </c>
      <c r="T25" s="47" t="inlineStr">
        <is>
          <t>α-乳白蛋白沉淀；示意图层/分配参考数据，仅备查不作基准（2026-09-28用户指示）</t>
        </is>
      </c>
    </row>
    <row r="26" ht="25" customHeight="1">
      <c r="A26" s="47" t="inlineStr">
        <is>
          <t>CT-PA-APRE-ALA</t>
        </is>
      </c>
      <c r="B26" s="47" t="inlineStr">
        <is>
          <t>参数</t>
        </is>
      </c>
      <c r="C26" s="47" t="inlineStr">
        <is>
          <t>PA-APRE-ALA</t>
        </is>
      </c>
      <c r="D26" s="47" t="inlineStr">
        <is>
          <t>SRC-PDF</t>
        </is>
      </c>
      <c r="E26" s="47" t="inlineStr">
        <is>
          <t>p1 Retentate precipitated α-lactalbumin 框</t>
        </is>
      </c>
      <c r="F26" s="47" t="inlineStr">
        <is>
          <t>%ala</t>
        </is>
      </c>
      <c r="G26" s="47" t="n">
        <v>0.0387</v>
      </c>
      <c r="H26" s="47" t="inlineStr">
        <is>
          <t>g/g</t>
        </is>
      </c>
      <c r="I26" s="47" t="inlineStr">
        <is>
          <t>质量分数（湿基）</t>
        </is>
      </c>
      <c r="J26" s="47" t="inlineStr">
        <is>
          <t>日产工况（1天，kg/j 基准）</t>
        </is>
      </c>
      <c r="K26" s="47" t="inlineStr">
        <is>
          <t>FIXED</t>
        </is>
      </c>
      <c r="L26" s="47" t="inlineStr"/>
      <c r="M26" s="47" t="inlineStr"/>
      <c r="N26" s="47" t="inlineStr"/>
      <c r="O26" s="47" t="inlineStr"/>
      <c r="P26" s="47" t="inlineStr"/>
      <c r="Q26" s="47" t="inlineStr">
        <is>
          <t>可直接比较</t>
        </is>
      </c>
      <c r="R26" s="47" t="inlineStr">
        <is>
          <t>不采用</t>
        </is>
      </c>
      <c r="S26" s="47" t="inlineStr">
        <is>
          <t>D-A1</t>
        </is>
      </c>
      <c r="T26" s="47" t="inlineStr">
        <is>
          <t>α-乳白蛋白沉淀；示意图层/分配参考数据，仅备查不作基准（2026-09-28用户指示）</t>
        </is>
      </c>
    </row>
    <row r="27" ht="25" customHeight="1">
      <c r="A27" s="47" t="inlineStr">
        <is>
          <t>CT-PA-APRE-BLG</t>
        </is>
      </c>
      <c r="B27" s="47" t="inlineStr">
        <is>
          <t>参数</t>
        </is>
      </c>
      <c r="C27" s="47" t="inlineStr">
        <is>
          <t>PA-APRE-BLG</t>
        </is>
      </c>
      <c r="D27" s="47" t="inlineStr">
        <is>
          <t>SRC-PDF</t>
        </is>
      </c>
      <c r="E27" s="47" t="inlineStr">
        <is>
          <t>p1 Retentate precipitated α-lactalbumin 框</t>
        </is>
      </c>
      <c r="F27" s="47" t="inlineStr">
        <is>
          <t>%blg</t>
        </is>
      </c>
      <c r="G27" s="47" t="n">
        <v>0.0129</v>
      </c>
      <c r="H27" s="47" t="inlineStr">
        <is>
          <t>g/g</t>
        </is>
      </c>
      <c r="I27" s="47" t="inlineStr">
        <is>
          <t>质量分数（湿基）</t>
        </is>
      </c>
      <c r="J27" s="47" t="inlineStr">
        <is>
          <t>日产工况（1天，kg/j 基准）</t>
        </is>
      </c>
      <c r="K27" s="47" t="inlineStr">
        <is>
          <t>FIXED</t>
        </is>
      </c>
      <c r="L27" s="47" t="inlineStr"/>
      <c r="M27" s="47" t="inlineStr"/>
      <c r="N27" s="47" t="inlineStr"/>
      <c r="O27" s="47" t="inlineStr"/>
      <c r="P27" s="47" t="inlineStr"/>
      <c r="Q27" s="47" t="inlineStr">
        <is>
          <t>可直接比较</t>
        </is>
      </c>
      <c r="R27" s="47" t="inlineStr">
        <is>
          <t>不采用</t>
        </is>
      </c>
      <c r="S27" s="47" t="inlineStr">
        <is>
          <t>D-A1</t>
        </is>
      </c>
      <c r="T27" s="47" t="inlineStr">
        <is>
          <t>α-乳白蛋白沉淀；示意图层/分配参考数据，仅备查不作基准（2026-09-28用户指示）</t>
        </is>
      </c>
    </row>
    <row r="28" ht="25" customHeight="1">
      <c r="A28" s="47" t="inlineStr">
        <is>
          <t>CT-PA-BSOL-DM</t>
        </is>
      </c>
      <c r="B28" s="47" t="inlineStr">
        <is>
          <t>参数</t>
        </is>
      </c>
      <c r="C28" s="47" t="inlineStr">
        <is>
          <t>PA-BSOL-DM</t>
        </is>
      </c>
      <c r="D28" s="47" t="inlineStr">
        <is>
          <t>SRC-PDF</t>
        </is>
      </c>
      <c r="E28" s="47" t="inlineStr">
        <is>
          <t>p1 Permeate soluble β-lactoglobulin 框</t>
        </is>
      </c>
      <c r="F28" s="47" t="inlineStr">
        <is>
          <t>% DM</t>
        </is>
      </c>
      <c r="G28" s="47" t="n">
        <v>0.0153</v>
      </c>
      <c r="H28" s="47" t="inlineStr">
        <is>
          <t>g/g</t>
        </is>
      </c>
      <c r="I28" s="47" t="inlineStr">
        <is>
          <t>质量分数（湿基）</t>
        </is>
      </c>
      <c r="J28" s="47" t="inlineStr">
        <is>
          <t>日产工况（1天，kg/j 基准）</t>
        </is>
      </c>
      <c r="K28" s="47" t="inlineStr">
        <is>
          <t>FIXED</t>
        </is>
      </c>
      <c r="L28" s="47" t="inlineStr"/>
      <c r="M28" s="47" t="inlineStr"/>
      <c r="N28" s="47" t="inlineStr"/>
      <c r="O28" s="47" t="inlineStr"/>
      <c r="P28" s="47" t="inlineStr"/>
      <c r="Q28" s="47" t="inlineStr">
        <is>
          <t>可直接比较</t>
        </is>
      </c>
      <c r="R28" s="47" t="inlineStr">
        <is>
          <t>不采用</t>
        </is>
      </c>
      <c r="S28" s="47" t="inlineStr">
        <is>
          <t>D-A1</t>
        </is>
      </c>
      <c r="T28" s="47" t="inlineStr">
        <is>
          <t>β-乳球蛋白渗透液；示意图层/分配参考数据，仅备查不作基准（2026-09-28用户指示）</t>
        </is>
      </c>
    </row>
    <row r="29" ht="25" customHeight="1">
      <c r="A29" s="47" t="inlineStr">
        <is>
          <t>CT-PA-BSOL-PRO</t>
        </is>
      </c>
      <c r="B29" s="47" t="inlineStr">
        <is>
          <t>参数</t>
        </is>
      </c>
      <c r="C29" s="47" t="inlineStr">
        <is>
          <t>PA-BSOL-PRO</t>
        </is>
      </c>
      <c r="D29" s="47" t="inlineStr">
        <is>
          <t>SRC-PDF</t>
        </is>
      </c>
      <c r="E29" s="47" t="inlineStr">
        <is>
          <t>p1 Permeate soluble β-lactoglobulin 框</t>
        </is>
      </c>
      <c r="F29" s="47" t="inlineStr">
        <is>
          <t>% protein</t>
        </is>
      </c>
      <c r="G29" s="47" t="n">
        <v>0.0147</v>
      </c>
      <c r="H29" s="47" t="inlineStr">
        <is>
          <t>g/g</t>
        </is>
      </c>
      <c r="I29" s="47" t="inlineStr">
        <is>
          <t>质量分数（湿基）</t>
        </is>
      </c>
      <c r="J29" s="47" t="inlineStr">
        <is>
          <t>日产工况（1天，kg/j 基准）</t>
        </is>
      </c>
      <c r="K29" s="47" t="inlineStr">
        <is>
          <t>FIXED</t>
        </is>
      </c>
      <c r="L29" s="47" t="inlineStr"/>
      <c r="M29" s="47" t="inlineStr"/>
      <c r="N29" s="47" t="inlineStr"/>
      <c r="O29" s="47" t="inlineStr"/>
      <c r="P29" s="47" t="inlineStr"/>
      <c r="Q29" s="47" t="inlineStr">
        <is>
          <t>可直接比较</t>
        </is>
      </c>
      <c r="R29" s="47" t="inlineStr">
        <is>
          <t>不采用</t>
        </is>
      </c>
      <c r="S29" s="47" t="inlineStr">
        <is>
          <t>D-A1</t>
        </is>
      </c>
      <c r="T29" s="47" t="inlineStr">
        <is>
          <t>β-乳球蛋白渗透液；示意图层/分配参考数据，仅备查不作基准（2026-09-28用户指示）</t>
        </is>
      </c>
    </row>
    <row r="30" ht="25" customHeight="1">
      <c r="A30" s="47" t="inlineStr">
        <is>
          <t>CT-PA-BSOL-BLG</t>
        </is>
      </c>
      <c r="B30" s="47" t="inlineStr">
        <is>
          <t>参数</t>
        </is>
      </c>
      <c r="C30" s="47" t="inlineStr">
        <is>
          <t>PA-BSOL-BLG</t>
        </is>
      </c>
      <c r="D30" s="47" t="inlineStr">
        <is>
          <t>SRC-PDF</t>
        </is>
      </c>
      <c r="E30" s="47" t="inlineStr">
        <is>
          <t>p1 Permeate soluble β-lactoglobulin 框</t>
        </is>
      </c>
      <c r="F30" s="47" t="inlineStr">
        <is>
          <t>%blg</t>
        </is>
      </c>
      <c r="G30" s="47" t="n">
        <v>0.0129</v>
      </c>
      <c r="H30" s="47" t="inlineStr">
        <is>
          <t>g/g</t>
        </is>
      </c>
      <c r="I30" s="47" t="inlineStr">
        <is>
          <t>质量分数（湿基）</t>
        </is>
      </c>
      <c r="J30" s="47" t="inlineStr">
        <is>
          <t>日产工况（1天，kg/j 基准）</t>
        </is>
      </c>
      <c r="K30" s="47" t="inlineStr">
        <is>
          <t>FIXED</t>
        </is>
      </c>
      <c r="L30" s="47" t="inlineStr"/>
      <c r="M30" s="47" t="inlineStr"/>
      <c r="N30" s="47" t="inlineStr"/>
      <c r="O30" s="47" t="inlineStr"/>
      <c r="P30" s="47" t="inlineStr"/>
      <c r="Q30" s="47" t="inlineStr">
        <is>
          <t>可直接比较</t>
        </is>
      </c>
      <c r="R30" s="47" t="inlineStr">
        <is>
          <t>不采用</t>
        </is>
      </c>
      <c r="S30" s="47" t="inlineStr">
        <is>
          <t>D-A1</t>
        </is>
      </c>
      <c r="T30" s="47" t="inlineStr">
        <is>
          <t>β-乳球蛋白渗透液；示意图层/分配参考数据，仅备查不作基准（2026-09-28用户指示）</t>
        </is>
      </c>
    </row>
    <row r="31" ht="25" customHeight="1">
      <c r="A31" s="47" t="inlineStr">
        <is>
          <t>CT-PA-ARES-DM</t>
        </is>
      </c>
      <c r="B31" s="47" t="inlineStr">
        <is>
          <t>参数</t>
        </is>
      </c>
      <c r="C31" s="47" t="inlineStr">
        <is>
          <t>PA-ARES-DM</t>
        </is>
      </c>
      <c r="D31" s="47" t="inlineStr">
        <is>
          <t>SRC-PDF</t>
        </is>
      </c>
      <c r="E31" s="47" t="inlineStr">
        <is>
          <t>p1 After resolubilization 框</t>
        </is>
      </c>
      <c r="F31" s="47" t="inlineStr">
        <is>
          <t>% DM</t>
        </is>
      </c>
      <c r="G31" s="47" t="n">
        <v>0.0622</v>
      </c>
      <c r="H31" s="47" t="inlineStr">
        <is>
          <t>g/g</t>
        </is>
      </c>
      <c r="I31" s="47" t="inlineStr">
        <is>
          <t>质量分数（湿基）</t>
        </is>
      </c>
      <c r="J31" s="47" t="inlineStr">
        <is>
          <t>日产工况（1天，kg/j 基准）</t>
        </is>
      </c>
      <c r="K31" s="47" t="inlineStr">
        <is>
          <t>FIXED</t>
        </is>
      </c>
      <c r="L31" s="47" t="inlineStr"/>
      <c r="M31" s="47" t="inlineStr"/>
      <c r="N31" s="47" t="inlineStr"/>
      <c r="O31" s="47" t="inlineStr"/>
      <c r="P31" s="47" t="inlineStr"/>
      <c r="Q31" s="47" t="inlineStr">
        <is>
          <t>可直接比较</t>
        </is>
      </c>
      <c r="R31" s="47" t="inlineStr">
        <is>
          <t>不采用</t>
        </is>
      </c>
      <c r="S31" s="47" t="inlineStr">
        <is>
          <t>D-A1</t>
        </is>
      </c>
      <c r="T31" s="47" t="inlineStr">
        <is>
          <t>复溶后α-乳白蛋白；示意图层/分配参考数据，仅备查不作基准（2026-09-28用户指示）</t>
        </is>
      </c>
    </row>
    <row r="32" ht="25" customHeight="1">
      <c r="A32" s="47" t="inlineStr">
        <is>
          <t>CT-PA-ARES-PRO</t>
        </is>
      </c>
      <c r="B32" s="47" t="inlineStr">
        <is>
          <t>参数</t>
        </is>
      </c>
      <c r="C32" s="47" t="inlineStr">
        <is>
          <t>PA-ARES-PRO</t>
        </is>
      </c>
      <c r="D32" s="47" t="inlineStr">
        <is>
          <t>SRC-PDF</t>
        </is>
      </c>
      <c r="E32" s="47" t="inlineStr">
        <is>
          <t>p1 After resolubilization 框</t>
        </is>
      </c>
      <c r="F32" s="47" t="inlineStr">
        <is>
          <t>% protein</t>
        </is>
      </c>
      <c r="G32" s="47" t="n">
        <v>0.0616</v>
      </c>
      <c r="H32" s="47" t="inlineStr">
        <is>
          <t>g/g</t>
        </is>
      </c>
      <c r="I32" s="47" t="inlineStr">
        <is>
          <t>质量分数（湿基）</t>
        </is>
      </c>
      <c r="J32" s="47" t="inlineStr">
        <is>
          <t>日产工况（1天，kg/j 基准）</t>
        </is>
      </c>
      <c r="K32" s="47" t="inlineStr">
        <is>
          <t>FIXED</t>
        </is>
      </c>
      <c r="L32" s="47" t="inlineStr"/>
      <c r="M32" s="47" t="inlineStr"/>
      <c r="N32" s="47" t="inlineStr"/>
      <c r="O32" s="47" t="inlineStr"/>
      <c r="P32" s="47" t="inlineStr"/>
      <c r="Q32" s="47" t="inlineStr">
        <is>
          <t>可直接比较</t>
        </is>
      </c>
      <c r="R32" s="47" t="inlineStr">
        <is>
          <t>不采用</t>
        </is>
      </c>
      <c r="S32" s="47" t="inlineStr">
        <is>
          <t>D-A1</t>
        </is>
      </c>
      <c r="T32" s="47" t="inlineStr">
        <is>
          <t>复溶后α-乳白蛋白；示意图层/分配参考数据，仅备查不作基准（2026-09-28用户指示）</t>
        </is>
      </c>
    </row>
    <row r="33" ht="25" customHeight="1">
      <c r="A33" s="47" t="inlineStr">
        <is>
          <t>CT-PA-BCON-DM</t>
        </is>
      </c>
      <c r="B33" s="47" t="inlineStr">
        <is>
          <t>参数</t>
        </is>
      </c>
      <c r="C33" s="47" t="inlineStr">
        <is>
          <t>PA-BCON-DM</t>
        </is>
      </c>
      <c r="D33" s="47" t="inlineStr">
        <is>
          <t>SRC-PDF</t>
        </is>
      </c>
      <c r="E33" s="47" t="inlineStr">
        <is>
          <t>p1 Soluble β-lactoglobulin(UF2后) 框</t>
        </is>
      </c>
      <c r="F33" s="47" t="inlineStr">
        <is>
          <t>% DM</t>
        </is>
      </c>
      <c r="G33" s="47" t="n">
        <v>0.1533</v>
      </c>
      <c r="H33" s="47" t="inlineStr">
        <is>
          <t>g/g</t>
        </is>
      </c>
      <c r="I33" s="47" t="inlineStr">
        <is>
          <t>质量分数（湿基）</t>
        </is>
      </c>
      <c r="J33" s="47" t="inlineStr">
        <is>
          <t>日产工况（1天，kg/j 基准）</t>
        </is>
      </c>
      <c r="K33" s="47" t="inlineStr">
        <is>
          <t>FIXED</t>
        </is>
      </c>
      <c r="L33" s="47" t="inlineStr"/>
      <c r="M33" s="47" t="inlineStr"/>
      <c r="N33" s="47" t="inlineStr"/>
      <c r="O33" s="47" t="inlineStr"/>
      <c r="P33" s="47" t="inlineStr"/>
      <c r="Q33" s="47" t="inlineStr">
        <is>
          <t>可直接比较</t>
        </is>
      </c>
      <c r="R33" s="47" t="inlineStr">
        <is>
          <t>不采用</t>
        </is>
      </c>
      <c r="S33" s="47" t="inlineStr">
        <is>
          <t>D-A1</t>
        </is>
      </c>
      <c r="T33" s="47" t="inlineStr">
        <is>
          <t>β-乳球蛋白浓缩液；示意图层/分配参考数据，仅备查不作基准（2026-09-28用户指示）</t>
        </is>
      </c>
    </row>
    <row r="34" ht="25" customHeight="1">
      <c r="A34" s="47" t="inlineStr">
        <is>
          <t>CT-PA-BCON-PRO</t>
        </is>
      </c>
      <c r="B34" s="47" t="inlineStr">
        <is>
          <t>参数</t>
        </is>
      </c>
      <c r="C34" s="47" t="inlineStr">
        <is>
          <t>PA-BCON-PRO</t>
        </is>
      </c>
      <c r="D34" s="47" t="inlineStr">
        <is>
          <t>SRC-PDF</t>
        </is>
      </c>
      <c r="E34" s="47" t="inlineStr">
        <is>
          <t>p1 Soluble β-lactoglobulin(UF2后) 框</t>
        </is>
      </c>
      <c r="F34" s="47" t="inlineStr">
        <is>
          <t>% protein</t>
        </is>
      </c>
      <c r="G34" s="47" t="n">
        <v>0.1466</v>
      </c>
      <c r="H34" s="47" t="inlineStr">
        <is>
          <t>g/g</t>
        </is>
      </c>
      <c r="I34" s="47" t="inlineStr">
        <is>
          <t>质量分数（湿基）</t>
        </is>
      </c>
      <c r="J34" s="47" t="inlineStr">
        <is>
          <t>日产工况（1天，kg/j 基准）</t>
        </is>
      </c>
      <c r="K34" s="47" t="inlineStr">
        <is>
          <t>FIXED</t>
        </is>
      </c>
      <c r="L34" s="47" t="inlineStr"/>
      <c r="M34" s="47" t="inlineStr"/>
      <c r="N34" s="47" t="inlineStr"/>
      <c r="O34" s="47" t="inlineStr"/>
      <c r="P34" s="47" t="inlineStr"/>
      <c r="Q34" s="47" t="inlineStr">
        <is>
          <t>可直接比较</t>
        </is>
      </c>
      <c r="R34" s="47" t="inlineStr">
        <is>
          <t>不采用</t>
        </is>
      </c>
      <c r="S34" s="47" t="inlineStr">
        <is>
          <t>D-A1</t>
        </is>
      </c>
      <c r="T34" s="47" t="inlineStr">
        <is>
          <t>β-乳球蛋白浓缩液；示意图层/分配参考数据，仅备查不作基准（2026-09-28用户指示）</t>
        </is>
      </c>
    </row>
    <row r="35" ht="25" customHeight="1">
      <c r="A35" s="47" t="inlineStr">
        <is>
          <t>CT-PA-BCON-BLG</t>
        </is>
      </c>
      <c r="B35" s="47" t="inlineStr">
        <is>
          <t>参数</t>
        </is>
      </c>
      <c r="C35" s="47" t="inlineStr">
        <is>
          <t>PA-BCON-BLG</t>
        </is>
      </c>
      <c r="D35" s="47" t="inlineStr">
        <is>
          <t>SRC-PDF</t>
        </is>
      </c>
      <c r="E35" s="47" t="inlineStr">
        <is>
          <t>p1 Soluble β-lactoglobulin(UF2后) 框</t>
        </is>
      </c>
      <c r="F35" s="47" t="inlineStr">
        <is>
          <t>%blg</t>
        </is>
      </c>
      <c r="G35" s="47" t="n">
        <v>0.1285</v>
      </c>
      <c r="H35" s="47" t="inlineStr">
        <is>
          <t>g/g</t>
        </is>
      </c>
      <c r="I35" s="47" t="inlineStr">
        <is>
          <t>质量分数（湿基）</t>
        </is>
      </c>
      <c r="J35" s="47" t="inlineStr">
        <is>
          <t>日产工况（1天，kg/j 基准）</t>
        </is>
      </c>
      <c r="K35" s="47" t="inlineStr">
        <is>
          <t>FIXED</t>
        </is>
      </c>
      <c r="L35" s="47" t="inlineStr"/>
      <c r="M35" s="47" t="inlineStr"/>
      <c r="N35" s="47" t="inlineStr"/>
      <c r="O35" s="47" t="inlineStr"/>
      <c r="P35" s="47" t="inlineStr"/>
      <c r="Q35" s="47" t="inlineStr">
        <is>
          <t>可直接比较</t>
        </is>
      </c>
      <c r="R35" s="47" t="inlineStr">
        <is>
          <t>不采用</t>
        </is>
      </c>
      <c r="S35" s="47" t="inlineStr">
        <is>
          <t>D-A1</t>
        </is>
      </c>
      <c r="T35" s="47" t="inlineStr">
        <is>
          <t>β-乳球蛋白浓缩液；示意图层/分配参考数据，仅备查不作基准（2026-09-28用户指示）</t>
        </is>
      </c>
    </row>
    <row r="36" ht="25" customHeight="1">
      <c r="A36" s="47" t="inlineStr">
        <is>
          <t>CT-PA-ACON-DM</t>
        </is>
      </c>
      <c r="B36" s="47" t="inlineStr">
        <is>
          <t>参数</t>
        </is>
      </c>
      <c r="C36" s="47" t="inlineStr">
        <is>
          <t>PA-ACON-DM</t>
        </is>
      </c>
      <c r="D36" s="47" t="inlineStr">
        <is>
          <t>SRC-PDF</t>
        </is>
      </c>
      <c r="E36" s="47" t="inlineStr">
        <is>
          <t>p1 Soluble α-lactalbumin(UF3后) 框</t>
        </is>
      </c>
      <c r="F36" s="47" t="inlineStr">
        <is>
          <t>% DM</t>
        </is>
      </c>
      <c r="G36" s="47" t="n">
        <v>0.1772</v>
      </c>
      <c r="H36" s="47" t="inlineStr">
        <is>
          <t>g/g</t>
        </is>
      </c>
      <c r="I36" s="47" t="inlineStr">
        <is>
          <t>质量分数（湿基）</t>
        </is>
      </c>
      <c r="J36" s="47" t="inlineStr">
        <is>
          <t>日产工况（1天，kg/j 基准）</t>
        </is>
      </c>
      <c r="K36" s="47" t="inlineStr">
        <is>
          <t>FIXED</t>
        </is>
      </c>
      <c r="L36" s="47" t="inlineStr"/>
      <c r="M36" s="47" t="inlineStr"/>
      <c r="N36" s="47" t="inlineStr"/>
      <c r="O36" s="47" t="inlineStr"/>
      <c r="P36" s="47" t="inlineStr"/>
      <c r="Q36" s="47" t="inlineStr">
        <is>
          <t>可直接比较</t>
        </is>
      </c>
      <c r="R36" s="47" t="inlineStr">
        <is>
          <t>不采用</t>
        </is>
      </c>
      <c r="S36" s="47" t="inlineStr">
        <is>
          <t>D-A1</t>
        </is>
      </c>
      <c r="T36" s="47" t="inlineStr">
        <is>
          <t>α-乳白蛋白浓缩液；示意图层/分配参考数据，仅备查不作基准（2026-09-28用户指示）</t>
        </is>
      </c>
    </row>
    <row r="37" ht="25" customHeight="1">
      <c r="A37" s="47" t="inlineStr">
        <is>
          <t>CT-PA-ACON-PRO</t>
        </is>
      </c>
      <c r="B37" s="47" t="inlineStr">
        <is>
          <t>参数</t>
        </is>
      </c>
      <c r="C37" s="47" t="inlineStr">
        <is>
          <t>PA-ACON-PRO</t>
        </is>
      </c>
      <c r="D37" s="47" t="inlineStr">
        <is>
          <t>SRC-PDF</t>
        </is>
      </c>
      <c r="E37" s="47" t="inlineStr">
        <is>
          <t>p1 Soluble α-lactalbumin(UF3后) 框</t>
        </is>
      </c>
      <c r="F37" s="47" t="inlineStr">
        <is>
          <t>% protein</t>
        </is>
      </c>
      <c r="G37" s="47" t="n">
        <v>0.1755</v>
      </c>
      <c r="H37" s="47" t="inlineStr">
        <is>
          <t>g/g</t>
        </is>
      </c>
      <c r="I37" s="47" t="inlineStr">
        <is>
          <t>质量分数（湿基）</t>
        </is>
      </c>
      <c r="J37" s="47" t="inlineStr">
        <is>
          <t>日产工况（1天，kg/j 基准）</t>
        </is>
      </c>
      <c r="K37" s="47" t="inlineStr">
        <is>
          <t>FIXED</t>
        </is>
      </c>
      <c r="L37" s="47" t="inlineStr"/>
      <c r="M37" s="47" t="inlineStr"/>
      <c r="N37" s="47" t="inlineStr"/>
      <c r="O37" s="47" t="inlineStr"/>
      <c r="P37" s="47" t="inlineStr"/>
      <c r="Q37" s="47" t="inlineStr">
        <is>
          <t>可直接比较</t>
        </is>
      </c>
      <c r="R37" s="47" t="inlineStr">
        <is>
          <t>不采用</t>
        </is>
      </c>
      <c r="S37" s="47" t="inlineStr">
        <is>
          <t>D-A1</t>
        </is>
      </c>
      <c r="T37" s="47" t="inlineStr">
        <is>
          <t>α-乳白蛋白浓缩液；示意图层/分配参考数据，仅备查不作基准（2026-09-28用户指示）</t>
        </is>
      </c>
    </row>
    <row r="38" ht="25" customHeight="1">
      <c r="A38" s="47" t="inlineStr">
        <is>
          <t>CT-PA-ACON-ALA</t>
        </is>
      </c>
      <c r="B38" s="47" t="inlineStr">
        <is>
          <t>参数</t>
        </is>
      </c>
      <c r="C38" s="47" t="inlineStr">
        <is>
          <t>PA-ACON-ALA</t>
        </is>
      </c>
      <c r="D38" s="47" t="inlineStr">
        <is>
          <t>SRC-PDF</t>
        </is>
      </c>
      <c r="E38" s="47" t="inlineStr">
        <is>
          <t>p1 Soluble α-lactalbumin(UF3后) 框</t>
        </is>
      </c>
      <c r="F38" s="47" t="inlineStr">
        <is>
          <t>%ala</t>
        </is>
      </c>
      <c r="G38" s="47" t="n">
        <v>0.0965</v>
      </c>
      <c r="H38" s="47" t="inlineStr">
        <is>
          <t>g/g</t>
        </is>
      </c>
      <c r="I38" s="47" t="inlineStr">
        <is>
          <t>质量分数（湿基）</t>
        </is>
      </c>
      <c r="J38" s="47" t="inlineStr">
        <is>
          <t>日产工况（1天，kg/j 基准）</t>
        </is>
      </c>
      <c r="K38" s="47" t="inlineStr">
        <is>
          <t>FIXED</t>
        </is>
      </c>
      <c r="L38" s="47" t="inlineStr"/>
      <c r="M38" s="47" t="inlineStr"/>
      <c r="N38" s="47" t="inlineStr"/>
      <c r="O38" s="47" t="inlineStr"/>
      <c r="P38" s="47" t="inlineStr"/>
      <c r="Q38" s="47" t="inlineStr">
        <is>
          <t>可直接比较</t>
        </is>
      </c>
      <c r="R38" s="47" t="inlineStr">
        <is>
          <t>不采用</t>
        </is>
      </c>
      <c r="S38" s="47" t="inlineStr">
        <is>
          <t>D-A1</t>
        </is>
      </c>
      <c r="T38" s="47" t="inlineStr">
        <is>
          <t>α-乳白蛋白浓缩液；示意图层/分配参考数据，仅备查不作基准（2026-09-28用户指示）</t>
        </is>
      </c>
    </row>
    <row r="39" ht="25" customHeight="1">
      <c r="A39" s="47" t="inlineStr">
        <is>
          <t>CT-PA-P1-DM</t>
        </is>
      </c>
      <c r="B39" s="47" t="inlineStr">
        <is>
          <t>参数</t>
        </is>
      </c>
      <c r="C39" s="47" t="inlineStr">
        <is>
          <t>PA-P1-DM</t>
        </is>
      </c>
      <c r="D39" s="47" t="inlineStr">
        <is>
          <t>SRC-PDF</t>
        </is>
      </c>
      <c r="E39" s="47" t="inlineStr">
        <is>
          <t>p1 Protein 1 框</t>
        </is>
      </c>
      <c r="F39" s="47" t="inlineStr">
        <is>
          <t>%DM</t>
        </is>
      </c>
      <c r="G39" s="47" t="n">
        <v>0.96</v>
      </c>
      <c r="H39" s="47" t="inlineStr">
        <is>
          <t>g/g</t>
        </is>
      </c>
      <c r="I39" s="47" t="inlineStr">
        <is>
          <t>质量分数（湿基）</t>
        </is>
      </c>
      <c r="J39" s="47" t="inlineStr">
        <is>
          <t>日产工况（1天，kg/j 基准）</t>
        </is>
      </c>
      <c r="K39" s="47" t="inlineStr">
        <is>
          <t>FIXED</t>
        </is>
      </c>
      <c r="L39" s="47" t="inlineStr"/>
      <c r="M39" s="47" t="inlineStr"/>
      <c r="N39" s="47" t="inlineStr"/>
      <c r="O39" s="47" t="inlineStr"/>
      <c r="P39" s="47" t="inlineStr"/>
      <c r="Q39" s="47" t="inlineStr">
        <is>
          <t>可直接比较</t>
        </is>
      </c>
      <c r="R39" s="47" t="inlineStr">
        <is>
          <t>不采用</t>
        </is>
      </c>
      <c r="S39" s="47" t="inlineStr">
        <is>
          <t>D-A1</t>
        </is>
      </c>
      <c r="T39" s="47" t="inlineStr">
        <is>
          <t>产品1；示意图层/分配参考数据，仅备查不作基准（2026-09-28用户指示）</t>
        </is>
      </c>
    </row>
    <row r="40" ht="25" customHeight="1">
      <c r="A40" s="47" t="inlineStr">
        <is>
          <t>CT-PA-P1-PRO</t>
        </is>
      </c>
      <c r="B40" s="47" t="inlineStr">
        <is>
          <t>参数</t>
        </is>
      </c>
      <c r="C40" s="47" t="inlineStr">
        <is>
          <t>PA-P1-PRO</t>
        </is>
      </c>
      <c r="D40" s="47" t="inlineStr">
        <is>
          <t>SRC-PDF</t>
        </is>
      </c>
      <c r="E40" s="47" t="inlineStr">
        <is>
          <t>p1 Protein 1 框</t>
        </is>
      </c>
      <c r="F40" s="47" t="inlineStr">
        <is>
          <t>%protein</t>
        </is>
      </c>
      <c r="G40" s="47" t="n">
        <v>0.918</v>
      </c>
      <c r="H40" s="47" t="inlineStr">
        <is>
          <t>g/g</t>
        </is>
      </c>
      <c r="I40" s="47" t="inlineStr">
        <is>
          <t>质量分数（湿基）</t>
        </is>
      </c>
      <c r="J40" s="47" t="inlineStr">
        <is>
          <t>日产工况（1天，kg/j 基准）</t>
        </is>
      </c>
      <c r="K40" s="47" t="inlineStr">
        <is>
          <t>FIXED</t>
        </is>
      </c>
      <c r="L40" s="47" t="inlineStr"/>
      <c r="M40" s="47" t="inlineStr"/>
      <c r="N40" s="47" t="inlineStr"/>
      <c r="O40" s="47" t="inlineStr"/>
      <c r="P40" s="47" t="inlineStr"/>
      <c r="Q40" s="47" t="inlineStr">
        <is>
          <t>可直接比较</t>
        </is>
      </c>
      <c r="R40" s="47" t="inlineStr">
        <is>
          <t>不采用</t>
        </is>
      </c>
      <c r="S40" s="47" t="inlineStr">
        <is>
          <t>D-A1</t>
        </is>
      </c>
      <c r="T40" s="47" t="inlineStr">
        <is>
          <t>产品1；示意图层/分配参考数据，仅备查不作基准（2026-09-28用户指示）</t>
        </is>
      </c>
    </row>
    <row r="41">
      <c r="A41" t="inlineStr">
        <is>
          <t>CT-PA-P1-PUR</t>
        </is>
      </c>
      <c r="B41" t="inlineStr">
        <is>
          <t>参数</t>
        </is>
      </c>
      <c r="C41" t="inlineStr">
        <is>
          <t>PA-P1-PUR</t>
        </is>
      </c>
      <c r="D41" t="inlineStr">
        <is>
          <t>SRC-PDF</t>
        </is>
      </c>
      <c r="E41" t="inlineStr">
        <is>
          <t>p1 Protein 1 框</t>
        </is>
      </c>
      <c r="F41" t="inlineStr">
        <is>
          <t>purity (%BLG)</t>
        </is>
      </c>
      <c r="G41" t="n">
        <v>0.8383</v>
      </c>
      <c r="H41" t="inlineStr">
        <is>
          <t>g/g</t>
        </is>
      </c>
      <c r="I41" t="inlineStr">
        <is>
          <t>质量分数（湿基）</t>
        </is>
      </c>
      <c r="J41" t="inlineStr">
        <is>
          <t>日产工况（1天，kg/j 基准）</t>
        </is>
      </c>
      <c r="K41" t="inlineStr">
        <is>
          <t>FIXED</t>
        </is>
      </c>
      <c r="Q41" t="inlineStr">
        <is>
          <t>可直接比较</t>
        </is>
      </c>
      <c r="R41" t="inlineStr">
        <is>
          <t>不采用</t>
        </is>
      </c>
      <c r="S41" t="inlineStr">
        <is>
          <t>D-A1</t>
        </is>
      </c>
      <c r="T41" t="inlineStr">
        <is>
          <t>产品1；示意图层/分配参考数据，仅备查不作基准（2026-09-28用户指示）</t>
        </is>
      </c>
    </row>
    <row r="42">
      <c r="A42" t="inlineStr">
        <is>
          <t>CT-PA-P2-DM</t>
        </is>
      </c>
      <c r="B42" t="inlineStr">
        <is>
          <t>参数</t>
        </is>
      </c>
      <c r="C42" t="inlineStr">
        <is>
          <t>PA-P2-DM</t>
        </is>
      </c>
      <c r="D42" t="inlineStr">
        <is>
          <t>SRC-PDF</t>
        </is>
      </c>
      <c r="E42" t="inlineStr">
        <is>
          <t>p1 Protein 2 框</t>
        </is>
      </c>
      <c r="F42" t="inlineStr">
        <is>
          <t>%DM</t>
        </is>
      </c>
      <c r="G42" t="n">
        <v>0.96</v>
      </c>
      <c r="H42" t="inlineStr">
        <is>
          <t>g/g</t>
        </is>
      </c>
      <c r="I42" t="inlineStr">
        <is>
          <t>质量分数（湿基）</t>
        </is>
      </c>
      <c r="J42" t="inlineStr">
        <is>
          <t>日产工况（1天，kg/j 基准）</t>
        </is>
      </c>
      <c r="K42" t="inlineStr">
        <is>
          <t>FIXED</t>
        </is>
      </c>
      <c r="Q42" t="inlineStr">
        <is>
          <t>可直接比较</t>
        </is>
      </c>
      <c r="R42" t="inlineStr">
        <is>
          <t>不采用</t>
        </is>
      </c>
      <c r="S42" t="inlineStr">
        <is>
          <t>D-A1</t>
        </is>
      </c>
      <c r="T42" t="inlineStr">
        <is>
          <t>产品2；示意图层/分配参考数据，仅备查不作基准（2026-09-28用户指示）</t>
        </is>
      </c>
    </row>
    <row r="43">
      <c r="A43" t="inlineStr">
        <is>
          <t>CT-PA-P2-PRO</t>
        </is>
      </c>
      <c r="B43" t="inlineStr">
        <is>
          <t>参数</t>
        </is>
      </c>
      <c r="C43" t="inlineStr">
        <is>
          <t>PA-P2-PRO</t>
        </is>
      </c>
      <c r="D43" t="inlineStr">
        <is>
          <t>SRC-PDF</t>
        </is>
      </c>
      <c r="E43" t="inlineStr">
        <is>
          <t>p1 Protein 2 框</t>
        </is>
      </c>
      <c r="F43" t="inlineStr">
        <is>
          <t>%protein</t>
        </is>
      </c>
      <c r="G43" t="n">
        <v>0.951</v>
      </c>
      <c r="H43" t="inlineStr">
        <is>
          <t>g/g</t>
        </is>
      </c>
      <c r="I43" t="inlineStr">
        <is>
          <t>质量分数（湿基）</t>
        </is>
      </c>
      <c r="J43" t="inlineStr">
        <is>
          <t>日产工况（1天，kg/j 基准）</t>
        </is>
      </c>
      <c r="K43" t="inlineStr">
        <is>
          <t>FIXED</t>
        </is>
      </c>
      <c r="Q43" t="inlineStr">
        <is>
          <t>可直接比较</t>
        </is>
      </c>
      <c r="R43" t="inlineStr">
        <is>
          <t>不采用</t>
        </is>
      </c>
      <c r="S43" t="inlineStr">
        <is>
          <t>D-A1</t>
        </is>
      </c>
      <c r="T43" t="inlineStr">
        <is>
          <t>产品2；示意图层/分配参考数据，仅备查不作基准（2026-09-28用户指示）</t>
        </is>
      </c>
    </row>
    <row r="44">
      <c r="A44" t="inlineStr">
        <is>
          <t>CT-PA-P2-PUR</t>
        </is>
      </c>
      <c r="B44" t="inlineStr">
        <is>
          <t>参数</t>
        </is>
      </c>
      <c r="C44" t="inlineStr">
        <is>
          <t>PA-P2-PUR</t>
        </is>
      </c>
      <c r="D44" t="inlineStr">
        <is>
          <t>SRC-PDF</t>
        </is>
      </c>
      <c r="E44" t="inlineStr">
        <is>
          <t>p1 Protein 2 框</t>
        </is>
      </c>
      <c r="F44" t="inlineStr">
        <is>
          <t>purity (%ALA)</t>
        </is>
      </c>
      <c r="G44" t="n">
        <v>0.5444</v>
      </c>
      <c r="H44" t="inlineStr">
        <is>
          <t>g/g</t>
        </is>
      </c>
      <c r="I44" t="inlineStr">
        <is>
          <t>质量分数（湿基）</t>
        </is>
      </c>
      <c r="J44" t="inlineStr">
        <is>
          <t>日产工况（1天，kg/j 基准）</t>
        </is>
      </c>
      <c r="K44" t="inlineStr">
        <is>
          <t>FIXED</t>
        </is>
      </c>
      <c r="Q44" t="inlineStr">
        <is>
          <t>可直接比较</t>
        </is>
      </c>
      <c r="R44" t="inlineStr">
        <is>
          <t>不采用</t>
        </is>
      </c>
      <c r="S44" t="inlineStr">
        <is>
          <t>D-A1</t>
        </is>
      </c>
      <c r="T44" t="inlineStr">
        <is>
          <t>产品2；示意图层/分配参考数据，仅备查不作基准（2026-09-28用户指示）</t>
        </is>
      </c>
    </row>
    <row r="45">
      <c r="A45" t="inlineStr">
        <is>
          <t>CT-PA-FRV-MF1</t>
        </is>
      </c>
      <c r="B45" t="inlineStr">
        <is>
          <t>参数</t>
        </is>
      </c>
      <c r="C45" t="inlineStr">
        <is>
          <t>PA-FRV-MF1</t>
        </is>
      </c>
      <c r="D45" t="inlineStr">
        <is>
          <t>SRC-PDF</t>
        </is>
      </c>
      <c r="E45" t="inlineStr">
        <is>
          <t>p1 步骤5框</t>
        </is>
      </c>
      <c r="F45" t="inlineStr">
        <is>
          <t>MF1 FRV</t>
        </is>
      </c>
      <c r="G45" t="n">
        <v>3</v>
      </c>
      <c r="H45" t="inlineStr">
        <is>
          <t>-</t>
        </is>
      </c>
      <c r="I45" t="inlineStr">
        <is>
          <t>工艺设定值</t>
        </is>
      </c>
      <c r="J45" t="inlineStr">
        <is>
          <t>日产工况（1天，kg/j 基准）</t>
        </is>
      </c>
      <c r="K45" t="inlineStr">
        <is>
          <t>FIXED</t>
        </is>
      </c>
      <c r="Q45" t="inlineStr">
        <is>
          <t>可直接比较</t>
        </is>
      </c>
      <c r="R45" t="inlineStr">
        <is>
          <t>不采用</t>
        </is>
      </c>
      <c r="S45" t="inlineStr">
        <is>
          <t>D-A1</t>
        </is>
      </c>
      <c r="T45" t="inlineStr">
        <is>
          <t>微滤1体积浓缩因子；示意图层/分配参考数据，仅备查不作基准（2026-09-28用户指示）</t>
        </is>
      </c>
    </row>
    <row r="46">
      <c r="A46" t="inlineStr">
        <is>
          <t>CT-PA-FRV-RO</t>
        </is>
      </c>
      <c r="B46" t="inlineStr">
        <is>
          <t>参数</t>
        </is>
      </c>
      <c r="C46" t="inlineStr">
        <is>
          <t>PA-FRV-RO</t>
        </is>
      </c>
      <c r="D46" t="inlineStr">
        <is>
          <t>SRC-PDF</t>
        </is>
      </c>
      <c r="E46" t="inlineStr">
        <is>
          <t>p1 步骤11框</t>
        </is>
      </c>
      <c r="F46" t="inlineStr">
        <is>
          <t>RO FRV</t>
        </is>
      </c>
      <c r="G46" t="n">
        <v>4.7</v>
      </c>
      <c r="H46" t="inlineStr">
        <is>
          <t>-</t>
        </is>
      </c>
      <c r="I46" t="inlineStr">
        <is>
          <t>工艺设定值</t>
        </is>
      </c>
      <c r="J46" t="inlineStr">
        <is>
          <t>日产工况（1天，kg/j 基准）</t>
        </is>
      </c>
      <c r="K46" t="inlineStr">
        <is>
          <t>FIXED</t>
        </is>
      </c>
      <c r="Q46" t="inlineStr">
        <is>
          <t>可直接比较</t>
        </is>
      </c>
      <c r="R46" t="inlineStr">
        <is>
          <t>不采用</t>
        </is>
      </c>
      <c r="S46" t="inlineStr">
        <is>
          <t>D-A1</t>
        </is>
      </c>
      <c r="T46" t="inlineStr">
        <is>
          <t>反渗透体积浓缩因子；示意图层/分配参考数据，仅备查不作基准（2026-09-28用户指示）</t>
        </is>
      </c>
    </row>
    <row r="47">
      <c r="A47" t="inlineStr">
        <is>
          <t>CT-PA-FRV-MF2</t>
        </is>
      </c>
      <c r="B47" t="inlineStr">
        <is>
          <t>参数</t>
        </is>
      </c>
      <c r="C47" t="inlineStr">
        <is>
          <t>PA-FRV-MF2</t>
        </is>
      </c>
      <c r="D47" t="inlineStr">
        <is>
          <t>SRC-PDF</t>
        </is>
      </c>
      <c r="E47" t="inlineStr">
        <is>
          <t>p1 MF2计算框</t>
        </is>
      </c>
      <c r="F47" t="inlineStr">
        <is>
          <t>总FRV</t>
        </is>
      </c>
      <c r="G47" t="n">
        <v>13.5</v>
      </c>
      <c r="H47" t="inlineStr">
        <is>
          <t>-</t>
        </is>
      </c>
      <c r="I47" t="inlineStr">
        <is>
          <t>工艺设定值</t>
        </is>
      </c>
      <c r="J47" t="inlineStr">
        <is>
          <t>日产工况（1天，kg/j 基准）</t>
        </is>
      </c>
      <c r="K47" t="inlineStr">
        <is>
          <t>FIXED</t>
        </is>
      </c>
      <c r="Q47" t="inlineStr">
        <is>
          <t>可直接比较</t>
        </is>
      </c>
      <c r="R47" t="inlineStr">
        <is>
          <t>不采用</t>
        </is>
      </c>
      <c r="S47" t="inlineStr">
        <is>
          <t>D-A1</t>
        </is>
      </c>
      <c r="T47" t="inlineStr">
        <is>
          <t>MF2两级总浓缩因子=13.5（1级FRV=4.5，2级FRV=3，Diaf=3）；示意图层/分配参考数据，仅备查不作基准（2026-09-28用户指示）</t>
        </is>
      </c>
    </row>
    <row r="48">
      <c r="A48" t="inlineStr">
        <is>
          <t>CT-PA-FRV-UF2</t>
        </is>
      </c>
      <c r="B48" t="inlineStr">
        <is>
          <t>参数</t>
        </is>
      </c>
      <c r="C48" t="inlineStr">
        <is>
          <t>PA-FRV-UF2</t>
        </is>
      </c>
      <c r="D48" t="inlineStr">
        <is>
          <t>SRC-PDF</t>
        </is>
      </c>
      <c r="E48" t="inlineStr">
        <is>
          <t>p1 步骤16框</t>
        </is>
      </c>
      <c r="F48" t="inlineStr">
        <is>
          <t>UF2 FRV</t>
        </is>
      </c>
      <c r="G48" t="n">
        <v>10</v>
      </c>
      <c r="H48" t="inlineStr">
        <is>
          <t>-</t>
        </is>
      </c>
      <c r="I48" t="inlineStr">
        <is>
          <t>工艺设定值</t>
        </is>
      </c>
      <c r="J48" t="inlineStr">
        <is>
          <t>日产工况（1天，kg/j 基准）</t>
        </is>
      </c>
      <c r="K48" t="inlineStr">
        <is>
          <t>FIXED</t>
        </is>
      </c>
      <c r="Q48" t="inlineStr">
        <is>
          <t>可直接比较</t>
        </is>
      </c>
      <c r="R48" t="inlineStr">
        <is>
          <t>不采用</t>
        </is>
      </c>
      <c r="S48" t="inlineStr">
        <is>
          <t>D-A1</t>
        </is>
      </c>
      <c r="T48" t="inlineStr">
        <is>
          <t>β支线超滤浓缩因子；示意图层/分配参考数据，仅备查不作基准（2026-09-28用户指示）</t>
        </is>
      </c>
    </row>
    <row r="49">
      <c r="A49" t="inlineStr">
        <is>
          <t>CT-PA-FRV-UF3</t>
        </is>
      </c>
      <c r="B49" t="inlineStr">
        <is>
          <t>参数</t>
        </is>
      </c>
      <c r="C49" t="inlineStr">
        <is>
          <t>PA-FRV-UF3</t>
        </is>
      </c>
      <c r="D49" t="inlineStr">
        <is>
          <t>SRC-PDF</t>
        </is>
      </c>
      <c r="E49" t="inlineStr">
        <is>
          <t>p1 步骤18框</t>
        </is>
      </c>
      <c r="F49" t="inlineStr">
        <is>
          <t>UF3 FRV</t>
        </is>
      </c>
      <c r="G49" t="n">
        <v>2.85</v>
      </c>
      <c r="H49" t="inlineStr">
        <is>
          <t>-</t>
        </is>
      </c>
      <c r="I49" t="inlineStr">
        <is>
          <t>工艺设定值</t>
        </is>
      </c>
      <c r="J49" t="inlineStr">
        <is>
          <t>日产工况（1天，kg/j 基准）</t>
        </is>
      </c>
      <c r="K49" t="inlineStr">
        <is>
          <t>FIXED</t>
        </is>
      </c>
      <c r="Q49" t="inlineStr">
        <is>
          <t>可直接比较</t>
        </is>
      </c>
      <c r="R49" t="inlineStr">
        <is>
          <t>不采用</t>
        </is>
      </c>
      <c r="S49" t="inlineStr">
        <is>
          <t>D-A1</t>
        </is>
      </c>
      <c r="T49" t="inlineStr">
        <is>
          <t>α支线超滤浓缩因子；示意图层/分配参考数据，仅备查不作基准（2026-09-28用户指示）</t>
        </is>
      </c>
    </row>
    <row r="50">
      <c r="A50" t="inlineStr">
        <is>
          <t>CT-PA-DRY-FACTOR</t>
        </is>
      </c>
      <c r="B50" t="inlineStr">
        <is>
          <t>参数</t>
        </is>
      </c>
      <c r="C50" t="inlineStr">
        <is>
          <t>PA-DRY-FACTOR</t>
        </is>
      </c>
      <c r="D50" t="inlineStr">
        <is>
          <t>SRC-PDF</t>
        </is>
      </c>
      <c r="E50" t="inlineStr">
        <is>
          <t>p1 Drying框(黄圈)</t>
        </is>
      </c>
      <c r="F50" t="inlineStr">
        <is>
          <t>drying factor</t>
        </is>
      </c>
      <c r="G50" t="n">
        <v>0.23</v>
      </c>
      <c r="H50" t="inlineStr">
        <is>
          <t>-</t>
        </is>
      </c>
      <c r="I50" t="inlineStr">
        <is>
          <t>工艺设定值</t>
        </is>
      </c>
      <c r="J50" t="inlineStr">
        <is>
          <t>日产工况（1天，kg/j 基准）</t>
        </is>
      </c>
      <c r="K50" t="inlineStr">
        <is>
          <t>FIXED</t>
        </is>
      </c>
      <c r="Q50" t="inlineStr">
        <is>
          <t>可直接比较</t>
        </is>
      </c>
      <c r="R50" t="inlineStr">
        <is>
          <t>不采用</t>
        </is>
      </c>
      <c r="S50" t="inlineStr">
        <is>
          <t>D-A1</t>
        </is>
      </c>
      <c r="T50" t="inlineStr">
        <is>
          <t>专家意见；示意图层/分配参考数据，仅备查不作基准（2026-09-28用户指示）</t>
        </is>
      </c>
    </row>
    <row r="51">
      <c r="A51" t="inlineStr">
        <is>
          <t>CT-PA-DRY-CONC</t>
        </is>
      </c>
      <c r="B51" t="inlineStr">
        <is>
          <t>参数</t>
        </is>
      </c>
      <c r="C51" t="inlineStr">
        <is>
          <t>PA-DRY-CONC</t>
        </is>
      </c>
      <c r="D51" t="inlineStr">
        <is>
          <t>SRC-PDF</t>
        </is>
      </c>
      <c r="E51" t="inlineStr">
        <is>
          <t>p1 Drying框(黄圈)</t>
        </is>
      </c>
      <c r="F51" t="inlineStr">
        <is>
          <t>flow rate concentrate</t>
        </is>
      </c>
      <c r="G51" t="n">
        <v>718</v>
      </c>
      <c r="H51" t="inlineStr">
        <is>
          <t>L/h</t>
        </is>
      </c>
      <c r="I51" t="inlineStr">
        <is>
          <t>工艺设定值</t>
        </is>
      </c>
      <c r="J51" t="inlineStr">
        <is>
          <t>日产工况（1天，kg/j 基准）</t>
        </is>
      </c>
      <c r="K51" t="inlineStr">
        <is>
          <t>FIXED</t>
        </is>
      </c>
      <c r="Q51" t="inlineStr">
        <is>
          <t>可直接比较</t>
        </is>
      </c>
      <c r="R51" t="inlineStr">
        <is>
          <t>不采用</t>
        </is>
      </c>
      <c r="S51" t="inlineStr">
        <is>
          <t>D-A1</t>
        </is>
      </c>
      <c r="T51" t="inlineStr">
        <is>
          <t>专家意见；示意图层/分配参考数据，仅备查不作基准（2026-09-28用户指示）</t>
        </is>
      </c>
    </row>
    <row r="52">
      <c r="A52" t="inlineStr">
        <is>
          <t>CT-PA-DRY-POWDER</t>
        </is>
      </c>
      <c r="B52" t="inlineStr">
        <is>
          <t>参数</t>
        </is>
      </c>
      <c r="C52" t="inlineStr">
        <is>
          <t>PA-DRY-POWDER</t>
        </is>
      </c>
      <c r="D52" t="inlineStr">
        <is>
          <t>SRC-PDF</t>
        </is>
      </c>
      <c r="E52" t="inlineStr">
        <is>
          <t>p1 Drying框(黄圈)</t>
        </is>
      </c>
      <c r="F52" t="inlineStr">
        <is>
          <t>pwder flow rate</t>
        </is>
      </c>
      <c r="G52" t="n">
        <v>164.5</v>
      </c>
      <c r="H52" t="inlineStr">
        <is>
          <t>kg/h</t>
        </is>
      </c>
      <c r="I52" t="inlineStr">
        <is>
          <t>工艺设定值</t>
        </is>
      </c>
      <c r="J52" t="inlineStr">
        <is>
          <t>日产工况（1天，kg/j 基准）</t>
        </is>
      </c>
      <c r="K52" t="inlineStr">
        <is>
          <t>FIXED</t>
        </is>
      </c>
      <c r="Q52" t="inlineStr">
        <is>
          <t>可直接比较</t>
        </is>
      </c>
      <c r="R52" t="inlineStr">
        <is>
          <t>不采用</t>
        </is>
      </c>
      <c r="S52" t="inlineStr">
        <is>
          <t>D-A1</t>
        </is>
      </c>
      <c r="T52" t="inlineStr">
        <is>
          <t>专家意见（原文拼写pwder）；示意图层/分配参考数据，仅备查不作基准（2026-09-28用户指示）</t>
        </is>
      </c>
    </row>
    <row r="53">
      <c r="A53" t="inlineStr">
        <is>
          <t>CT-PA-PH-ACID</t>
        </is>
      </c>
      <c r="B53" t="inlineStr">
        <is>
          <t>参数</t>
        </is>
      </c>
      <c r="C53" t="inlineStr">
        <is>
          <t>PA-PH-ACID</t>
        </is>
      </c>
      <c r="D53" t="inlineStr">
        <is>
          <t>SRC-PDF</t>
        </is>
      </c>
      <c r="E53" t="inlineStr">
        <is>
          <t>p1 步骤13框</t>
        </is>
      </c>
      <c r="F53" t="inlineStr">
        <is>
          <t>Acidification pH</t>
        </is>
      </c>
      <c r="G53" t="n">
        <v>3.8</v>
      </c>
      <c r="H53" t="inlineStr">
        <is>
          <t>pH</t>
        </is>
      </c>
      <c r="I53" t="inlineStr">
        <is>
          <t>工艺设定值</t>
        </is>
      </c>
      <c r="J53" t="inlineStr">
        <is>
          <t>日产工况（1天，kg/j 基准）</t>
        </is>
      </c>
      <c r="K53" t="inlineStr">
        <is>
          <t>FIXED</t>
        </is>
      </c>
      <c r="Q53" t="inlineStr">
        <is>
          <t>可直接比较</t>
        </is>
      </c>
      <c r="R53" t="inlineStr">
        <is>
          <t>不采用</t>
        </is>
      </c>
      <c r="S53" t="inlineStr">
        <is>
          <t>D-A1</t>
        </is>
      </c>
      <c r="T53" t="inlineStr">
        <is>
          <t>酸化至α-乳白蛋白等电沉淀；示意图层/分配参考数据，仅备查不作基准（2026-09-28用户指示）</t>
        </is>
      </c>
    </row>
    <row r="54">
      <c r="A54" t="inlineStr">
        <is>
          <t>CT-PA-PH-RESOL</t>
        </is>
      </c>
      <c r="B54" t="inlineStr">
        <is>
          <t>参数</t>
        </is>
      </c>
      <c r="C54" t="inlineStr">
        <is>
          <t>PA-PH-RESOL</t>
        </is>
      </c>
      <c r="D54" t="inlineStr">
        <is>
          <t>SRC-PDF</t>
        </is>
      </c>
      <c r="E54" t="inlineStr">
        <is>
          <t>p1 步骤15框</t>
        </is>
      </c>
      <c r="F54" t="inlineStr">
        <is>
          <t>Resolubilization pH</t>
        </is>
      </c>
      <c r="G54" t="n">
        <v>7</v>
      </c>
      <c r="H54" t="inlineStr">
        <is>
          <t>pH</t>
        </is>
      </c>
      <c r="I54" t="inlineStr">
        <is>
          <t>工艺设定值</t>
        </is>
      </c>
      <c r="J54" t="inlineStr">
        <is>
          <t>日产工况（1天，kg/j 基准）</t>
        </is>
      </c>
      <c r="K54" t="inlineStr">
        <is>
          <t>FIXED</t>
        </is>
      </c>
      <c r="Q54" t="inlineStr">
        <is>
          <t>可直接比较</t>
        </is>
      </c>
      <c r="R54" t="inlineStr">
        <is>
          <t>不采用</t>
        </is>
      </c>
      <c r="S54" t="inlineStr">
        <is>
          <t>D-A1</t>
        </is>
      </c>
      <c r="T54" t="inlineStr">
        <is>
          <t>复溶pH；示意图层/分配参考数据，仅备查不作基准（2026-09-28用户指示）</t>
        </is>
      </c>
    </row>
    <row r="55">
      <c r="A55" t="inlineStr">
        <is>
          <t>CT-PA-PRICE-SKIM</t>
        </is>
      </c>
      <c r="B55" t="inlineStr">
        <is>
          <t>参数</t>
        </is>
      </c>
      <c r="C55" t="inlineStr">
        <is>
          <t>PA-PRICE-SKIM</t>
        </is>
      </c>
      <c r="D55" t="inlineStr">
        <is>
          <t>SRC-PDF</t>
        </is>
      </c>
      <c r="E55" t="inlineStr">
        <is>
          <t>p1 Skimmed milk 框</t>
        </is>
      </c>
      <c r="F55" t="inlineStr">
        <is>
          <t>price</t>
        </is>
      </c>
      <c r="G55" t="n">
        <v>0.5</v>
      </c>
      <c r="H55" t="inlineStr">
        <is>
          <t>€/L</t>
        </is>
      </c>
      <c r="I55" t="inlineStr">
        <is>
          <t>日产工况价格（专家意见/假设）</t>
        </is>
      </c>
      <c r="J55" t="inlineStr">
        <is>
          <t>日产工况（1天，kg/j 基准）</t>
        </is>
      </c>
      <c r="K55" t="inlineStr">
        <is>
          <t>FIXED</t>
        </is>
      </c>
      <c r="Q55" t="inlineStr">
        <is>
          <t>可直接比较</t>
        </is>
      </c>
      <c r="R55" t="inlineStr">
        <is>
          <t>不采用</t>
        </is>
      </c>
      <c r="S55" t="inlineStr">
        <is>
          <t>D-A1</t>
        </is>
      </c>
      <c r="T55" t="inlineStr">
        <is>
          <t>经济分配因子直接取自SRC-XLSX，不依赖revenue复算；示意图层/分配参考数据，仅备查不作基准（2026-09-28用户指示）</t>
        </is>
      </c>
    </row>
    <row r="56">
      <c r="A56" t="inlineStr">
        <is>
          <t>CT-PA-PRICE-CREAM</t>
        </is>
      </c>
      <c r="B56" t="inlineStr">
        <is>
          <t>参数</t>
        </is>
      </c>
      <c r="C56" t="inlineStr">
        <is>
          <t>PA-PRICE-CREAM</t>
        </is>
      </c>
      <c r="D56" t="inlineStr">
        <is>
          <t>SRC-PDF</t>
        </is>
      </c>
      <c r="E56" t="inlineStr">
        <is>
          <t>p1 Raw cream 框</t>
        </is>
      </c>
      <c r="F56" t="inlineStr">
        <is>
          <t>price</t>
        </is>
      </c>
      <c r="G56" t="n">
        <v>4.5</v>
      </c>
      <c r="H56" t="inlineStr">
        <is>
          <t>€/L</t>
        </is>
      </c>
      <c r="I56" t="inlineStr">
        <is>
          <t>日产工况价格（专家意见/假设）</t>
        </is>
      </c>
      <c r="J56" t="inlineStr">
        <is>
          <t>日产工况（1天，kg/j 基准）</t>
        </is>
      </c>
      <c r="K56" t="inlineStr">
        <is>
          <t>FIXED</t>
        </is>
      </c>
      <c r="Q56" t="inlineStr">
        <is>
          <t>可直接比较</t>
        </is>
      </c>
      <c r="R56" t="inlineStr">
        <is>
          <t>不采用</t>
        </is>
      </c>
      <c r="S56" t="inlineStr">
        <is>
          <t>D-A1</t>
        </is>
      </c>
      <c r="T56" t="inlineStr">
        <is>
          <t>经济分配因子直接取自SRC-XLSX，不依赖revenue复算；示意图层/分配参考数据，仅备查不作基准（2026-09-28用户指示）</t>
        </is>
      </c>
    </row>
    <row r="57">
      <c r="A57" t="inlineStr">
        <is>
          <t>CT-PA-PRICE-CAS</t>
        </is>
      </c>
      <c r="B57" t="inlineStr">
        <is>
          <t>参数</t>
        </is>
      </c>
      <c r="C57" t="inlineStr">
        <is>
          <t>PA-PRICE-CAS</t>
        </is>
      </c>
      <c r="D57" t="inlineStr">
        <is>
          <t>SRC-PDF</t>
        </is>
      </c>
      <c r="E57" t="inlineStr">
        <is>
          <t>p1 Retentate casein micelles 框</t>
        </is>
      </c>
      <c r="F57" t="inlineStr">
        <is>
          <t>price</t>
        </is>
      </c>
      <c r="G57" t="n">
        <v>10.5</v>
      </c>
      <c r="H57" t="inlineStr">
        <is>
          <t>€/kg</t>
        </is>
      </c>
      <c r="I57" t="inlineStr">
        <is>
          <t>日产工况价格（专家意见/假设）</t>
        </is>
      </c>
      <c r="J57" t="inlineStr">
        <is>
          <t>日产工况（1天，kg/j 基准）</t>
        </is>
      </c>
      <c r="K57" t="inlineStr">
        <is>
          <t>FIXED</t>
        </is>
      </c>
      <c r="Q57" t="inlineStr">
        <is>
          <t>可直接比较</t>
        </is>
      </c>
      <c r="R57" t="inlineStr">
        <is>
          <t>不采用</t>
        </is>
      </c>
      <c r="S57" t="inlineStr">
        <is>
          <t>D-A1</t>
        </is>
      </c>
      <c r="T57" t="inlineStr">
        <is>
          <t>经济分配因子直接取自SRC-XLSX，不依赖revenue复算；示意图层/分配参考数据，仅备查不作基准（2026-09-28用户指示）</t>
        </is>
      </c>
    </row>
    <row r="58">
      <c r="A58" t="inlineStr">
        <is>
          <t>CT-PA-PRICE-WHEY</t>
        </is>
      </c>
      <c r="B58" t="inlineStr">
        <is>
          <t>参数</t>
        </is>
      </c>
      <c r="C58" t="inlineStr">
        <is>
          <t>PA-PRICE-WHEY</t>
        </is>
      </c>
      <c r="D58" t="inlineStr">
        <is>
          <t>SRC-PDF</t>
        </is>
      </c>
      <c r="E58" t="inlineStr">
        <is>
          <t>p1 Permeate whey 框</t>
        </is>
      </c>
      <c r="F58" t="inlineStr">
        <is>
          <t>price</t>
        </is>
      </c>
      <c r="G58" t="n">
        <v>1.05</v>
      </c>
      <c r="H58" t="inlineStr">
        <is>
          <t>€/kg</t>
        </is>
      </c>
      <c r="I58" t="inlineStr">
        <is>
          <t>日产工况价格（专家意见/假设）</t>
        </is>
      </c>
      <c r="J58" t="inlineStr">
        <is>
          <t>日产工况（1天，kg/j 基准）</t>
        </is>
      </c>
      <c r="K58" t="inlineStr">
        <is>
          <t>FIXED</t>
        </is>
      </c>
      <c r="Q58" t="inlineStr">
        <is>
          <t>可直接比较</t>
        </is>
      </c>
      <c r="R58" t="inlineStr">
        <is>
          <t>不采用</t>
        </is>
      </c>
      <c r="S58" t="inlineStr">
        <is>
          <t>D-A1</t>
        </is>
      </c>
      <c r="T58" t="inlineStr">
        <is>
          <t>经济分配因子直接取自SRC-XLSX，不依赖revenue复算；示意图层/分配参考数据，仅备查不作基准（2026-09-28用户指示）</t>
        </is>
      </c>
    </row>
    <row r="59">
      <c r="A59" t="inlineStr">
        <is>
          <t>CT-PA-PRICE-WPI</t>
        </is>
      </c>
      <c r="B59" t="inlineStr">
        <is>
          <t>参数</t>
        </is>
      </c>
      <c r="C59" t="inlineStr">
        <is>
          <t>PA-PRICE-WPI</t>
        </is>
      </c>
      <c r="D59" t="inlineStr">
        <is>
          <t>SRC-PDF</t>
        </is>
      </c>
      <c r="E59" t="inlineStr">
        <is>
          <t>p1 Retentate WPI 框</t>
        </is>
      </c>
      <c r="F59" t="inlineStr">
        <is>
          <t>fictive price</t>
        </is>
      </c>
      <c r="G59" t="n">
        <v>2.26</v>
      </c>
      <c r="H59" t="inlineStr">
        <is>
          <t>€/kg</t>
        </is>
      </c>
      <c r="I59" t="inlineStr">
        <is>
          <t>日产工况价格（专家意见/假设）</t>
        </is>
      </c>
      <c r="J59" t="inlineStr">
        <is>
          <t>日产工况（1天，kg/j 基准）</t>
        </is>
      </c>
      <c r="K59" t="inlineStr">
        <is>
          <t>FIXED</t>
        </is>
      </c>
      <c r="Q59" t="inlineStr">
        <is>
          <t>可直接比较</t>
        </is>
      </c>
      <c r="R59" t="inlineStr">
        <is>
          <t>不采用</t>
        </is>
      </c>
      <c r="S59" t="inlineStr">
        <is>
          <t>D-A1</t>
        </is>
      </c>
      <c r="T59" t="inlineStr">
        <is>
          <t>经济分配因子直接取自SRC-XLSX，不依赖revenue复算；示意图层/分配参考数据，仅备查不作基准（2026-09-28用户指示）</t>
        </is>
      </c>
    </row>
    <row r="60">
      <c r="A60" t="inlineStr">
        <is>
          <t>CT-PA-PRICE-LACP</t>
        </is>
      </c>
      <c r="B60" t="inlineStr">
        <is>
          <t>参数</t>
        </is>
      </c>
      <c r="C60" t="inlineStr">
        <is>
          <t>PA-PRICE-LACP</t>
        </is>
      </c>
      <c r="D60" t="inlineStr">
        <is>
          <t>SRC-PDF</t>
        </is>
      </c>
      <c r="E60" t="inlineStr">
        <is>
          <t>p1 Permeate lactose 框</t>
        </is>
      </c>
      <c r="F60" t="inlineStr">
        <is>
          <t>fictive price</t>
        </is>
      </c>
      <c r="G60" t="n">
        <v>0.0003</v>
      </c>
      <c r="H60" t="inlineStr">
        <is>
          <t>€/kg</t>
        </is>
      </c>
      <c r="I60" t="inlineStr">
        <is>
          <t>日产工况价格（专家意见/假设）</t>
        </is>
      </c>
      <c r="J60" t="inlineStr">
        <is>
          <t>日产工况（1天，kg/j 基准）</t>
        </is>
      </c>
      <c r="K60" t="inlineStr">
        <is>
          <t>FIXED</t>
        </is>
      </c>
      <c r="Q60" t="inlineStr">
        <is>
          <t>可直接比较</t>
        </is>
      </c>
      <c r="R60" t="inlineStr">
        <is>
          <t>不采用</t>
        </is>
      </c>
      <c r="S60" t="inlineStr">
        <is>
          <t>D-A1</t>
        </is>
      </c>
      <c r="T60" t="inlineStr">
        <is>
          <t>经济分配因子直接取自SRC-XLSX，不依赖revenue复算；示意图层/分配参考数据，仅备查不作基准（2026-09-28用户指示）</t>
        </is>
      </c>
    </row>
    <row r="61">
      <c r="A61" t="inlineStr">
        <is>
          <t>CT-PA-PRICE-LAC</t>
        </is>
      </c>
      <c r="B61" t="inlineStr">
        <is>
          <t>参数</t>
        </is>
      </c>
      <c r="C61" t="inlineStr">
        <is>
          <t>PA-PRICE-LAC</t>
        </is>
      </c>
      <c r="D61" t="inlineStr">
        <is>
          <t>SRC-PDF</t>
        </is>
      </c>
      <c r="E61" t="inlineStr">
        <is>
          <t>p1 Lactose 框</t>
        </is>
      </c>
      <c r="F61" t="inlineStr">
        <is>
          <t>price</t>
        </is>
      </c>
      <c r="G61" t="n">
        <v>1.5</v>
      </c>
      <c r="H61" t="inlineStr">
        <is>
          <t>€/kg</t>
        </is>
      </c>
      <c r="I61" t="inlineStr">
        <is>
          <t>日产工况价格（专家意见/假设）</t>
        </is>
      </c>
      <c r="J61" t="inlineStr">
        <is>
          <t>日产工况（1天，kg/j 基准）</t>
        </is>
      </c>
      <c r="K61" t="inlineStr">
        <is>
          <t>FIXED</t>
        </is>
      </c>
      <c r="Q61" t="inlineStr">
        <is>
          <t>可直接比较</t>
        </is>
      </c>
      <c r="R61" t="inlineStr">
        <is>
          <t>不采用</t>
        </is>
      </c>
      <c r="S61" t="inlineStr">
        <is>
          <t>D-A1</t>
        </is>
      </c>
      <c r="T61" t="inlineStr">
        <is>
          <t>经济分配因子直接取自SRC-XLSX，不依赖revenue复算；示意图层/分配参考数据，仅备查不作基准（2026-09-28用户指示）</t>
        </is>
      </c>
    </row>
    <row r="62">
      <c r="A62" t="inlineStr">
        <is>
          <t>CT-PA-PRICE-APRE</t>
        </is>
      </c>
      <c r="B62" t="inlineStr">
        <is>
          <t>参数</t>
        </is>
      </c>
      <c r="C62" t="inlineStr">
        <is>
          <t>PA-PRICE-APRE</t>
        </is>
      </c>
      <c r="D62" t="inlineStr">
        <is>
          <t>SRC-PDF</t>
        </is>
      </c>
      <c r="E62" t="inlineStr">
        <is>
          <t>p1 Retentate precipitated α-lactalbumin 框</t>
        </is>
      </c>
      <c r="F62" t="inlineStr">
        <is>
          <t>fictive price</t>
        </is>
      </c>
      <c r="G62" t="n">
        <v>1.4</v>
      </c>
      <c r="H62" t="inlineStr">
        <is>
          <t>€/kg</t>
        </is>
      </c>
      <c r="I62" t="inlineStr">
        <is>
          <t>日产工况价格（专家意见/假设）</t>
        </is>
      </c>
      <c r="J62" t="inlineStr">
        <is>
          <t>日产工况（1天，kg/j 基准）</t>
        </is>
      </c>
      <c r="K62" t="inlineStr">
        <is>
          <t>FIXED</t>
        </is>
      </c>
      <c r="Q62" t="inlineStr">
        <is>
          <t>可直接比较</t>
        </is>
      </c>
      <c r="R62" t="inlineStr">
        <is>
          <t>不采用</t>
        </is>
      </c>
      <c r="S62" t="inlineStr">
        <is>
          <t>D-A1</t>
        </is>
      </c>
      <c r="T62" t="inlineStr">
        <is>
          <t>经济分配因子直接取自SRC-XLSX，不依赖revenue复算；示意图层/分配参考数据，仅备查不作基准（2026-09-28用户指示）</t>
        </is>
      </c>
    </row>
    <row r="63">
      <c r="A63" t="inlineStr">
        <is>
          <t>CT-PA-PRICE-BSOL</t>
        </is>
      </c>
      <c r="B63" t="inlineStr">
        <is>
          <t>参数</t>
        </is>
      </c>
      <c r="C63" t="inlineStr">
        <is>
          <t>PA-PRICE-BSOL</t>
        </is>
      </c>
      <c r="D63" t="inlineStr">
        <is>
          <t>SRC-PDF</t>
        </is>
      </c>
      <c r="E63" t="inlineStr">
        <is>
          <t>p1 Permeate soluble β-lactoglobulin 框</t>
        </is>
      </c>
      <c r="F63" t="inlineStr">
        <is>
          <t>fictive price</t>
        </is>
      </c>
      <c r="G63" t="n">
        <v>0.29</v>
      </c>
      <c r="H63" t="inlineStr">
        <is>
          <t>€/kg</t>
        </is>
      </c>
      <c r="I63" t="inlineStr">
        <is>
          <t>日产工况价格（专家意见/假设）</t>
        </is>
      </c>
      <c r="J63" t="inlineStr">
        <is>
          <t>日产工况（1天，kg/j 基准）</t>
        </is>
      </c>
      <c r="K63" t="inlineStr">
        <is>
          <t>FIXED</t>
        </is>
      </c>
      <c r="Q63" t="inlineStr">
        <is>
          <t>可直接比较</t>
        </is>
      </c>
      <c r="R63" t="inlineStr">
        <is>
          <t>不采用</t>
        </is>
      </c>
      <c r="S63" t="inlineStr">
        <is>
          <t>D-A1</t>
        </is>
      </c>
      <c r="T63" t="inlineStr">
        <is>
          <t>经济分配因子直接取自SRC-XLSX，不依赖revenue复算；示意图层/分配参考数据，仅备查不作基准（2026-09-28用户指示）</t>
        </is>
      </c>
    </row>
    <row r="64">
      <c r="A64" t="inlineStr">
        <is>
          <t>CT-PA-PRICE-P1</t>
        </is>
      </c>
      <c r="B64" t="inlineStr">
        <is>
          <t>参数</t>
        </is>
      </c>
      <c r="C64" t="inlineStr">
        <is>
          <t>PA-PRICE-P1</t>
        </is>
      </c>
      <c r="D64" t="inlineStr">
        <is>
          <t>SRC-PDF</t>
        </is>
      </c>
      <c r="E64" t="inlineStr">
        <is>
          <t>p1 Protein 1 框</t>
        </is>
      </c>
      <c r="F64" t="inlineStr">
        <is>
          <t>price</t>
        </is>
      </c>
      <c r="G64" t="n">
        <v>12.5</v>
      </c>
      <c r="H64" t="inlineStr">
        <is>
          <t>€/kg</t>
        </is>
      </c>
      <c r="I64" t="inlineStr">
        <is>
          <t>日产工况价格（专家意见/假设）</t>
        </is>
      </c>
      <c r="J64" t="inlineStr">
        <is>
          <t>日产工况（1天，kg/j 基准）</t>
        </is>
      </c>
      <c r="K64" t="inlineStr">
        <is>
          <t>FIXED</t>
        </is>
      </c>
      <c r="Q64" t="inlineStr">
        <is>
          <t>可直接比较</t>
        </is>
      </c>
      <c r="R64" t="inlineStr">
        <is>
          <t>不采用</t>
        </is>
      </c>
      <c r="S64" t="inlineStr">
        <is>
          <t>D-A1</t>
        </is>
      </c>
      <c r="T64" t="inlineStr">
        <is>
          <t>经济分配因子直接取自SRC-XLSX，不依赖revenue复算；示意图层/分配参考数据，仅备查不作基准（2026-09-28用户指示）</t>
        </is>
      </c>
    </row>
    <row r="65">
      <c r="A65" t="inlineStr">
        <is>
          <t>CT-PA-PRICE-P2</t>
        </is>
      </c>
      <c r="B65" t="inlineStr">
        <is>
          <t>参数</t>
        </is>
      </c>
      <c r="C65" t="inlineStr">
        <is>
          <t>PA-PRICE-P2</t>
        </is>
      </c>
      <c r="D65" t="inlineStr">
        <is>
          <t>SRC-PDF</t>
        </is>
      </c>
      <c r="E65" t="inlineStr">
        <is>
          <t>p1 Protein 2 框</t>
        </is>
      </c>
      <c r="F65" t="inlineStr">
        <is>
          <t>price</t>
        </is>
      </c>
      <c r="G65" t="n">
        <v>15</v>
      </c>
      <c r="H65" t="inlineStr">
        <is>
          <t>€/kg</t>
        </is>
      </c>
      <c r="I65" t="inlineStr">
        <is>
          <t>日产工况价格（专家意见/假设）</t>
        </is>
      </c>
      <c r="J65" t="inlineStr">
        <is>
          <t>日产工况（1天，kg/j 基准）</t>
        </is>
      </c>
      <c r="K65" t="inlineStr">
        <is>
          <t>FIXED</t>
        </is>
      </c>
      <c r="Q65" t="inlineStr">
        <is>
          <t>可直接比较</t>
        </is>
      </c>
      <c r="R65" t="inlineStr">
        <is>
          <t>不采用</t>
        </is>
      </c>
      <c r="S65" t="inlineStr">
        <is>
          <t>D-A1</t>
        </is>
      </c>
      <c r="T65" t="inlineStr">
        <is>
          <t>经济分配因子直接取自SRC-XLSX，不依赖revenue复算；示意图层/分配参考数据，仅备查不作基准（2026-09-28用户指示）</t>
        </is>
      </c>
    </row>
    <row r="66">
      <c r="A66" t="inlineStr">
        <is>
          <t>CT-PA-AF-S02-MASS-SKIM</t>
        </is>
      </c>
      <c r="B66" t="inlineStr">
        <is>
          <t>参数</t>
        </is>
      </c>
      <c r="C66" t="inlineStr">
        <is>
          <t>PA-AF-S02-MASS-SKIM</t>
        </is>
      </c>
      <c r="D66" t="inlineStr">
        <is>
          <t>SRC-XLSX</t>
        </is>
      </c>
      <c r="E66" t="inlineStr">
        <is>
          <t>allocation_tables 行5（mass）</t>
        </is>
      </c>
      <c r="F66" t="inlineStr">
        <is>
          <t>mass → skim milk</t>
        </is>
      </c>
      <c r="G66" t="n">
        <v>0.9</v>
      </c>
      <c r="H66" t="inlineStr">
        <is>
          <t>fraction</t>
        </is>
      </c>
      <c r="I66" t="inlineStr">
        <is>
          <t>Step 2 Skimming；分配规则=mass</t>
        </is>
      </c>
      <c r="J66" t="inlineStr">
        <is>
          <t>日产工况（1天，kg/j 基准）</t>
        </is>
      </c>
      <c r="K66" t="inlineStr">
        <is>
          <t>FIXED</t>
        </is>
      </c>
      <c r="Q66" t="inlineStr">
        <is>
          <t>可直接比较</t>
        </is>
      </c>
      <c r="R66" t="inlineStr">
        <is>
          <t>不采用</t>
        </is>
      </c>
      <c r="S66" t="inlineStr">
        <is>
          <t>D-A1</t>
        </is>
      </c>
      <c r="T66" t="inlineStr">
        <is>
          <t>目标研究采用规则待定（Q-07）；候选全部保留；示意图层/分配参考数据，仅备查不作基准（2026-09-28用户指示）</t>
        </is>
      </c>
    </row>
    <row r="67">
      <c r="A67" t="inlineStr">
        <is>
          <t>CT-PA-AF-S02-DM-SKIM</t>
        </is>
      </c>
      <c r="B67" t="inlineStr">
        <is>
          <t>参数</t>
        </is>
      </c>
      <c r="C67" t="inlineStr">
        <is>
          <t>PA-AF-S02-DM-SKIM</t>
        </is>
      </c>
      <c r="D67" t="inlineStr">
        <is>
          <t>SRC-XLSX</t>
        </is>
      </c>
      <c r="E67" t="inlineStr">
        <is>
          <t>allocation_tables 行6（dry matter）</t>
        </is>
      </c>
      <c r="F67" t="inlineStr">
        <is>
          <t>dry matter → skim milk</t>
        </is>
      </c>
      <c r="G67" t="n">
        <v>0.7</v>
      </c>
      <c r="H67" t="inlineStr">
        <is>
          <t>fraction</t>
        </is>
      </c>
      <c r="I67" t="inlineStr">
        <is>
          <t>Step 2 Skimming；分配规则=dry matter</t>
        </is>
      </c>
      <c r="J67" t="inlineStr">
        <is>
          <t>日产工况（1天，kg/j 基准）</t>
        </is>
      </c>
      <c r="K67" t="inlineStr">
        <is>
          <t>FIXED</t>
        </is>
      </c>
      <c r="Q67" t="inlineStr">
        <is>
          <t>可直接比较</t>
        </is>
      </c>
      <c r="R67" t="inlineStr">
        <is>
          <t>不采用</t>
        </is>
      </c>
      <c r="S67" t="inlineStr">
        <is>
          <t>D-A1</t>
        </is>
      </c>
      <c r="T67" t="inlineStr">
        <is>
          <t>目标研究采用规则待定（Q-07）；候选全部保留；示意图层/分配参考数据，仅备查不作基准（2026-09-28用户指示）</t>
        </is>
      </c>
    </row>
    <row r="68">
      <c r="A68" t="inlineStr">
        <is>
          <t>CT-PA-AF-S02-PRO-SKIM</t>
        </is>
      </c>
      <c r="B68" t="inlineStr">
        <is>
          <t>参数</t>
        </is>
      </c>
      <c r="C68" t="inlineStr">
        <is>
          <t>PA-AF-S02-PRO-SKIM</t>
        </is>
      </c>
      <c r="D68" t="inlineStr">
        <is>
          <t>SRC-XLSX</t>
        </is>
      </c>
      <c r="E68" t="inlineStr">
        <is>
          <t>allocation_tables 行7（protein）</t>
        </is>
      </c>
      <c r="F68" t="inlineStr">
        <is>
          <t>protein → skim milk</t>
        </is>
      </c>
      <c r="G68" t="n">
        <v>0.93</v>
      </c>
      <c r="H68" t="inlineStr">
        <is>
          <t>fraction</t>
        </is>
      </c>
      <c r="I68" t="inlineStr">
        <is>
          <t>Step 2 Skimming；分配规则=protein</t>
        </is>
      </c>
      <c r="J68" t="inlineStr">
        <is>
          <t>日产工况（1天，kg/j 基准）</t>
        </is>
      </c>
      <c r="K68" t="inlineStr">
        <is>
          <t>FIXED</t>
        </is>
      </c>
      <c r="Q68" t="inlineStr">
        <is>
          <t>可直接比较</t>
        </is>
      </c>
      <c r="R68" t="inlineStr">
        <is>
          <t>不采用</t>
        </is>
      </c>
      <c r="S68" t="inlineStr">
        <is>
          <t>D-A1</t>
        </is>
      </c>
      <c r="T68" t="inlineStr">
        <is>
          <t>目标研究采用规则待定（Q-07）；候选全部保留；示意图层/分配参考数据，仅备查不作基准（2026-09-28用户指示）</t>
        </is>
      </c>
    </row>
    <row r="69">
      <c r="A69" t="inlineStr">
        <is>
          <t>CT-PA-AF-S02-ECO-SKIM</t>
        </is>
      </c>
      <c r="B69" t="inlineStr">
        <is>
          <t>参数</t>
        </is>
      </c>
      <c r="C69" t="inlineStr">
        <is>
          <t>PA-AF-S02-ECO-SKIM</t>
        </is>
      </c>
      <c r="D69" t="inlineStr">
        <is>
          <t>SRC-XLSX</t>
        </is>
      </c>
      <c r="E69" t="inlineStr">
        <is>
          <t>allocation_tables 行8（economic）</t>
        </is>
      </c>
      <c r="F69" t="inlineStr">
        <is>
          <t>economic → skim milk</t>
        </is>
      </c>
      <c r="G69" t="n">
        <v>0.5</v>
      </c>
      <c r="H69" t="inlineStr">
        <is>
          <t>fraction</t>
        </is>
      </c>
      <c r="I69" t="inlineStr">
        <is>
          <t>Step 2 Skimming；分配规则=economic</t>
        </is>
      </c>
      <c r="J69" t="inlineStr">
        <is>
          <t>日产工况（1天，kg/j 基准）</t>
        </is>
      </c>
      <c r="K69" t="inlineStr">
        <is>
          <t>FIXED</t>
        </is>
      </c>
      <c r="Q69" t="inlineStr">
        <is>
          <t>可直接比较</t>
        </is>
      </c>
      <c r="R69" t="inlineStr">
        <is>
          <t>不采用</t>
        </is>
      </c>
      <c r="S69" t="inlineStr">
        <is>
          <t>D-A1</t>
        </is>
      </c>
      <c r="T69" t="inlineStr">
        <is>
          <t>目标研究采用规则待定（Q-07）；候选全部保留；示意图层/分配参考数据，仅备查不作基准（2026-09-28用户指示）</t>
        </is>
      </c>
    </row>
    <row r="70">
      <c r="A70" t="inlineStr">
        <is>
          <t>CT-PA-AF-S02-MASS-CREAM</t>
        </is>
      </c>
      <c r="B70" t="inlineStr">
        <is>
          <t>参数</t>
        </is>
      </c>
      <c r="C70" t="inlineStr">
        <is>
          <t>PA-AF-S02-MASS-CREAM</t>
        </is>
      </c>
      <c r="D70" t="inlineStr">
        <is>
          <t>SRC-XLSX</t>
        </is>
      </c>
      <c r="E70" t="inlineStr">
        <is>
          <t>allocation_tables 行5（mass）</t>
        </is>
      </c>
      <c r="F70" t="inlineStr">
        <is>
          <t>mass → cream</t>
        </is>
      </c>
      <c r="G70" t="n">
        <v>0.1</v>
      </c>
      <c r="H70" t="inlineStr">
        <is>
          <t>fraction</t>
        </is>
      </c>
      <c r="I70" t="inlineStr">
        <is>
          <t>Step 2 Skimming；分配规则=mass</t>
        </is>
      </c>
      <c r="J70" t="inlineStr">
        <is>
          <t>日产工况（1天，kg/j 基准）</t>
        </is>
      </c>
      <c r="K70" t="inlineStr">
        <is>
          <t>FIXED</t>
        </is>
      </c>
      <c r="Q70" t="inlineStr">
        <is>
          <t>可直接比较</t>
        </is>
      </c>
      <c r="R70" t="inlineStr">
        <is>
          <t>不采用</t>
        </is>
      </c>
      <c r="S70" t="inlineStr">
        <is>
          <t>D-A1</t>
        </is>
      </c>
      <c r="T70" t="inlineStr">
        <is>
          <t>目标研究采用规则待定（Q-07）；候选全部保留；示意图层/分配参考数据，仅备查不作基准（2026-09-28用户指示）</t>
        </is>
      </c>
    </row>
    <row r="71">
      <c r="A71" t="inlineStr">
        <is>
          <t>CT-PA-AF-S02-DM-CREAM</t>
        </is>
      </c>
      <c r="B71" t="inlineStr">
        <is>
          <t>参数</t>
        </is>
      </c>
      <c r="C71" t="inlineStr">
        <is>
          <t>PA-AF-S02-DM-CREAM</t>
        </is>
      </c>
      <c r="D71" t="inlineStr">
        <is>
          <t>SRC-XLSX</t>
        </is>
      </c>
      <c r="E71" t="inlineStr">
        <is>
          <t>allocation_tables 行6（dry matter）</t>
        </is>
      </c>
      <c r="F71" t="inlineStr">
        <is>
          <t>dry matter → cream</t>
        </is>
      </c>
      <c r="G71" t="n">
        <v>0.3</v>
      </c>
      <c r="H71" t="inlineStr">
        <is>
          <t>fraction</t>
        </is>
      </c>
      <c r="I71" t="inlineStr">
        <is>
          <t>Step 2 Skimming；分配规则=dry matter</t>
        </is>
      </c>
      <c r="J71" t="inlineStr">
        <is>
          <t>日产工况（1天，kg/j 基准）</t>
        </is>
      </c>
      <c r="K71" t="inlineStr">
        <is>
          <t>FIXED</t>
        </is>
      </c>
      <c r="Q71" t="inlineStr">
        <is>
          <t>可直接比较</t>
        </is>
      </c>
      <c r="R71" t="inlineStr">
        <is>
          <t>不采用</t>
        </is>
      </c>
      <c r="S71" t="inlineStr">
        <is>
          <t>D-A1</t>
        </is>
      </c>
      <c r="T71" t="inlineStr">
        <is>
          <t>目标研究采用规则待定（Q-07）；候选全部保留；示意图层/分配参考数据，仅备查不作基准（2026-09-28用户指示）</t>
        </is>
      </c>
    </row>
    <row r="72">
      <c r="A72" t="inlineStr">
        <is>
          <t>CT-PA-AF-S02-PRO-CREAM</t>
        </is>
      </c>
      <c r="B72" t="inlineStr">
        <is>
          <t>参数</t>
        </is>
      </c>
      <c r="C72" t="inlineStr">
        <is>
          <t>PA-AF-S02-PRO-CREAM</t>
        </is>
      </c>
      <c r="D72" t="inlineStr">
        <is>
          <t>SRC-XLSX</t>
        </is>
      </c>
      <c r="E72" t="inlineStr">
        <is>
          <t>allocation_tables 行7（protein）</t>
        </is>
      </c>
      <c r="F72" t="inlineStr">
        <is>
          <t>protein → cream</t>
        </is>
      </c>
      <c r="G72" t="n">
        <v>0.07000000000000001</v>
      </c>
      <c r="H72" t="inlineStr">
        <is>
          <t>fraction</t>
        </is>
      </c>
      <c r="I72" t="inlineStr">
        <is>
          <t>Step 2 Skimming；分配规则=protein</t>
        </is>
      </c>
      <c r="J72" t="inlineStr">
        <is>
          <t>日产工况（1天，kg/j 基准）</t>
        </is>
      </c>
      <c r="K72" t="inlineStr">
        <is>
          <t>FIXED</t>
        </is>
      </c>
      <c r="Q72" t="inlineStr">
        <is>
          <t>可直接比较</t>
        </is>
      </c>
      <c r="R72" t="inlineStr">
        <is>
          <t>不采用</t>
        </is>
      </c>
      <c r="S72" t="inlineStr">
        <is>
          <t>D-A1</t>
        </is>
      </c>
      <c r="T72" t="inlineStr">
        <is>
          <t>目标研究采用规则待定（Q-07）；候选全部保留；示意图层/分配参考数据，仅备查不作基准（2026-09-28用户指示）</t>
        </is>
      </c>
    </row>
    <row r="73">
      <c r="A73" t="inlineStr">
        <is>
          <t>CT-PA-AF-S02-ECO-CREAM</t>
        </is>
      </c>
      <c r="B73" t="inlineStr">
        <is>
          <t>参数</t>
        </is>
      </c>
      <c r="C73" t="inlineStr">
        <is>
          <t>PA-AF-S02-ECO-CREAM</t>
        </is>
      </c>
      <c r="D73" t="inlineStr">
        <is>
          <t>SRC-XLSX</t>
        </is>
      </c>
      <c r="E73" t="inlineStr">
        <is>
          <t>allocation_tables 行8（economic）</t>
        </is>
      </c>
      <c r="F73" t="inlineStr">
        <is>
          <t>economic → cream</t>
        </is>
      </c>
      <c r="G73" t="n">
        <v>0.5</v>
      </c>
      <c r="H73" t="inlineStr">
        <is>
          <t>fraction</t>
        </is>
      </c>
      <c r="I73" t="inlineStr">
        <is>
          <t>Step 2 Skimming；分配规则=economic</t>
        </is>
      </c>
      <c r="J73" t="inlineStr">
        <is>
          <t>日产工况（1天，kg/j 基准）</t>
        </is>
      </c>
      <c r="K73" t="inlineStr">
        <is>
          <t>FIXED</t>
        </is>
      </c>
      <c r="Q73" t="inlineStr">
        <is>
          <t>可直接比较</t>
        </is>
      </c>
      <c r="R73" t="inlineStr">
        <is>
          <t>不采用</t>
        </is>
      </c>
      <c r="S73" t="inlineStr">
        <is>
          <t>D-A1</t>
        </is>
      </c>
      <c r="T73" t="inlineStr">
        <is>
          <t>目标研究采用规则待定（Q-07）；候选全部保留；示意图层/分配参考数据，仅备查不作基准（2026-09-28用户指示）</t>
        </is>
      </c>
    </row>
    <row r="74">
      <c r="A74" t="inlineStr">
        <is>
          <t>CT-PA-AF-S05-MASS-CAS</t>
        </is>
      </c>
      <c r="B74" t="inlineStr">
        <is>
          <t>参数</t>
        </is>
      </c>
      <c r="C74" t="inlineStr">
        <is>
          <t>PA-AF-S05-MASS-CAS</t>
        </is>
      </c>
      <c r="D74" t="inlineStr">
        <is>
          <t>SRC-XLSX</t>
        </is>
      </c>
      <c r="E74" t="inlineStr">
        <is>
          <t>allocation_tables 行5（mass）</t>
        </is>
      </c>
      <c r="F74" t="inlineStr">
        <is>
          <t>mass → micellar casein</t>
        </is>
      </c>
      <c r="G74" t="n">
        <v>0.34</v>
      </c>
      <c r="H74" t="inlineStr">
        <is>
          <t>fraction</t>
        </is>
      </c>
      <c r="I74" t="inlineStr">
        <is>
          <t>Step 5 MF of skim milk；分配规则=mass</t>
        </is>
      </c>
      <c r="J74" t="inlineStr">
        <is>
          <t>日产工况（1天，kg/j 基准）</t>
        </is>
      </c>
      <c r="K74" t="inlineStr">
        <is>
          <t>FIXED</t>
        </is>
      </c>
      <c r="Q74" t="inlineStr">
        <is>
          <t>可直接比较</t>
        </is>
      </c>
      <c r="R74" t="inlineStr">
        <is>
          <t>不采用</t>
        </is>
      </c>
      <c r="S74" t="inlineStr">
        <is>
          <t>D-A1</t>
        </is>
      </c>
      <c r="T74" t="inlineStr">
        <is>
          <t>目标研究采用规则待定（Q-07）；候选全部保留；示意图层/分配参考数据，仅备查不作基准（2026-09-28用户指示）</t>
        </is>
      </c>
    </row>
    <row r="75">
      <c r="A75" t="inlineStr">
        <is>
          <t>CT-PA-AF-S05-DM-CAS</t>
        </is>
      </c>
      <c r="B75" t="inlineStr">
        <is>
          <t>参数</t>
        </is>
      </c>
      <c r="C75" t="inlineStr">
        <is>
          <t>PA-AF-S05-DM-CAS</t>
        </is>
      </c>
      <c r="D75" t="inlineStr">
        <is>
          <t>SRC-XLSX</t>
        </is>
      </c>
      <c r="E75" t="inlineStr">
        <is>
          <t>allocation_tables 行6（dry matter）</t>
        </is>
      </c>
      <c r="F75" t="inlineStr">
        <is>
          <t>dry matter → micellar casein</t>
        </is>
      </c>
      <c r="G75" t="n">
        <v>0.53</v>
      </c>
      <c r="H75" t="inlineStr">
        <is>
          <t>fraction</t>
        </is>
      </c>
      <c r="I75" t="inlineStr">
        <is>
          <t>Step 5 MF of skim milk；分配规则=dry matter</t>
        </is>
      </c>
      <c r="J75" t="inlineStr">
        <is>
          <t>日产工况（1天，kg/j 基准）</t>
        </is>
      </c>
      <c r="K75" t="inlineStr">
        <is>
          <t>FIXED</t>
        </is>
      </c>
      <c r="Q75" t="inlineStr">
        <is>
          <t>可直接比较</t>
        </is>
      </c>
      <c r="R75" t="inlineStr">
        <is>
          <t>不采用</t>
        </is>
      </c>
      <c r="S75" t="inlineStr">
        <is>
          <t>D-A1</t>
        </is>
      </c>
      <c r="T75" t="inlineStr">
        <is>
          <t>目标研究采用规则待定（Q-07）；候选全部保留；示意图层/分配参考数据，仅备查不作基准（2026-09-28用户指示）</t>
        </is>
      </c>
    </row>
    <row r="76">
      <c r="A76" t="inlineStr">
        <is>
          <t>CT-PA-AF-S05-PRO-CAS</t>
        </is>
      </c>
      <c r="B76" t="inlineStr">
        <is>
          <t>参数</t>
        </is>
      </c>
      <c r="C76" t="inlineStr">
        <is>
          <t>PA-AF-S05-PRO-CAS</t>
        </is>
      </c>
      <c r="D76" t="inlineStr">
        <is>
          <t>SRC-XLSX</t>
        </is>
      </c>
      <c r="E76" t="inlineStr">
        <is>
          <t>allocation_tables 行7（protein）</t>
        </is>
      </c>
      <c r="F76" t="inlineStr">
        <is>
          <t>protein → micellar casein</t>
        </is>
      </c>
      <c r="G76" t="n">
        <v>0.87</v>
      </c>
      <c r="H76" t="inlineStr">
        <is>
          <t>fraction</t>
        </is>
      </c>
      <c r="I76" t="inlineStr">
        <is>
          <t>Step 5 MF of skim milk；分配规则=protein</t>
        </is>
      </c>
      <c r="J76" t="inlineStr">
        <is>
          <t>日产工况（1天，kg/j 基准）</t>
        </is>
      </c>
      <c r="K76" t="inlineStr">
        <is>
          <t>FIXED</t>
        </is>
      </c>
      <c r="Q76" t="inlineStr">
        <is>
          <t>可直接比较</t>
        </is>
      </c>
      <c r="R76" t="inlineStr">
        <is>
          <t>不采用</t>
        </is>
      </c>
      <c r="S76" t="inlineStr">
        <is>
          <t>D-A1</t>
        </is>
      </c>
      <c r="T76" t="inlineStr">
        <is>
          <t>目标研究采用规则待定（Q-07）；候选全部保留；示意图层/分配参考数据，仅备查不作基准（2026-09-28用户指示）</t>
        </is>
      </c>
    </row>
    <row r="77">
      <c r="A77" t="inlineStr">
        <is>
          <t>CT-PA-AF-S05-ECO-CAS</t>
        </is>
      </c>
      <c r="B77" t="inlineStr">
        <is>
          <t>参数</t>
        </is>
      </c>
      <c r="C77" t="inlineStr">
        <is>
          <t>PA-AF-S05-ECO-CAS</t>
        </is>
      </c>
      <c r="D77" t="inlineStr">
        <is>
          <t>SRC-XLSX</t>
        </is>
      </c>
      <c r="E77" t="inlineStr">
        <is>
          <t>allocation_tables 行8（economic）</t>
        </is>
      </c>
      <c r="F77" t="inlineStr">
        <is>
          <t>economic → micellar casein</t>
        </is>
      </c>
      <c r="G77" t="n">
        <v>0.84</v>
      </c>
      <c r="H77" t="inlineStr">
        <is>
          <t>fraction</t>
        </is>
      </c>
      <c r="I77" t="inlineStr">
        <is>
          <t>Step 5 MF of skim milk；分配规则=economic</t>
        </is>
      </c>
      <c r="J77" t="inlineStr">
        <is>
          <t>日产工况（1天，kg/j 基准）</t>
        </is>
      </c>
      <c r="K77" t="inlineStr">
        <is>
          <t>FIXED</t>
        </is>
      </c>
      <c r="Q77" t="inlineStr">
        <is>
          <t>可直接比较</t>
        </is>
      </c>
      <c r="R77" t="inlineStr">
        <is>
          <t>不采用</t>
        </is>
      </c>
      <c r="S77" t="inlineStr">
        <is>
          <t>D-A1</t>
        </is>
      </c>
      <c r="T77" t="inlineStr">
        <is>
          <t>目标研究采用规则待定（Q-07）；候选全部保留；示意图层/分配参考数据，仅备查不作基准（2026-09-28用户指示）</t>
        </is>
      </c>
    </row>
    <row r="78">
      <c r="A78" t="inlineStr">
        <is>
          <t>CT-PA-AF-S05-MASS-WHEY</t>
        </is>
      </c>
      <c r="B78" t="inlineStr">
        <is>
          <t>参数</t>
        </is>
      </c>
      <c r="C78" t="inlineStr">
        <is>
          <t>PA-AF-S05-MASS-WHEY</t>
        </is>
      </c>
      <c r="D78" t="inlineStr">
        <is>
          <t>SRC-XLSX</t>
        </is>
      </c>
      <c r="E78" t="inlineStr">
        <is>
          <t>allocation_tables 行5（mass）</t>
        </is>
      </c>
      <c r="F78" t="inlineStr">
        <is>
          <t>mass → whey</t>
        </is>
      </c>
      <c r="G78" t="n">
        <v>0.66</v>
      </c>
      <c r="H78" t="inlineStr">
        <is>
          <t>fraction</t>
        </is>
      </c>
      <c r="I78" t="inlineStr">
        <is>
          <t>Step 5 MF of skim milk；分配规则=mass</t>
        </is>
      </c>
      <c r="J78" t="inlineStr">
        <is>
          <t>日产工况（1天，kg/j 基准）</t>
        </is>
      </c>
      <c r="K78" t="inlineStr">
        <is>
          <t>FIXED</t>
        </is>
      </c>
      <c r="Q78" t="inlineStr">
        <is>
          <t>可直接比较</t>
        </is>
      </c>
      <c r="R78" t="inlineStr">
        <is>
          <t>不采用</t>
        </is>
      </c>
      <c r="S78" t="inlineStr">
        <is>
          <t>D-A1</t>
        </is>
      </c>
      <c r="T78" t="inlineStr">
        <is>
          <t>目标研究采用规则待定（Q-07）；候选全部保留；示意图层/分配参考数据，仅备查不作基准（2026-09-28用户指示）</t>
        </is>
      </c>
    </row>
    <row r="79">
      <c r="A79" t="inlineStr">
        <is>
          <t>CT-PA-AF-S05-DM-WHEY</t>
        </is>
      </c>
      <c r="B79" t="inlineStr">
        <is>
          <t>参数</t>
        </is>
      </c>
      <c r="C79" t="inlineStr">
        <is>
          <t>PA-AF-S05-DM-WHEY</t>
        </is>
      </c>
      <c r="D79" t="inlineStr">
        <is>
          <t>SRC-XLSX</t>
        </is>
      </c>
      <c r="E79" t="inlineStr">
        <is>
          <t>allocation_tables 行6（dry matter）</t>
        </is>
      </c>
      <c r="F79" t="inlineStr">
        <is>
          <t>dry matter → whey</t>
        </is>
      </c>
      <c r="G79" t="n">
        <v>0.47</v>
      </c>
      <c r="H79" t="inlineStr">
        <is>
          <t>fraction</t>
        </is>
      </c>
      <c r="I79" t="inlineStr">
        <is>
          <t>Step 5 MF of skim milk；分配规则=dry matter</t>
        </is>
      </c>
      <c r="J79" t="inlineStr">
        <is>
          <t>日产工况（1天，kg/j 基准）</t>
        </is>
      </c>
      <c r="K79" t="inlineStr">
        <is>
          <t>FIXED</t>
        </is>
      </c>
      <c r="Q79" t="inlineStr">
        <is>
          <t>可直接比较</t>
        </is>
      </c>
      <c r="R79" t="inlineStr">
        <is>
          <t>不采用</t>
        </is>
      </c>
      <c r="S79" t="inlineStr">
        <is>
          <t>D-A1</t>
        </is>
      </c>
      <c r="T79" t="inlineStr">
        <is>
          <t>目标研究采用规则待定（Q-07）；候选全部保留；示意图层/分配参考数据，仅备查不作基准（2026-09-28用户指示）</t>
        </is>
      </c>
    </row>
    <row r="80">
      <c r="A80" t="inlineStr">
        <is>
          <t>CT-PA-AF-S05-PRO-WHEY</t>
        </is>
      </c>
      <c r="B80" t="inlineStr">
        <is>
          <t>参数</t>
        </is>
      </c>
      <c r="C80" t="inlineStr">
        <is>
          <t>PA-AF-S05-PRO-WHEY</t>
        </is>
      </c>
      <c r="D80" t="inlineStr">
        <is>
          <t>SRC-XLSX</t>
        </is>
      </c>
      <c r="E80" t="inlineStr">
        <is>
          <t>allocation_tables 行7（protein）</t>
        </is>
      </c>
      <c r="F80" t="inlineStr">
        <is>
          <t>protein → whey</t>
        </is>
      </c>
      <c r="G80" t="n">
        <v>0.13</v>
      </c>
      <c r="H80" t="inlineStr">
        <is>
          <t>fraction</t>
        </is>
      </c>
      <c r="I80" t="inlineStr">
        <is>
          <t>Step 5 MF of skim milk；分配规则=protein</t>
        </is>
      </c>
      <c r="J80" t="inlineStr">
        <is>
          <t>日产工况（1天，kg/j 基准）</t>
        </is>
      </c>
      <c r="K80" t="inlineStr">
        <is>
          <t>FIXED</t>
        </is>
      </c>
      <c r="Q80" t="inlineStr">
        <is>
          <t>可直接比较</t>
        </is>
      </c>
      <c r="R80" t="inlineStr">
        <is>
          <t>不采用</t>
        </is>
      </c>
      <c r="S80" t="inlineStr">
        <is>
          <t>D-A1</t>
        </is>
      </c>
      <c r="T80" t="inlineStr">
        <is>
          <t>目标研究采用规则待定（Q-07）；候选全部保留；示意图层/分配参考数据，仅备查不作基准（2026-09-28用户指示）</t>
        </is>
      </c>
    </row>
    <row r="81">
      <c r="A81" t="inlineStr">
        <is>
          <t>CT-PA-AF-S05-ECO-WHEY</t>
        </is>
      </c>
      <c r="B81" t="inlineStr">
        <is>
          <t>参数</t>
        </is>
      </c>
      <c r="C81" t="inlineStr">
        <is>
          <t>PA-AF-S05-ECO-WHEY</t>
        </is>
      </c>
      <c r="D81" t="inlineStr">
        <is>
          <t>SRC-XLSX</t>
        </is>
      </c>
      <c r="E81" t="inlineStr">
        <is>
          <t>allocation_tables 行8（economic）</t>
        </is>
      </c>
      <c r="F81" t="inlineStr">
        <is>
          <t>economic → whey</t>
        </is>
      </c>
      <c r="G81" t="n">
        <v>0.16</v>
      </c>
      <c r="H81" t="inlineStr">
        <is>
          <t>fraction</t>
        </is>
      </c>
      <c r="I81" t="inlineStr">
        <is>
          <t>Step 5 MF of skim milk；分配规则=economic</t>
        </is>
      </c>
      <c r="J81" t="inlineStr">
        <is>
          <t>日产工况（1天，kg/j 基准）</t>
        </is>
      </c>
      <c r="K81" t="inlineStr">
        <is>
          <t>FIXED</t>
        </is>
      </c>
      <c r="Q81" t="inlineStr">
        <is>
          <t>可直接比较</t>
        </is>
      </c>
      <c r="R81" t="inlineStr">
        <is>
          <t>不采用</t>
        </is>
      </c>
      <c r="S81" t="inlineStr">
        <is>
          <t>D-A1</t>
        </is>
      </c>
      <c r="T81" t="inlineStr">
        <is>
          <t>目标研究采用规则待定（Q-07）；候选全部保留；示意图层/分配参考数据，仅备查不作基准（2026-09-28用户指示）</t>
        </is>
      </c>
    </row>
    <row r="82">
      <c r="A82" t="inlineStr">
        <is>
          <t>CT-PA-AF-S08-MASS-WPI</t>
        </is>
      </c>
      <c r="B82" t="inlineStr">
        <is>
          <t>参数</t>
        </is>
      </c>
      <c r="C82" t="inlineStr">
        <is>
          <t>PA-AF-S08-MASS-WPI</t>
        </is>
      </c>
      <c r="D82" t="inlineStr">
        <is>
          <t>SRC-XLSX</t>
        </is>
      </c>
      <c r="E82" t="inlineStr">
        <is>
          <t>allocation_tables 行5（mass）</t>
        </is>
      </c>
      <c r="F82" t="inlineStr">
        <is>
          <t>mass → whey protein isolate</t>
        </is>
      </c>
      <c r="G82" t="n">
        <v>0.03</v>
      </c>
      <c r="H82" t="inlineStr">
        <is>
          <t>fraction</t>
        </is>
      </c>
      <c r="I82" t="inlineStr">
        <is>
          <t>Step 8 UF/DF of whey；分配规则=mass</t>
        </is>
      </c>
      <c r="J82" t="inlineStr">
        <is>
          <t>日产工况（1天，kg/j 基准）</t>
        </is>
      </c>
      <c r="K82" t="inlineStr">
        <is>
          <t>FIXED</t>
        </is>
      </c>
      <c r="Q82" t="inlineStr">
        <is>
          <t>可直接比较</t>
        </is>
      </c>
      <c r="R82" t="inlineStr">
        <is>
          <t>不采用</t>
        </is>
      </c>
      <c r="S82" t="inlineStr">
        <is>
          <t>D-A1</t>
        </is>
      </c>
      <c r="T82" t="inlineStr">
        <is>
          <t>目标研究采用规则待定（Q-07）；候选全部保留；示意图层/分配参考数据，仅备查不作基准（2026-09-28用户指示）</t>
        </is>
      </c>
    </row>
    <row r="83">
      <c r="A83" t="inlineStr">
        <is>
          <t>CT-PA-AF-S08-DM-WPI</t>
        </is>
      </c>
      <c r="B83" t="inlineStr">
        <is>
          <t>参数</t>
        </is>
      </c>
      <c r="C83" t="inlineStr">
        <is>
          <t>PA-AF-S08-DM-WPI</t>
        </is>
      </c>
      <c r="D83" t="inlineStr">
        <is>
          <t>SRC-XLSX</t>
        </is>
      </c>
      <c r="E83" t="inlineStr">
        <is>
          <t>allocation_tables 行6（dry matter）</t>
        </is>
      </c>
      <c r="F83" t="inlineStr">
        <is>
          <t>dry matter → whey protein isolate</t>
        </is>
      </c>
      <c r="G83" t="n">
        <v>0.07000000000000001</v>
      </c>
      <c r="H83" t="inlineStr">
        <is>
          <t>fraction</t>
        </is>
      </c>
      <c r="I83" t="inlineStr">
        <is>
          <t>Step 8 UF/DF of whey；分配规则=dry matter</t>
        </is>
      </c>
      <c r="J83" t="inlineStr">
        <is>
          <t>日产工况（1天，kg/j 基准）</t>
        </is>
      </c>
      <c r="K83" t="inlineStr">
        <is>
          <t>FIXED</t>
        </is>
      </c>
      <c r="Q83" t="inlineStr">
        <is>
          <t>可直接比较</t>
        </is>
      </c>
      <c r="R83" t="inlineStr">
        <is>
          <t>不采用</t>
        </is>
      </c>
      <c r="S83" t="inlineStr">
        <is>
          <t>D-A1</t>
        </is>
      </c>
      <c r="T83" t="inlineStr">
        <is>
          <t>目标研究采用规则待定（Q-07）；候选全部保留；示意图层/分配参考数据，仅备查不作基准（2026-09-28用户指示）</t>
        </is>
      </c>
    </row>
    <row r="84">
      <c r="A84" t="inlineStr">
        <is>
          <t>CT-PA-AF-S08-PRO-WPI</t>
        </is>
      </c>
      <c r="B84" t="inlineStr">
        <is>
          <t>参数</t>
        </is>
      </c>
      <c r="C84" t="inlineStr">
        <is>
          <t>PA-AF-S08-PRO-WPI</t>
        </is>
      </c>
      <c r="D84" t="inlineStr">
        <is>
          <t>SRC-XLSX</t>
        </is>
      </c>
      <c r="E84" t="inlineStr">
        <is>
          <t>allocation_tables 行7（protein）</t>
        </is>
      </c>
      <c r="F84" t="inlineStr">
        <is>
          <t>protein → whey protein isolate</t>
        </is>
      </c>
      <c r="G84" t="n">
        <v>1</v>
      </c>
      <c r="H84" t="inlineStr">
        <is>
          <t>fraction</t>
        </is>
      </c>
      <c r="I84" t="inlineStr">
        <is>
          <t>Step 8 UF/DF of whey；分配规则=protein</t>
        </is>
      </c>
      <c r="J84" t="inlineStr">
        <is>
          <t>日产工况（1天，kg/j 基准）</t>
        </is>
      </c>
      <c r="K84" t="inlineStr">
        <is>
          <t>FIXED</t>
        </is>
      </c>
      <c r="Q84" t="inlineStr">
        <is>
          <t>可直接比较</t>
        </is>
      </c>
      <c r="R84" t="inlineStr">
        <is>
          <t>不采用</t>
        </is>
      </c>
      <c r="S84" t="inlineStr">
        <is>
          <t>D-A1</t>
        </is>
      </c>
      <c r="T84" t="inlineStr">
        <is>
          <t>目标研究采用规则待定（Q-07）；候选全部保留；示意图层/分配参考数据，仅备查不作基准（2026-09-28用户指示）</t>
        </is>
      </c>
    </row>
    <row r="85">
      <c r="A85" t="inlineStr">
        <is>
          <t>CT-PA-AF-S08-ECO-WPI</t>
        </is>
      </c>
      <c r="B85" t="inlineStr">
        <is>
          <t>参数</t>
        </is>
      </c>
      <c r="C85" t="inlineStr">
        <is>
          <t>PA-AF-S08-ECO-WPI</t>
        </is>
      </c>
      <c r="D85" t="inlineStr">
        <is>
          <t>SRC-XLSX</t>
        </is>
      </c>
      <c r="E85" t="inlineStr">
        <is>
          <t>allocation_tables 行8（economic）</t>
        </is>
      </c>
      <c r="F85" t="inlineStr">
        <is>
          <t>economic → whey protein isolate</t>
        </is>
      </c>
      <c r="G85" t="n">
        <v>0.995</v>
      </c>
      <c r="H85" t="inlineStr">
        <is>
          <t>fraction</t>
        </is>
      </c>
      <c r="I85" t="inlineStr">
        <is>
          <t>Step 8 UF/DF of whey；分配规则=economic</t>
        </is>
      </c>
      <c r="J85" t="inlineStr">
        <is>
          <t>日产工况（1天，kg/j 基准）</t>
        </is>
      </c>
      <c r="K85" t="inlineStr">
        <is>
          <t>FIXED</t>
        </is>
      </c>
      <c r="Q85" t="inlineStr">
        <is>
          <t>可直接比较</t>
        </is>
      </c>
      <c r="R85" t="inlineStr">
        <is>
          <t>不采用</t>
        </is>
      </c>
      <c r="S85" t="inlineStr">
        <is>
          <t>D-A1</t>
        </is>
      </c>
      <c r="T85" t="inlineStr">
        <is>
          <t>目标研究采用规则待定（Q-07）；候选全部保留；示意图层/分配参考数据，仅备查不作基准（2026-09-28用户指示）</t>
        </is>
      </c>
    </row>
    <row r="86">
      <c r="A86" t="inlineStr">
        <is>
          <t>CT-PA-AF-S08-MASS-LACP</t>
        </is>
      </c>
      <c r="B86" t="inlineStr">
        <is>
          <t>参数</t>
        </is>
      </c>
      <c r="C86" t="inlineStr">
        <is>
          <t>PA-AF-S08-MASS-LACP</t>
        </is>
      </c>
      <c r="D86" t="inlineStr">
        <is>
          <t>SRC-XLSX</t>
        </is>
      </c>
      <c r="E86" t="inlineStr">
        <is>
          <t>allocation_tables 行5（mass）</t>
        </is>
      </c>
      <c r="F86" t="inlineStr">
        <is>
          <t>mass → lactose permeate</t>
        </is>
      </c>
      <c r="G86" t="n">
        <v>0.97</v>
      </c>
      <c r="H86" t="inlineStr">
        <is>
          <t>fraction</t>
        </is>
      </c>
      <c r="I86" t="inlineStr">
        <is>
          <t>Step 8 UF/DF of whey；分配规则=mass</t>
        </is>
      </c>
      <c r="J86" t="inlineStr">
        <is>
          <t>日产工况（1天，kg/j 基准）</t>
        </is>
      </c>
      <c r="K86" t="inlineStr">
        <is>
          <t>FIXED</t>
        </is>
      </c>
      <c r="Q86" t="inlineStr">
        <is>
          <t>可直接比较</t>
        </is>
      </c>
      <c r="R86" t="inlineStr">
        <is>
          <t>不采用</t>
        </is>
      </c>
      <c r="S86" t="inlineStr">
        <is>
          <t>D-A1</t>
        </is>
      </c>
      <c r="T86" t="inlineStr">
        <is>
          <t>目标研究采用规则待定（Q-07）；候选全部保留；示意图层/分配参考数据，仅备查不作基准（2026-09-28用户指示）</t>
        </is>
      </c>
    </row>
    <row r="87">
      <c r="A87" t="inlineStr">
        <is>
          <t>CT-PA-AF-S08-DM-LACP</t>
        </is>
      </c>
      <c r="B87" t="inlineStr">
        <is>
          <t>参数</t>
        </is>
      </c>
      <c r="C87" t="inlineStr">
        <is>
          <t>PA-AF-S08-DM-LACP</t>
        </is>
      </c>
      <c r="D87" t="inlineStr">
        <is>
          <t>SRC-XLSX</t>
        </is>
      </c>
      <c r="E87" t="inlineStr">
        <is>
          <t>allocation_tables 行6（dry matter）</t>
        </is>
      </c>
      <c r="F87" t="inlineStr">
        <is>
          <t>dry matter → lactose permeate</t>
        </is>
      </c>
      <c r="G87" t="n">
        <v>0.93</v>
      </c>
      <c r="H87" t="inlineStr">
        <is>
          <t>fraction</t>
        </is>
      </c>
      <c r="I87" t="inlineStr">
        <is>
          <t>Step 8 UF/DF of whey；分配规则=dry matter</t>
        </is>
      </c>
      <c r="J87" t="inlineStr">
        <is>
          <t>日产工况（1天，kg/j 基准）</t>
        </is>
      </c>
      <c r="K87" t="inlineStr">
        <is>
          <t>FIXED</t>
        </is>
      </c>
      <c r="Q87" t="inlineStr">
        <is>
          <t>可直接比较</t>
        </is>
      </c>
      <c r="R87" t="inlineStr">
        <is>
          <t>不采用</t>
        </is>
      </c>
      <c r="S87" t="inlineStr">
        <is>
          <t>D-A1</t>
        </is>
      </c>
      <c r="T87" t="inlineStr">
        <is>
          <t>目标研究采用规则待定（Q-07）；候选全部保留；示意图层/分配参考数据，仅备查不作基准（2026-09-28用户指示）</t>
        </is>
      </c>
    </row>
    <row r="88">
      <c r="A88" t="inlineStr">
        <is>
          <t>CT-PA-AF-S08-PRO-LACP</t>
        </is>
      </c>
      <c r="B88" t="inlineStr">
        <is>
          <t>参数</t>
        </is>
      </c>
      <c r="C88" t="inlineStr">
        <is>
          <t>PA-AF-S08-PRO-LACP</t>
        </is>
      </c>
      <c r="D88" t="inlineStr">
        <is>
          <t>SRC-XLSX</t>
        </is>
      </c>
      <c r="E88" t="inlineStr">
        <is>
          <t>allocation_tables 行7（protein）</t>
        </is>
      </c>
      <c r="F88" t="inlineStr">
        <is>
          <t>protein → lactose permeate</t>
        </is>
      </c>
      <c r="G88" t="n">
        <v>0</v>
      </c>
      <c r="H88" t="inlineStr">
        <is>
          <t>fraction</t>
        </is>
      </c>
      <c r="I88" t="inlineStr">
        <is>
          <t>Step 8 UF/DF of whey；分配规则=protein</t>
        </is>
      </c>
      <c r="J88" t="inlineStr">
        <is>
          <t>日产工况（1天，kg/j 基准）</t>
        </is>
      </c>
      <c r="K88" t="inlineStr">
        <is>
          <t>FIXED</t>
        </is>
      </c>
      <c r="Q88" t="inlineStr">
        <is>
          <t>可直接比较</t>
        </is>
      </c>
      <c r="R88" t="inlineStr">
        <is>
          <t>不采用</t>
        </is>
      </c>
      <c r="S88" t="inlineStr">
        <is>
          <t>D-A1</t>
        </is>
      </c>
      <c r="T88" t="inlineStr">
        <is>
          <t>目标研究采用规则待定（Q-07）；候选全部保留；示意图层/分配参考数据，仅备查不作基准（2026-09-28用户指示）</t>
        </is>
      </c>
    </row>
    <row r="89">
      <c r="A89" t="inlineStr">
        <is>
          <t>CT-PA-AF-S08-ECO-LACP</t>
        </is>
      </c>
      <c r="B89" t="inlineStr">
        <is>
          <t>参数</t>
        </is>
      </c>
      <c r="C89" t="inlineStr">
        <is>
          <t>PA-AF-S08-ECO-LACP</t>
        </is>
      </c>
      <c r="D89" t="inlineStr">
        <is>
          <t>SRC-XLSX</t>
        </is>
      </c>
      <c r="E89" t="inlineStr">
        <is>
          <t>allocation_tables 行8（economic）</t>
        </is>
      </c>
      <c r="F89" t="inlineStr">
        <is>
          <t>economic → lactose permeate</t>
        </is>
      </c>
      <c r="G89" t="n">
        <v>0.005</v>
      </c>
      <c r="H89" t="inlineStr">
        <is>
          <t>fraction</t>
        </is>
      </c>
      <c r="I89" t="inlineStr">
        <is>
          <t>Step 8 UF/DF of whey；分配规则=economic</t>
        </is>
      </c>
      <c r="J89" t="inlineStr">
        <is>
          <t>日产工况（1天，kg/j 基准）</t>
        </is>
      </c>
      <c r="K89" t="inlineStr">
        <is>
          <t>FIXED</t>
        </is>
      </c>
      <c r="Q89" t="inlineStr">
        <is>
          <t>可直接比较</t>
        </is>
      </c>
      <c r="R89" t="inlineStr">
        <is>
          <t>不采用</t>
        </is>
      </c>
      <c r="S89" t="inlineStr">
        <is>
          <t>D-A1</t>
        </is>
      </c>
      <c r="T89" t="inlineStr">
        <is>
          <t>目标研究采用规则待定（Q-07）；候选全部保留；示意图层/分配参考数据，仅备查不作基准（2026-09-28用户指示）</t>
        </is>
      </c>
    </row>
    <row r="90">
      <c r="A90" t="inlineStr">
        <is>
          <t>CT-PA-AF-S11-MASS-LAC</t>
        </is>
      </c>
      <c r="B90" t="inlineStr">
        <is>
          <t>参数</t>
        </is>
      </c>
      <c r="C90" t="inlineStr">
        <is>
          <t>PA-AF-S11-MASS-LAC</t>
        </is>
      </c>
      <c r="D90" t="inlineStr">
        <is>
          <t>SRC-XLSX</t>
        </is>
      </c>
      <c r="E90" t="inlineStr">
        <is>
          <t>allocation_tables 行5（mass）</t>
        </is>
      </c>
      <c r="F90" t="inlineStr">
        <is>
          <t>mass → concentrated lactose</t>
        </is>
      </c>
      <c r="G90" t="n">
        <v>1</v>
      </c>
      <c r="H90" t="inlineStr">
        <is>
          <t>fraction</t>
        </is>
      </c>
      <c r="I90" t="inlineStr">
        <is>
          <t>Step 11 RO of lactose permeate；分配规则=mass</t>
        </is>
      </c>
      <c r="J90" t="inlineStr">
        <is>
          <t>日产工况（1天，kg/j 基准）</t>
        </is>
      </c>
      <c r="K90" t="inlineStr">
        <is>
          <t>FIXED</t>
        </is>
      </c>
      <c r="Q90" t="inlineStr">
        <is>
          <t>可直接比较</t>
        </is>
      </c>
      <c r="R90" t="inlineStr">
        <is>
          <t>不采用</t>
        </is>
      </c>
      <c r="S90" t="inlineStr">
        <is>
          <t>D-A1</t>
        </is>
      </c>
      <c r="T90" t="inlineStr">
        <is>
          <t>目标研究采用规则待定（Q-07）；候选全部保留；示意图层/分配参考数据，仅备查不作基准（2026-09-28用户指示）</t>
        </is>
      </c>
    </row>
    <row r="91">
      <c r="A91" t="inlineStr">
        <is>
          <t>CT-PA-AF-S11-DM-LAC</t>
        </is>
      </c>
      <c r="B91" t="inlineStr">
        <is>
          <t>参数</t>
        </is>
      </c>
      <c r="C91" t="inlineStr">
        <is>
          <t>PA-AF-S11-DM-LAC</t>
        </is>
      </c>
      <c r="D91" t="inlineStr">
        <is>
          <t>SRC-XLSX</t>
        </is>
      </c>
      <c r="E91" t="inlineStr">
        <is>
          <t>allocation_tables 行6（dry matter）</t>
        </is>
      </c>
      <c r="F91" t="inlineStr">
        <is>
          <t>dry matter → concentrated lactose</t>
        </is>
      </c>
      <c r="G91" t="n">
        <v>1</v>
      </c>
      <c r="H91" t="inlineStr">
        <is>
          <t>fraction</t>
        </is>
      </c>
      <c r="I91" t="inlineStr">
        <is>
          <t>Step 11 RO of lactose permeate；分配规则=dry matter</t>
        </is>
      </c>
      <c r="J91" t="inlineStr">
        <is>
          <t>日产工况（1天，kg/j 基准）</t>
        </is>
      </c>
      <c r="K91" t="inlineStr">
        <is>
          <t>FIXED</t>
        </is>
      </c>
      <c r="Q91" t="inlineStr">
        <is>
          <t>可直接比较</t>
        </is>
      </c>
      <c r="R91" t="inlineStr">
        <is>
          <t>不采用</t>
        </is>
      </c>
      <c r="S91" t="inlineStr">
        <is>
          <t>D-A1</t>
        </is>
      </c>
      <c r="T91" t="inlineStr">
        <is>
          <t>目标研究采用规则待定（Q-07）；候选全部保留；示意图层/分配参考数据，仅备查不作基准（2026-09-28用户指示）</t>
        </is>
      </c>
    </row>
    <row r="92">
      <c r="A92" t="inlineStr">
        <is>
          <t>CT-PA-AF-S11-PRO-LAC</t>
        </is>
      </c>
      <c r="B92" t="inlineStr">
        <is>
          <t>参数</t>
        </is>
      </c>
      <c r="C92" t="inlineStr">
        <is>
          <t>PA-AF-S11-PRO-LAC</t>
        </is>
      </c>
      <c r="D92" t="inlineStr">
        <is>
          <t>SRC-XLSX</t>
        </is>
      </c>
      <c r="E92" t="inlineStr">
        <is>
          <t>allocation_tables 行7（protein）</t>
        </is>
      </c>
      <c r="F92" t="inlineStr">
        <is>
          <t>protein → concentrated lactose</t>
        </is>
      </c>
      <c r="G92" t="n">
        <v>1</v>
      </c>
      <c r="H92" t="inlineStr">
        <is>
          <t>fraction</t>
        </is>
      </c>
      <c r="I92" t="inlineStr">
        <is>
          <t>Step 11 RO of lactose permeate；分配规则=protein</t>
        </is>
      </c>
      <c r="J92" t="inlineStr">
        <is>
          <t>日产工况（1天，kg/j 基准）</t>
        </is>
      </c>
      <c r="K92" t="inlineStr">
        <is>
          <t>FIXED</t>
        </is>
      </c>
      <c r="Q92" t="inlineStr">
        <is>
          <t>可直接比较</t>
        </is>
      </c>
      <c r="R92" t="inlineStr">
        <is>
          <t>不采用</t>
        </is>
      </c>
      <c r="S92" t="inlineStr">
        <is>
          <t>D-A1</t>
        </is>
      </c>
      <c r="T92" t="inlineStr">
        <is>
          <t>目标研究采用规则待定（Q-07）；候选全部保留；示意图层/分配参考数据，仅备查不作基准（2026-09-28用户指示）</t>
        </is>
      </c>
    </row>
    <row r="93">
      <c r="A93" t="inlineStr">
        <is>
          <t>CT-PA-AF-S11-ECO-LAC</t>
        </is>
      </c>
      <c r="B93" t="inlineStr">
        <is>
          <t>参数</t>
        </is>
      </c>
      <c r="C93" t="inlineStr">
        <is>
          <t>PA-AF-S11-ECO-LAC</t>
        </is>
      </c>
      <c r="D93" t="inlineStr">
        <is>
          <t>SRC-XLSX</t>
        </is>
      </c>
      <c r="E93" t="inlineStr">
        <is>
          <t>allocation_tables 行8（economic）</t>
        </is>
      </c>
      <c r="F93" t="inlineStr">
        <is>
          <t>economic → concentrated lactose</t>
        </is>
      </c>
      <c r="G93" t="n">
        <v>1</v>
      </c>
      <c r="H93" t="inlineStr">
        <is>
          <t>fraction</t>
        </is>
      </c>
      <c r="I93" t="inlineStr">
        <is>
          <t>Step 11 RO of lactose permeate；分配规则=economic</t>
        </is>
      </c>
      <c r="J93" t="inlineStr">
        <is>
          <t>日产工况（1天，kg/j 基准）</t>
        </is>
      </c>
      <c r="K93" t="inlineStr">
        <is>
          <t>FIXED</t>
        </is>
      </c>
      <c r="Q93" t="inlineStr">
        <is>
          <t>可直接比较</t>
        </is>
      </c>
      <c r="R93" t="inlineStr">
        <is>
          <t>不采用</t>
        </is>
      </c>
      <c r="S93" t="inlineStr">
        <is>
          <t>D-A1</t>
        </is>
      </c>
      <c r="T93" t="inlineStr">
        <is>
          <t>目标研究采用规则待定（Q-07）；候选全部保留；示意图层/分配参考数据，仅备查不作基准（2026-09-28用户指示）</t>
        </is>
      </c>
    </row>
    <row r="94">
      <c r="A94" t="inlineStr">
        <is>
          <t>CT-PA-AF-S11-MASS-OSM</t>
        </is>
      </c>
      <c r="B94" t="inlineStr">
        <is>
          <t>参数</t>
        </is>
      </c>
      <c r="C94" t="inlineStr">
        <is>
          <t>PA-AF-S11-MASS-OSM</t>
        </is>
      </c>
      <c r="D94" t="inlineStr">
        <is>
          <t>SRC-XLSX</t>
        </is>
      </c>
      <c r="E94" t="inlineStr">
        <is>
          <t>allocation_tables 行5（mass）</t>
        </is>
      </c>
      <c r="F94" t="inlineStr">
        <is>
          <t>mass → osmosate</t>
        </is>
      </c>
      <c r="G94" t="n">
        <v>0</v>
      </c>
      <c r="H94" t="inlineStr">
        <is>
          <t>fraction</t>
        </is>
      </c>
      <c r="I94" t="inlineStr">
        <is>
          <t>Step 11 RO of lactose permeate；分配规则=mass</t>
        </is>
      </c>
      <c r="J94" t="inlineStr">
        <is>
          <t>日产工况（1天，kg/j 基准）</t>
        </is>
      </c>
      <c r="K94" t="inlineStr">
        <is>
          <t>FIXED</t>
        </is>
      </c>
      <c r="Q94" t="inlineStr">
        <is>
          <t>可直接比较</t>
        </is>
      </c>
      <c r="R94" t="inlineStr">
        <is>
          <t>不采用</t>
        </is>
      </c>
      <c r="S94" t="inlineStr">
        <is>
          <t>D-A1</t>
        </is>
      </c>
      <c r="T94" t="inlineStr">
        <is>
          <t>目标研究采用规则待定（Q-07）；候选全部保留；示意图层/分配参考数据，仅备查不作基准（2026-09-28用户指示）</t>
        </is>
      </c>
    </row>
    <row r="95">
      <c r="A95" t="inlineStr">
        <is>
          <t>CT-PA-AF-S11-DM-OSM</t>
        </is>
      </c>
      <c r="B95" t="inlineStr">
        <is>
          <t>参数</t>
        </is>
      </c>
      <c r="C95" t="inlineStr">
        <is>
          <t>PA-AF-S11-DM-OSM</t>
        </is>
      </c>
      <c r="D95" t="inlineStr">
        <is>
          <t>SRC-XLSX</t>
        </is>
      </c>
      <c r="E95" t="inlineStr">
        <is>
          <t>allocation_tables 行6（dry matter）</t>
        </is>
      </c>
      <c r="F95" t="inlineStr">
        <is>
          <t>dry matter → osmosate</t>
        </is>
      </c>
      <c r="G95" t="n">
        <v>0</v>
      </c>
      <c r="H95" t="inlineStr">
        <is>
          <t>fraction</t>
        </is>
      </c>
      <c r="I95" t="inlineStr">
        <is>
          <t>Step 11 RO of lactose permeate；分配规则=dry matter</t>
        </is>
      </c>
      <c r="J95" t="inlineStr">
        <is>
          <t>日产工况（1天，kg/j 基准）</t>
        </is>
      </c>
      <c r="K95" t="inlineStr">
        <is>
          <t>FIXED</t>
        </is>
      </c>
      <c r="Q95" t="inlineStr">
        <is>
          <t>可直接比较</t>
        </is>
      </c>
      <c r="R95" t="inlineStr">
        <is>
          <t>不采用</t>
        </is>
      </c>
      <c r="S95" t="inlineStr">
        <is>
          <t>D-A1</t>
        </is>
      </c>
      <c r="T95" t="inlineStr">
        <is>
          <t>目标研究采用规则待定（Q-07）；候选全部保留；示意图层/分配参考数据，仅备查不作基准（2026-09-28用户指示）</t>
        </is>
      </c>
    </row>
    <row r="96">
      <c r="A96" t="inlineStr">
        <is>
          <t>CT-PA-AF-S11-PRO-OSM</t>
        </is>
      </c>
      <c r="B96" t="inlineStr">
        <is>
          <t>参数</t>
        </is>
      </c>
      <c r="C96" t="inlineStr">
        <is>
          <t>PA-AF-S11-PRO-OSM</t>
        </is>
      </c>
      <c r="D96" t="inlineStr">
        <is>
          <t>SRC-XLSX</t>
        </is>
      </c>
      <c r="E96" t="inlineStr">
        <is>
          <t>allocation_tables 行7（protein）</t>
        </is>
      </c>
      <c r="F96" t="inlineStr">
        <is>
          <t>protein → osmosate</t>
        </is>
      </c>
      <c r="G96" t="n">
        <v>0</v>
      </c>
      <c r="H96" t="inlineStr">
        <is>
          <t>fraction</t>
        </is>
      </c>
      <c r="I96" t="inlineStr">
        <is>
          <t>Step 11 RO of lactose permeate；分配规则=protein</t>
        </is>
      </c>
      <c r="J96" t="inlineStr">
        <is>
          <t>日产工况（1天，kg/j 基准）</t>
        </is>
      </c>
      <c r="K96" t="inlineStr">
        <is>
          <t>FIXED</t>
        </is>
      </c>
      <c r="Q96" t="inlineStr">
        <is>
          <t>可直接比较</t>
        </is>
      </c>
      <c r="R96" t="inlineStr">
        <is>
          <t>不采用</t>
        </is>
      </c>
      <c r="S96" t="inlineStr">
        <is>
          <t>D-A1</t>
        </is>
      </c>
      <c r="T96" t="inlineStr">
        <is>
          <t>目标研究采用规则待定（Q-07）；候选全部保留；示意图层/分配参考数据，仅备查不作基准（2026-09-28用户指示）</t>
        </is>
      </c>
    </row>
    <row r="97">
      <c r="A97" t="inlineStr">
        <is>
          <t>CT-PA-AF-S11-ECO-OSM</t>
        </is>
      </c>
      <c r="B97" t="inlineStr">
        <is>
          <t>参数</t>
        </is>
      </c>
      <c r="C97" t="inlineStr">
        <is>
          <t>PA-AF-S11-ECO-OSM</t>
        </is>
      </c>
      <c r="D97" t="inlineStr">
        <is>
          <t>SRC-XLSX</t>
        </is>
      </c>
      <c r="E97" t="inlineStr">
        <is>
          <t>allocation_tables 行8（economic）</t>
        </is>
      </c>
      <c r="F97" t="inlineStr">
        <is>
          <t>economic → osmosate</t>
        </is>
      </c>
      <c r="G97" t="n">
        <v>0</v>
      </c>
      <c r="H97" t="inlineStr">
        <is>
          <t>fraction</t>
        </is>
      </c>
      <c r="I97" t="inlineStr">
        <is>
          <t>Step 11 RO of lactose permeate；分配规则=economic</t>
        </is>
      </c>
      <c r="J97" t="inlineStr">
        <is>
          <t>日产工况（1天，kg/j 基准）</t>
        </is>
      </c>
      <c r="K97" t="inlineStr">
        <is>
          <t>FIXED</t>
        </is>
      </c>
      <c r="Q97" t="inlineStr">
        <is>
          <t>可直接比较</t>
        </is>
      </c>
      <c r="R97" t="inlineStr">
        <is>
          <t>不采用</t>
        </is>
      </c>
      <c r="S97" t="inlineStr">
        <is>
          <t>D-A1</t>
        </is>
      </c>
      <c r="T97" t="inlineStr">
        <is>
          <t>目标研究采用规则待定（Q-07）；候选全部保留；示意图层/分配参考数据，仅备查不作基准（2026-09-28用户指示）</t>
        </is>
      </c>
    </row>
    <row r="98">
      <c r="A98" t="inlineStr">
        <is>
          <t>CT-PA-AF-S13-MASS-APRE</t>
        </is>
      </c>
      <c r="B98" t="inlineStr">
        <is>
          <t>参数</t>
        </is>
      </c>
      <c r="C98" t="inlineStr">
        <is>
          <t>PA-AF-S13-MASS-APRE</t>
        </is>
      </c>
      <c r="D98" t="inlineStr">
        <is>
          <t>SRC-XLSX</t>
        </is>
      </c>
      <c r="E98" t="inlineStr">
        <is>
          <t>allocation_tables 行5（mass）</t>
        </is>
      </c>
      <c r="F98" t="inlineStr">
        <is>
          <t>mass → α-lactalbumin rich (retentate)</t>
        </is>
      </c>
      <c r="G98" t="n">
        <v>0.04</v>
      </c>
      <c r="H98" t="inlineStr">
        <is>
          <t>fraction</t>
        </is>
      </c>
      <c r="I98" t="inlineStr">
        <is>
          <t>Step 13 MF fractionation of whey proteins；分配规则=mass</t>
        </is>
      </c>
      <c r="J98" t="inlineStr">
        <is>
          <t>日产工况（1天，kg/j 基准）</t>
        </is>
      </c>
      <c r="K98" t="inlineStr">
        <is>
          <t>FIXED</t>
        </is>
      </c>
      <c r="Q98" t="inlineStr">
        <is>
          <t>可直接比较</t>
        </is>
      </c>
      <c r="R98" t="inlineStr">
        <is>
          <t>不采用</t>
        </is>
      </c>
      <c r="S98" t="inlineStr">
        <is>
          <t>D-A1</t>
        </is>
      </c>
      <c r="T98" t="inlineStr">
        <is>
          <t>目标研究采用规则待定（Q-07）；候选全部保留；示意图层/分配参考数据，仅备查不作基准（2026-09-28用户指示）</t>
        </is>
      </c>
    </row>
    <row r="99">
      <c r="A99" t="inlineStr">
        <is>
          <t>CT-PA-AF-S13-DM-APRE</t>
        </is>
      </c>
      <c r="B99" t="inlineStr">
        <is>
          <t>参数</t>
        </is>
      </c>
      <c r="C99" t="inlineStr">
        <is>
          <t>PA-AF-S13-DM-APRE</t>
        </is>
      </c>
      <c r="D99" t="inlineStr">
        <is>
          <t>SRC-XLSX</t>
        </is>
      </c>
      <c r="E99" t="inlineStr">
        <is>
          <t>allocation_tables 行6（dry matter）</t>
        </is>
      </c>
      <c r="F99" t="inlineStr">
        <is>
          <t>dry matter → α-lactalbumin rich (retentate)</t>
        </is>
      </c>
      <c r="G99" t="n">
        <v>0.18</v>
      </c>
      <c r="H99" t="inlineStr">
        <is>
          <t>fraction</t>
        </is>
      </c>
      <c r="I99" t="inlineStr">
        <is>
          <t>Step 13 MF fractionation of whey proteins；分配规则=dry matter</t>
        </is>
      </c>
      <c r="J99" t="inlineStr">
        <is>
          <t>日产工况（1天，kg/j 基准）</t>
        </is>
      </c>
      <c r="K99" t="inlineStr">
        <is>
          <t>FIXED</t>
        </is>
      </c>
      <c r="Q99" t="inlineStr">
        <is>
          <t>可直接比较</t>
        </is>
      </c>
      <c r="R99" t="inlineStr">
        <is>
          <t>不采用</t>
        </is>
      </c>
      <c r="S99" t="inlineStr">
        <is>
          <t>D-A1</t>
        </is>
      </c>
      <c r="T99" t="inlineStr">
        <is>
          <t>目标研究采用规则待定（Q-07）；候选全部保留；示意图层/分配参考数据，仅备查不作基准（2026-09-28用户指示）</t>
        </is>
      </c>
    </row>
    <row r="100">
      <c r="A100" t="inlineStr">
        <is>
          <t>CT-PA-AF-S13-PRO-APRE</t>
        </is>
      </c>
      <c r="B100" t="inlineStr">
        <is>
          <t>参数</t>
        </is>
      </c>
      <c r="C100" t="inlineStr">
        <is>
          <t>PA-AF-S13-PRO-APRE</t>
        </is>
      </c>
      <c r="D100" t="inlineStr">
        <is>
          <t>SRC-XLSX</t>
        </is>
      </c>
      <c r="E100" t="inlineStr">
        <is>
          <t>allocation_tables 行7（protein）</t>
        </is>
      </c>
      <c r="F100" t="inlineStr">
        <is>
          <t>protein → α-lactalbumin rich (retentate)</t>
        </is>
      </c>
      <c r="G100" t="n">
        <v>0.18</v>
      </c>
      <c r="H100" t="inlineStr">
        <is>
          <t>fraction</t>
        </is>
      </c>
      <c r="I100" t="inlineStr">
        <is>
          <t>Step 13 MF fractionation of whey proteins；分配规则=protein</t>
        </is>
      </c>
      <c r="J100" t="inlineStr">
        <is>
          <t>日产工况（1天，kg/j 基准）</t>
        </is>
      </c>
      <c r="K100" t="inlineStr">
        <is>
          <t>FIXED</t>
        </is>
      </c>
      <c r="Q100" t="inlineStr">
        <is>
          <t>可直接比较</t>
        </is>
      </c>
      <c r="R100" t="inlineStr">
        <is>
          <t>不采用</t>
        </is>
      </c>
      <c r="S100" t="inlineStr">
        <is>
          <t>D-A1</t>
        </is>
      </c>
      <c r="T100" t="inlineStr">
        <is>
          <t>目标研究采用规则待定（Q-07）；候选全部保留；示意图层/分配参考数据，仅备查不作基准（2026-09-28用户指示）</t>
        </is>
      </c>
    </row>
    <row r="101">
      <c r="A101" t="inlineStr">
        <is>
          <t>CT-PA-AF-S13-ECO-APRE</t>
        </is>
      </c>
      <c r="B101" t="inlineStr">
        <is>
          <t>参数</t>
        </is>
      </c>
      <c r="C101" t="inlineStr">
        <is>
          <t>PA-AF-S13-ECO-APRE</t>
        </is>
      </c>
      <c r="D101" t="inlineStr">
        <is>
          <t>SRC-XLSX</t>
        </is>
      </c>
      <c r="E101" t="inlineStr">
        <is>
          <t>allocation_tables 行8（economic）</t>
        </is>
      </c>
      <c r="F101" t="inlineStr">
        <is>
          <t>economic → α-lactalbumin rich (retentate)</t>
        </is>
      </c>
      <c r="G101" t="n">
        <v>0.18</v>
      </c>
      <c r="H101" t="inlineStr">
        <is>
          <t>fraction</t>
        </is>
      </c>
      <c r="I101" t="inlineStr">
        <is>
          <t>Step 13 MF fractionation of whey proteins；分配规则=economic</t>
        </is>
      </c>
      <c r="J101" t="inlineStr">
        <is>
          <t>日产工况（1天，kg/j 基准）</t>
        </is>
      </c>
      <c r="K101" t="inlineStr">
        <is>
          <t>FIXED</t>
        </is>
      </c>
      <c r="Q101" t="inlineStr">
        <is>
          <t>可直接比较</t>
        </is>
      </c>
      <c r="R101" t="inlineStr">
        <is>
          <t>不采用</t>
        </is>
      </c>
      <c r="S101" t="inlineStr">
        <is>
          <t>D-A1</t>
        </is>
      </c>
      <c r="T101" t="inlineStr">
        <is>
          <t>目标研究采用规则待定（Q-07）；候选全部保留；示意图层/分配参考数据，仅备查不作基准（2026-09-28用户指示）</t>
        </is>
      </c>
    </row>
    <row r="102">
      <c r="A102" t="inlineStr">
        <is>
          <t>CT-PA-AF-S13-MASS-BSOL</t>
        </is>
      </c>
      <c r="B102" t="inlineStr">
        <is>
          <t>参数</t>
        </is>
      </c>
      <c r="C102" t="inlineStr">
        <is>
          <t>PA-AF-S13-MASS-BSOL</t>
        </is>
      </c>
      <c r="D102" t="inlineStr">
        <is>
          <t>SRC-XLSX</t>
        </is>
      </c>
      <c r="E102" t="inlineStr">
        <is>
          <t>allocation_tables 行5（mass）</t>
        </is>
      </c>
      <c r="F102" t="inlineStr">
        <is>
          <t>mass → β-lactoglobulin rich (permeate)</t>
        </is>
      </c>
      <c r="G102" t="n">
        <v>0.96</v>
      </c>
      <c r="H102" t="inlineStr">
        <is>
          <t>fraction</t>
        </is>
      </c>
      <c r="I102" t="inlineStr">
        <is>
          <t>Step 13 MF fractionation of whey proteins；分配规则=mass</t>
        </is>
      </c>
      <c r="J102" t="inlineStr">
        <is>
          <t>日产工况（1天，kg/j 基准）</t>
        </is>
      </c>
      <c r="K102" t="inlineStr">
        <is>
          <t>FIXED</t>
        </is>
      </c>
      <c r="Q102" t="inlineStr">
        <is>
          <t>可直接比较</t>
        </is>
      </c>
      <c r="R102" t="inlineStr">
        <is>
          <t>不采用</t>
        </is>
      </c>
      <c r="S102" t="inlineStr">
        <is>
          <t>D-A1</t>
        </is>
      </c>
      <c r="T102" t="inlineStr">
        <is>
          <t>目标研究采用规则待定（Q-07）；候选全部保留；示意图层/分配参考数据，仅备查不作基准（2026-09-28用户指示）</t>
        </is>
      </c>
    </row>
    <row r="103">
      <c r="A103" t="inlineStr">
        <is>
          <t>CT-PA-AF-S13-DM-BSOL</t>
        </is>
      </c>
      <c r="B103" t="inlineStr">
        <is>
          <t>参数</t>
        </is>
      </c>
      <c r="C103" t="inlineStr">
        <is>
          <t>PA-AF-S13-DM-BSOL</t>
        </is>
      </c>
      <c r="D103" t="inlineStr">
        <is>
          <t>SRC-XLSX</t>
        </is>
      </c>
      <c r="E103" t="inlineStr">
        <is>
          <t>allocation_tables 行6（dry matter）</t>
        </is>
      </c>
      <c r="F103" t="inlineStr">
        <is>
          <t>dry matter → β-lactoglobulin rich (permeate)</t>
        </is>
      </c>
      <c r="G103" t="n">
        <v>0.82</v>
      </c>
      <c r="H103" t="inlineStr">
        <is>
          <t>fraction</t>
        </is>
      </c>
      <c r="I103" t="inlineStr">
        <is>
          <t>Step 13 MF fractionation of whey proteins；分配规则=dry matter</t>
        </is>
      </c>
      <c r="J103" t="inlineStr">
        <is>
          <t>日产工况（1天，kg/j 基准）</t>
        </is>
      </c>
      <c r="K103" t="inlineStr">
        <is>
          <t>FIXED</t>
        </is>
      </c>
      <c r="Q103" t="inlineStr">
        <is>
          <t>可直接比较</t>
        </is>
      </c>
      <c r="R103" t="inlineStr">
        <is>
          <t>不采用</t>
        </is>
      </c>
      <c r="S103" t="inlineStr">
        <is>
          <t>D-A1</t>
        </is>
      </c>
      <c r="T103" t="inlineStr">
        <is>
          <t>目标研究采用规则待定（Q-07）；候选全部保留；示意图层/分配参考数据，仅备查不作基准（2026-09-28用户指示）</t>
        </is>
      </c>
    </row>
    <row r="104">
      <c r="A104" t="inlineStr">
        <is>
          <t>CT-PA-AF-S13-PRO-BSOL</t>
        </is>
      </c>
      <c r="B104" t="inlineStr">
        <is>
          <t>参数</t>
        </is>
      </c>
      <c r="C104" t="inlineStr">
        <is>
          <t>PA-AF-S13-PRO-BSOL</t>
        </is>
      </c>
      <c r="D104" t="inlineStr">
        <is>
          <t>SRC-XLSX</t>
        </is>
      </c>
      <c r="E104" t="inlineStr">
        <is>
          <t>allocation_tables 行7（protein）</t>
        </is>
      </c>
      <c r="F104" t="inlineStr">
        <is>
          <t>protein → β-lactoglobulin rich (permeate)</t>
        </is>
      </c>
      <c r="G104" t="n">
        <v>0.82</v>
      </c>
      <c r="H104" t="inlineStr">
        <is>
          <t>fraction</t>
        </is>
      </c>
      <c r="I104" t="inlineStr">
        <is>
          <t>Step 13 MF fractionation of whey proteins；分配规则=protein</t>
        </is>
      </c>
      <c r="J104" t="inlineStr">
        <is>
          <t>日产工况（1天，kg/j 基准）</t>
        </is>
      </c>
      <c r="K104" t="inlineStr">
        <is>
          <t>FIXED</t>
        </is>
      </c>
      <c r="Q104" t="inlineStr">
        <is>
          <t>可直接比较</t>
        </is>
      </c>
      <c r="R104" t="inlineStr">
        <is>
          <t>不采用</t>
        </is>
      </c>
      <c r="S104" t="inlineStr">
        <is>
          <t>D-A1</t>
        </is>
      </c>
      <c r="T104" t="inlineStr">
        <is>
          <t>目标研究采用规则待定（Q-07）；候选全部保留；示意图层/分配参考数据，仅备查不作基准（2026-09-28用户指示）</t>
        </is>
      </c>
    </row>
    <row r="105">
      <c r="A105" t="inlineStr">
        <is>
          <t>CT-PA-AF-S13-ECO-BSOL</t>
        </is>
      </c>
      <c r="B105" t="inlineStr">
        <is>
          <t>参数</t>
        </is>
      </c>
      <c r="C105" t="inlineStr">
        <is>
          <t>PA-AF-S13-ECO-BSOL</t>
        </is>
      </c>
      <c r="D105" t="inlineStr">
        <is>
          <t>SRC-XLSX</t>
        </is>
      </c>
      <c r="E105" t="inlineStr">
        <is>
          <t>allocation_tables 行8（economic）</t>
        </is>
      </c>
      <c r="F105" t="inlineStr">
        <is>
          <t>economic → β-lactoglobulin rich (permeate)</t>
        </is>
      </c>
      <c r="G105" t="n">
        <v>0.82</v>
      </c>
      <c r="H105" t="inlineStr">
        <is>
          <t>fraction</t>
        </is>
      </c>
      <c r="I105" t="inlineStr">
        <is>
          <t>Step 13 MF fractionation of whey proteins；分配规则=economic</t>
        </is>
      </c>
      <c r="J105" t="inlineStr">
        <is>
          <t>日产工况（1天，kg/j 基准）</t>
        </is>
      </c>
      <c r="K105" t="inlineStr">
        <is>
          <t>FIXED</t>
        </is>
      </c>
      <c r="Q105" t="inlineStr">
        <is>
          <t>可直接比较</t>
        </is>
      </c>
      <c r="R105" t="inlineStr">
        <is>
          <t>不采用</t>
        </is>
      </c>
      <c r="S105" t="inlineStr">
        <is>
          <t>D-A1</t>
        </is>
      </c>
      <c r="T105" t="inlineStr">
        <is>
          <t>目标研究采用规则待定（Q-07）；候选全部保留；示意图层/分配参考数据，仅备查不作基准（2026-09-28用户指示）</t>
        </is>
      </c>
    </row>
    <row r="106">
      <c r="A106" t="inlineStr">
        <is>
          <t>CT-PA-AF-S16-MASS-BCON</t>
        </is>
      </c>
      <c r="B106" t="inlineStr">
        <is>
          <t>参数</t>
        </is>
      </c>
      <c r="C106" t="inlineStr">
        <is>
          <t>PA-AF-S16-MASS-BCON</t>
        </is>
      </c>
      <c r="D106" t="inlineStr">
        <is>
          <t>SRC-XLSX</t>
        </is>
      </c>
      <c r="E106" t="inlineStr">
        <is>
          <t>allocation_tables 行5（mass）</t>
        </is>
      </c>
      <c r="F106" t="inlineStr">
        <is>
          <t>mass → concentrated β-lact fraction</t>
        </is>
      </c>
      <c r="G106" t="n">
        <v>1</v>
      </c>
      <c r="H106" t="inlineStr">
        <is>
          <t>fraction</t>
        </is>
      </c>
      <c r="I106" t="inlineStr">
        <is>
          <t>Step 16 UF/DF β-lact rich；分配规则=mass</t>
        </is>
      </c>
      <c r="J106" t="inlineStr">
        <is>
          <t>日产工况（1天，kg/j 基准）</t>
        </is>
      </c>
      <c r="K106" t="inlineStr">
        <is>
          <t>FIXED</t>
        </is>
      </c>
      <c r="Q106" t="inlineStr">
        <is>
          <t>可直接比较</t>
        </is>
      </c>
      <c r="R106" t="inlineStr">
        <is>
          <t>不采用</t>
        </is>
      </c>
      <c r="S106" t="inlineStr">
        <is>
          <t>D-A1</t>
        </is>
      </c>
      <c r="T106" t="inlineStr">
        <is>
          <t>目标研究采用规则待定（Q-07）；候选全部保留；示意图层/分配参考数据，仅备查不作基准（2026-09-28用户指示）</t>
        </is>
      </c>
    </row>
    <row r="107">
      <c r="A107" t="inlineStr">
        <is>
          <t>CT-PA-AF-S16-DM-BCON</t>
        </is>
      </c>
      <c r="B107" t="inlineStr">
        <is>
          <t>参数</t>
        </is>
      </c>
      <c r="C107" t="inlineStr">
        <is>
          <t>PA-AF-S16-DM-BCON</t>
        </is>
      </c>
      <c r="D107" t="inlineStr">
        <is>
          <t>SRC-XLSX</t>
        </is>
      </c>
      <c r="E107" t="inlineStr">
        <is>
          <t>allocation_tables 行6（dry matter）</t>
        </is>
      </c>
      <c r="F107" t="inlineStr">
        <is>
          <t>dry matter → concentrated β-lact fraction</t>
        </is>
      </c>
      <c r="G107" t="n">
        <v>1</v>
      </c>
      <c r="H107" t="inlineStr">
        <is>
          <t>fraction</t>
        </is>
      </c>
      <c r="I107" t="inlineStr">
        <is>
          <t>Step 16 UF/DF β-lact rich；分配规则=dry matter</t>
        </is>
      </c>
      <c r="J107" t="inlineStr">
        <is>
          <t>日产工况（1天，kg/j 基准）</t>
        </is>
      </c>
      <c r="K107" t="inlineStr">
        <is>
          <t>FIXED</t>
        </is>
      </c>
      <c r="Q107" t="inlineStr">
        <is>
          <t>可直接比较</t>
        </is>
      </c>
      <c r="R107" t="inlineStr">
        <is>
          <t>不采用</t>
        </is>
      </c>
      <c r="S107" t="inlineStr">
        <is>
          <t>D-A1</t>
        </is>
      </c>
      <c r="T107" t="inlineStr">
        <is>
          <t>目标研究采用规则待定（Q-07）；候选全部保留；示意图层/分配参考数据，仅备查不作基准（2026-09-28用户指示）</t>
        </is>
      </c>
    </row>
    <row r="108">
      <c r="A108" t="inlineStr">
        <is>
          <t>CT-PA-AF-S16-PRO-BCON</t>
        </is>
      </c>
      <c r="B108" t="inlineStr">
        <is>
          <t>参数</t>
        </is>
      </c>
      <c r="C108" t="inlineStr">
        <is>
          <t>PA-AF-S16-PRO-BCON</t>
        </is>
      </c>
      <c r="D108" t="inlineStr">
        <is>
          <t>SRC-XLSX</t>
        </is>
      </c>
      <c r="E108" t="inlineStr">
        <is>
          <t>allocation_tables 行7（protein）</t>
        </is>
      </c>
      <c r="F108" t="inlineStr">
        <is>
          <t>protein → concentrated β-lact fraction</t>
        </is>
      </c>
      <c r="G108" t="n">
        <v>1</v>
      </c>
      <c r="H108" t="inlineStr">
        <is>
          <t>fraction</t>
        </is>
      </c>
      <c r="I108" t="inlineStr">
        <is>
          <t>Step 16 UF/DF β-lact rich；分配规则=protein</t>
        </is>
      </c>
      <c r="J108" t="inlineStr">
        <is>
          <t>日产工况（1天，kg/j 基准）</t>
        </is>
      </c>
      <c r="K108" t="inlineStr">
        <is>
          <t>FIXED</t>
        </is>
      </c>
      <c r="Q108" t="inlineStr">
        <is>
          <t>可直接比较</t>
        </is>
      </c>
      <c r="R108" t="inlineStr">
        <is>
          <t>不采用</t>
        </is>
      </c>
      <c r="S108" t="inlineStr">
        <is>
          <t>D-A1</t>
        </is>
      </c>
      <c r="T108" t="inlineStr">
        <is>
          <t>目标研究采用规则待定（Q-07）；候选全部保留；示意图层/分配参考数据，仅备查不作基准（2026-09-28用户指示）</t>
        </is>
      </c>
    </row>
    <row r="109">
      <c r="A109" t="inlineStr">
        <is>
          <t>CT-PA-AF-S16-ECO-BCON</t>
        </is>
      </c>
      <c r="B109" t="inlineStr">
        <is>
          <t>参数</t>
        </is>
      </c>
      <c r="C109" t="inlineStr">
        <is>
          <t>PA-AF-S16-ECO-BCON</t>
        </is>
      </c>
      <c r="D109" t="inlineStr">
        <is>
          <t>SRC-XLSX</t>
        </is>
      </c>
      <c r="E109" t="inlineStr">
        <is>
          <t>allocation_tables 行8（economic）</t>
        </is>
      </c>
      <c r="F109" t="inlineStr">
        <is>
          <t>economic → concentrated β-lact fraction</t>
        </is>
      </c>
      <c r="G109" t="n">
        <v>1</v>
      </c>
      <c r="H109" t="inlineStr">
        <is>
          <t>fraction</t>
        </is>
      </c>
      <c r="I109" t="inlineStr">
        <is>
          <t>Step 16 UF/DF β-lact rich；分配规则=economic</t>
        </is>
      </c>
      <c r="J109" t="inlineStr">
        <is>
          <t>日产工况（1天，kg/j 基准）</t>
        </is>
      </c>
      <c r="K109" t="inlineStr">
        <is>
          <t>FIXED</t>
        </is>
      </c>
      <c r="Q109" t="inlineStr">
        <is>
          <t>可直接比较</t>
        </is>
      </c>
      <c r="R109" t="inlineStr">
        <is>
          <t>不采用</t>
        </is>
      </c>
      <c r="S109" t="inlineStr">
        <is>
          <t>D-A1</t>
        </is>
      </c>
      <c r="T109" t="inlineStr">
        <is>
          <t>目标研究采用规则待定（Q-07）；候选全部保留；示意图层/分配参考数据，仅备查不作基准（2026-09-28用户指示）</t>
        </is>
      </c>
    </row>
    <row r="110">
      <c r="A110" t="inlineStr">
        <is>
          <t>CT-PA-AF-S16-MASS-P16</t>
        </is>
      </c>
      <c r="B110" t="inlineStr">
        <is>
          <t>参数</t>
        </is>
      </c>
      <c r="C110" t="inlineStr">
        <is>
          <t>PA-AF-S16-MASS-P16</t>
        </is>
      </c>
      <c r="D110" t="inlineStr">
        <is>
          <t>SRC-XLSX</t>
        </is>
      </c>
      <c r="E110" t="inlineStr">
        <is>
          <t>allocation_tables 行5（mass）</t>
        </is>
      </c>
      <c r="F110" t="inlineStr">
        <is>
          <t>mass → permeate</t>
        </is>
      </c>
      <c r="G110" t="n">
        <v>0</v>
      </c>
      <c r="H110" t="inlineStr">
        <is>
          <t>fraction</t>
        </is>
      </c>
      <c r="I110" t="inlineStr">
        <is>
          <t>Step 16 UF/DF β-lact rich；分配规则=mass</t>
        </is>
      </c>
      <c r="J110" t="inlineStr">
        <is>
          <t>日产工况（1天，kg/j 基准）</t>
        </is>
      </c>
      <c r="K110" t="inlineStr">
        <is>
          <t>FIXED</t>
        </is>
      </c>
      <c r="Q110" t="inlineStr">
        <is>
          <t>可直接比较</t>
        </is>
      </c>
      <c r="R110" t="inlineStr">
        <is>
          <t>不采用</t>
        </is>
      </c>
      <c r="S110" t="inlineStr">
        <is>
          <t>D-A1</t>
        </is>
      </c>
      <c r="T110" t="inlineStr">
        <is>
          <t>目标研究采用规则待定（Q-07）；候选全部保留；示意图层/分配参考数据，仅备查不作基准（2026-09-28用户指示）</t>
        </is>
      </c>
    </row>
    <row r="111">
      <c r="A111" t="inlineStr">
        <is>
          <t>CT-PA-AF-S16-DM-P16</t>
        </is>
      </c>
      <c r="B111" t="inlineStr">
        <is>
          <t>参数</t>
        </is>
      </c>
      <c r="C111" t="inlineStr">
        <is>
          <t>PA-AF-S16-DM-P16</t>
        </is>
      </c>
      <c r="D111" t="inlineStr">
        <is>
          <t>SRC-XLSX</t>
        </is>
      </c>
      <c r="E111" t="inlineStr">
        <is>
          <t>allocation_tables 行6（dry matter）</t>
        </is>
      </c>
      <c r="F111" t="inlineStr">
        <is>
          <t>dry matter → permeate</t>
        </is>
      </c>
      <c r="G111" t="n">
        <v>0</v>
      </c>
      <c r="H111" t="inlineStr">
        <is>
          <t>fraction</t>
        </is>
      </c>
      <c r="I111" t="inlineStr">
        <is>
          <t>Step 16 UF/DF β-lact rich；分配规则=dry matter</t>
        </is>
      </c>
      <c r="J111" t="inlineStr">
        <is>
          <t>日产工况（1天，kg/j 基准）</t>
        </is>
      </c>
      <c r="K111" t="inlineStr">
        <is>
          <t>FIXED</t>
        </is>
      </c>
      <c r="Q111" t="inlineStr">
        <is>
          <t>可直接比较</t>
        </is>
      </c>
      <c r="R111" t="inlineStr">
        <is>
          <t>不采用</t>
        </is>
      </c>
      <c r="S111" t="inlineStr">
        <is>
          <t>D-A1</t>
        </is>
      </c>
      <c r="T111" t="inlineStr">
        <is>
          <t>目标研究采用规则待定（Q-07）；候选全部保留；示意图层/分配参考数据，仅备查不作基准（2026-09-28用户指示）</t>
        </is>
      </c>
    </row>
    <row r="112">
      <c r="A112" t="inlineStr">
        <is>
          <t>CT-PA-AF-S16-PRO-P16</t>
        </is>
      </c>
      <c r="B112" t="inlineStr">
        <is>
          <t>参数</t>
        </is>
      </c>
      <c r="C112" t="inlineStr">
        <is>
          <t>PA-AF-S16-PRO-P16</t>
        </is>
      </c>
      <c r="D112" t="inlineStr">
        <is>
          <t>SRC-XLSX</t>
        </is>
      </c>
      <c r="E112" t="inlineStr">
        <is>
          <t>allocation_tables 行7（protein）</t>
        </is>
      </c>
      <c r="F112" t="inlineStr">
        <is>
          <t>protein → permeate</t>
        </is>
      </c>
      <c r="G112" t="n">
        <v>0</v>
      </c>
      <c r="H112" t="inlineStr">
        <is>
          <t>fraction</t>
        </is>
      </c>
      <c r="I112" t="inlineStr">
        <is>
          <t>Step 16 UF/DF β-lact rich；分配规则=protein</t>
        </is>
      </c>
      <c r="J112" t="inlineStr">
        <is>
          <t>日产工况（1天，kg/j 基准）</t>
        </is>
      </c>
      <c r="K112" t="inlineStr">
        <is>
          <t>FIXED</t>
        </is>
      </c>
      <c r="Q112" t="inlineStr">
        <is>
          <t>可直接比较</t>
        </is>
      </c>
      <c r="R112" t="inlineStr">
        <is>
          <t>不采用</t>
        </is>
      </c>
      <c r="S112" t="inlineStr">
        <is>
          <t>D-A1</t>
        </is>
      </c>
      <c r="T112" t="inlineStr">
        <is>
          <t>目标研究采用规则待定（Q-07）；候选全部保留；示意图层/分配参考数据，仅备查不作基准（2026-09-28用户指示）</t>
        </is>
      </c>
    </row>
    <row r="113">
      <c r="A113" t="inlineStr">
        <is>
          <t>CT-PA-AF-S16-ECO-P16</t>
        </is>
      </c>
      <c r="B113" t="inlineStr">
        <is>
          <t>参数</t>
        </is>
      </c>
      <c r="C113" t="inlineStr">
        <is>
          <t>PA-AF-S16-ECO-P16</t>
        </is>
      </c>
      <c r="D113" t="inlineStr">
        <is>
          <t>SRC-XLSX</t>
        </is>
      </c>
      <c r="E113" t="inlineStr">
        <is>
          <t>allocation_tables 行8（economic）</t>
        </is>
      </c>
      <c r="F113" t="inlineStr">
        <is>
          <t>economic → permeate</t>
        </is>
      </c>
      <c r="G113" t="n">
        <v>0</v>
      </c>
      <c r="H113" t="inlineStr">
        <is>
          <t>fraction</t>
        </is>
      </c>
      <c r="I113" t="inlineStr">
        <is>
          <t>Step 16 UF/DF β-lact rich；分配规则=economic</t>
        </is>
      </c>
      <c r="J113" t="inlineStr">
        <is>
          <t>日产工况（1天，kg/j 基准）</t>
        </is>
      </c>
      <c r="K113" t="inlineStr">
        <is>
          <t>FIXED</t>
        </is>
      </c>
      <c r="Q113" t="inlineStr">
        <is>
          <t>可直接比较</t>
        </is>
      </c>
      <c r="R113" t="inlineStr">
        <is>
          <t>不采用</t>
        </is>
      </c>
      <c r="S113" t="inlineStr">
        <is>
          <t>D-A1</t>
        </is>
      </c>
      <c r="T113" t="inlineStr">
        <is>
          <t>目标研究采用规则待定（Q-07）；候选全部保留；示意图层/分配参考数据，仅备查不作基准（2026-09-28用户指示）</t>
        </is>
      </c>
    </row>
    <row r="114">
      <c r="A114" t="inlineStr">
        <is>
          <t>CT-PA-AF-S17-MASS-P1</t>
        </is>
      </c>
      <c r="B114" t="inlineStr">
        <is>
          <t>参数</t>
        </is>
      </c>
      <c r="C114" t="inlineStr">
        <is>
          <t>PA-AF-S17-MASS-P1</t>
        </is>
      </c>
      <c r="D114" t="inlineStr">
        <is>
          <t>SRC-XLSX</t>
        </is>
      </c>
      <c r="E114" t="inlineStr">
        <is>
          <t>allocation_tables 行5（mass）</t>
        </is>
      </c>
      <c r="F114" t="inlineStr">
        <is>
          <t>mass → dry ingredient</t>
        </is>
      </c>
      <c r="G114" t="n">
        <v>1</v>
      </c>
      <c r="H114" t="inlineStr">
        <is>
          <t>fraction</t>
        </is>
      </c>
      <c r="I114" t="inlineStr">
        <is>
          <t>Step 17 Drying β-lact；分配规则=mass</t>
        </is>
      </c>
      <c r="J114" t="inlineStr">
        <is>
          <t>日产工况（1天，kg/j 基准）</t>
        </is>
      </c>
      <c r="K114" t="inlineStr">
        <is>
          <t>FIXED</t>
        </is>
      </c>
      <c r="Q114" t="inlineStr">
        <is>
          <t>可直接比较</t>
        </is>
      </c>
      <c r="R114" t="inlineStr">
        <is>
          <t>不采用</t>
        </is>
      </c>
      <c r="S114" t="inlineStr">
        <is>
          <t>D-A1</t>
        </is>
      </c>
      <c r="T114" t="inlineStr">
        <is>
          <t>目标研究采用规则待定（Q-07）；候选全部保留；示意图层/分配参考数据，仅备查不作基准（2026-09-28用户指示）</t>
        </is>
      </c>
    </row>
    <row r="115">
      <c r="A115" t="inlineStr">
        <is>
          <t>CT-PA-AF-S17-DM-P1</t>
        </is>
      </c>
      <c r="B115" t="inlineStr">
        <is>
          <t>参数</t>
        </is>
      </c>
      <c r="C115" t="inlineStr">
        <is>
          <t>PA-AF-S17-DM-P1</t>
        </is>
      </c>
      <c r="D115" t="inlineStr">
        <is>
          <t>SRC-XLSX</t>
        </is>
      </c>
      <c r="E115" t="inlineStr">
        <is>
          <t>allocation_tables 行6（dry matter）</t>
        </is>
      </c>
      <c r="F115" t="inlineStr">
        <is>
          <t>dry matter → dry ingredient</t>
        </is>
      </c>
      <c r="G115" t="n">
        <v>1</v>
      </c>
      <c r="H115" t="inlineStr">
        <is>
          <t>fraction</t>
        </is>
      </c>
      <c r="I115" t="inlineStr">
        <is>
          <t>Step 17 Drying β-lact；分配规则=dry matter</t>
        </is>
      </c>
      <c r="J115" t="inlineStr">
        <is>
          <t>日产工况（1天，kg/j 基准）</t>
        </is>
      </c>
      <c r="K115" t="inlineStr">
        <is>
          <t>FIXED</t>
        </is>
      </c>
      <c r="Q115" t="inlineStr">
        <is>
          <t>可直接比较</t>
        </is>
      </c>
      <c r="R115" t="inlineStr">
        <is>
          <t>不采用</t>
        </is>
      </c>
      <c r="S115" t="inlineStr">
        <is>
          <t>D-A1</t>
        </is>
      </c>
      <c r="T115" t="inlineStr">
        <is>
          <t>目标研究采用规则待定（Q-07）；候选全部保留；示意图层/分配参考数据，仅备查不作基准（2026-09-28用户指示）</t>
        </is>
      </c>
    </row>
    <row r="116">
      <c r="A116" t="inlineStr">
        <is>
          <t>CT-PA-AF-S17-PRO-P1</t>
        </is>
      </c>
      <c r="B116" t="inlineStr">
        <is>
          <t>参数</t>
        </is>
      </c>
      <c r="C116" t="inlineStr">
        <is>
          <t>PA-AF-S17-PRO-P1</t>
        </is>
      </c>
      <c r="D116" t="inlineStr">
        <is>
          <t>SRC-XLSX</t>
        </is>
      </c>
      <c r="E116" t="inlineStr">
        <is>
          <t>allocation_tables 行7（protein）</t>
        </is>
      </c>
      <c r="F116" t="inlineStr">
        <is>
          <t>protein → dry ingredient</t>
        </is>
      </c>
      <c r="G116" t="n">
        <v>1</v>
      </c>
      <c r="H116" t="inlineStr">
        <is>
          <t>fraction</t>
        </is>
      </c>
      <c r="I116" t="inlineStr">
        <is>
          <t>Step 17 Drying β-lact；分配规则=protein</t>
        </is>
      </c>
      <c r="J116" t="inlineStr">
        <is>
          <t>日产工况（1天，kg/j 基准）</t>
        </is>
      </c>
      <c r="K116" t="inlineStr">
        <is>
          <t>FIXED</t>
        </is>
      </c>
      <c r="Q116" t="inlineStr">
        <is>
          <t>可直接比较</t>
        </is>
      </c>
      <c r="R116" t="inlineStr">
        <is>
          <t>不采用</t>
        </is>
      </c>
      <c r="S116" t="inlineStr">
        <is>
          <t>D-A1</t>
        </is>
      </c>
      <c r="T116" t="inlineStr">
        <is>
          <t>目标研究采用规则待定（Q-07）；候选全部保留；示意图层/分配参考数据，仅备查不作基准（2026-09-28用户指示）</t>
        </is>
      </c>
    </row>
    <row r="117">
      <c r="A117" t="inlineStr">
        <is>
          <t>CT-PA-AF-S17-ECO-P1</t>
        </is>
      </c>
      <c r="B117" t="inlineStr">
        <is>
          <t>参数</t>
        </is>
      </c>
      <c r="C117" t="inlineStr">
        <is>
          <t>PA-AF-S17-ECO-P1</t>
        </is>
      </c>
      <c r="D117" t="inlineStr">
        <is>
          <t>SRC-XLSX</t>
        </is>
      </c>
      <c r="E117" t="inlineStr">
        <is>
          <t>allocation_tables 行8（economic）</t>
        </is>
      </c>
      <c r="F117" t="inlineStr">
        <is>
          <t>economic → dry ingredient</t>
        </is>
      </c>
      <c r="G117" t="n">
        <v>1</v>
      </c>
      <c r="H117" t="inlineStr">
        <is>
          <t>fraction</t>
        </is>
      </c>
      <c r="I117" t="inlineStr">
        <is>
          <t>Step 17 Drying β-lact；分配规则=economic</t>
        </is>
      </c>
      <c r="J117" t="inlineStr">
        <is>
          <t>日产工况（1天，kg/j 基准）</t>
        </is>
      </c>
      <c r="K117" t="inlineStr">
        <is>
          <t>FIXED</t>
        </is>
      </c>
      <c r="Q117" t="inlineStr">
        <is>
          <t>可直接比较</t>
        </is>
      </c>
      <c r="R117" t="inlineStr">
        <is>
          <t>不采用</t>
        </is>
      </c>
      <c r="S117" t="inlineStr">
        <is>
          <t>D-A1</t>
        </is>
      </c>
      <c r="T117" t="inlineStr">
        <is>
          <t>目标研究采用规则待定（Q-07）；候选全部保留；示意图层/分配参考数据，仅备查不作基准（2026-09-28用户指示）</t>
        </is>
      </c>
    </row>
    <row r="118">
      <c r="A118" t="inlineStr">
        <is>
          <t>CT-PA-AF-S17-MASS-W17</t>
        </is>
      </c>
      <c r="B118" t="inlineStr">
        <is>
          <t>参数</t>
        </is>
      </c>
      <c r="C118" t="inlineStr">
        <is>
          <t>PA-AF-S17-MASS-W17</t>
        </is>
      </c>
      <c r="D118" t="inlineStr">
        <is>
          <t>SRC-XLSX</t>
        </is>
      </c>
      <c r="E118" t="inlineStr">
        <is>
          <t>allocation_tables 行5（mass）</t>
        </is>
      </c>
      <c r="F118" t="inlineStr">
        <is>
          <t>mass → water</t>
        </is>
      </c>
      <c r="G118" t="n">
        <v>0</v>
      </c>
      <c r="H118" t="inlineStr">
        <is>
          <t>fraction</t>
        </is>
      </c>
      <c r="I118" t="inlineStr">
        <is>
          <t>Step 17 Drying β-lact；分配规则=mass</t>
        </is>
      </c>
      <c r="J118" t="inlineStr">
        <is>
          <t>日产工况（1天，kg/j 基准）</t>
        </is>
      </c>
      <c r="K118" t="inlineStr">
        <is>
          <t>FIXED</t>
        </is>
      </c>
      <c r="Q118" t="inlineStr">
        <is>
          <t>可直接比较</t>
        </is>
      </c>
      <c r="R118" t="inlineStr">
        <is>
          <t>不采用</t>
        </is>
      </c>
      <c r="S118" t="inlineStr">
        <is>
          <t>D-A1</t>
        </is>
      </c>
      <c r="T118" t="inlineStr">
        <is>
          <t>目标研究采用规则待定（Q-07）；候选全部保留；示意图层/分配参考数据，仅备查不作基准（2026-09-28用户指示）</t>
        </is>
      </c>
    </row>
    <row r="119">
      <c r="A119" t="inlineStr">
        <is>
          <t>CT-PA-AF-S17-DM-W17</t>
        </is>
      </c>
      <c r="B119" t="inlineStr">
        <is>
          <t>参数</t>
        </is>
      </c>
      <c r="C119" t="inlineStr">
        <is>
          <t>PA-AF-S17-DM-W17</t>
        </is>
      </c>
      <c r="D119" t="inlineStr">
        <is>
          <t>SRC-XLSX</t>
        </is>
      </c>
      <c r="E119" t="inlineStr">
        <is>
          <t>allocation_tables 行6（dry matter）</t>
        </is>
      </c>
      <c r="F119" t="inlineStr">
        <is>
          <t>dry matter → water</t>
        </is>
      </c>
      <c r="G119" t="n">
        <v>0</v>
      </c>
      <c r="H119" t="inlineStr">
        <is>
          <t>fraction</t>
        </is>
      </c>
      <c r="I119" t="inlineStr">
        <is>
          <t>Step 17 Drying β-lact；分配规则=dry matter</t>
        </is>
      </c>
      <c r="J119" t="inlineStr">
        <is>
          <t>日产工况（1天，kg/j 基准）</t>
        </is>
      </c>
      <c r="K119" t="inlineStr">
        <is>
          <t>FIXED</t>
        </is>
      </c>
      <c r="Q119" t="inlineStr">
        <is>
          <t>可直接比较</t>
        </is>
      </c>
      <c r="R119" t="inlineStr">
        <is>
          <t>不采用</t>
        </is>
      </c>
      <c r="S119" t="inlineStr">
        <is>
          <t>D-A1</t>
        </is>
      </c>
      <c r="T119" t="inlineStr">
        <is>
          <t>目标研究采用规则待定（Q-07）；候选全部保留；示意图层/分配参考数据，仅备查不作基准（2026-09-28用户指示）</t>
        </is>
      </c>
    </row>
    <row r="120">
      <c r="A120" t="inlineStr">
        <is>
          <t>CT-PA-AF-S17-PRO-W17</t>
        </is>
      </c>
      <c r="B120" t="inlineStr">
        <is>
          <t>参数</t>
        </is>
      </c>
      <c r="C120" t="inlineStr">
        <is>
          <t>PA-AF-S17-PRO-W17</t>
        </is>
      </c>
      <c r="D120" t="inlineStr">
        <is>
          <t>SRC-XLSX</t>
        </is>
      </c>
      <c r="E120" t="inlineStr">
        <is>
          <t>allocation_tables 行7（protein）</t>
        </is>
      </c>
      <c r="F120" t="inlineStr">
        <is>
          <t>protein → water</t>
        </is>
      </c>
      <c r="G120" t="n">
        <v>0</v>
      </c>
      <c r="H120" t="inlineStr">
        <is>
          <t>fraction</t>
        </is>
      </c>
      <c r="I120" t="inlineStr">
        <is>
          <t>Step 17 Drying β-lact；分配规则=protein</t>
        </is>
      </c>
      <c r="J120" t="inlineStr">
        <is>
          <t>日产工况（1天，kg/j 基准）</t>
        </is>
      </c>
      <c r="K120" t="inlineStr">
        <is>
          <t>FIXED</t>
        </is>
      </c>
      <c r="Q120" t="inlineStr">
        <is>
          <t>可直接比较</t>
        </is>
      </c>
      <c r="R120" t="inlineStr">
        <is>
          <t>不采用</t>
        </is>
      </c>
      <c r="S120" t="inlineStr">
        <is>
          <t>D-A1</t>
        </is>
      </c>
      <c r="T120" t="inlineStr">
        <is>
          <t>目标研究采用规则待定（Q-07）；候选全部保留；示意图层/分配参考数据，仅备查不作基准（2026-09-28用户指示）</t>
        </is>
      </c>
    </row>
    <row r="121">
      <c r="A121" t="inlineStr">
        <is>
          <t>CT-PA-AF-S17-ECO-W17</t>
        </is>
      </c>
      <c r="B121" t="inlineStr">
        <is>
          <t>参数</t>
        </is>
      </c>
      <c r="C121" t="inlineStr">
        <is>
          <t>PA-AF-S17-ECO-W17</t>
        </is>
      </c>
      <c r="D121" t="inlineStr">
        <is>
          <t>SRC-XLSX</t>
        </is>
      </c>
      <c r="E121" t="inlineStr">
        <is>
          <t>allocation_tables 行8（economic）</t>
        </is>
      </c>
      <c r="F121" t="inlineStr">
        <is>
          <t>economic → water</t>
        </is>
      </c>
      <c r="G121" t="n">
        <v>0</v>
      </c>
      <c r="H121" t="inlineStr">
        <is>
          <t>fraction</t>
        </is>
      </c>
      <c r="I121" t="inlineStr">
        <is>
          <t>Step 17 Drying β-lact；分配规则=economic</t>
        </is>
      </c>
      <c r="J121" t="inlineStr">
        <is>
          <t>日产工况（1天，kg/j 基准）</t>
        </is>
      </c>
      <c r="K121" t="inlineStr">
        <is>
          <t>FIXED</t>
        </is>
      </c>
      <c r="Q121" t="inlineStr">
        <is>
          <t>可直接比较</t>
        </is>
      </c>
      <c r="R121" t="inlineStr">
        <is>
          <t>不采用</t>
        </is>
      </c>
      <c r="S121" t="inlineStr">
        <is>
          <t>D-A1</t>
        </is>
      </c>
      <c r="T121" t="inlineStr">
        <is>
          <t>目标研究采用规则待定（Q-07）；候选全部保留；示意图层/分配参考数据，仅备查不作基准（2026-09-28用户指示）</t>
        </is>
      </c>
    </row>
    <row r="122">
      <c r="A122" t="inlineStr">
        <is>
          <t>CT-PA-AF-S18-MASS-ACON</t>
        </is>
      </c>
      <c r="B122" t="inlineStr">
        <is>
          <t>参数</t>
        </is>
      </c>
      <c r="C122" t="inlineStr">
        <is>
          <t>PA-AF-S18-MASS-ACON</t>
        </is>
      </c>
      <c r="D122" t="inlineStr">
        <is>
          <t>SRC-XLSX</t>
        </is>
      </c>
      <c r="E122" t="inlineStr">
        <is>
          <t>allocation_tables 行5（mass）</t>
        </is>
      </c>
      <c r="F122" t="inlineStr">
        <is>
          <t>mass → concentrated α-lact fraction</t>
        </is>
      </c>
      <c r="G122" t="n">
        <v>1</v>
      </c>
      <c r="H122" t="inlineStr">
        <is>
          <t>fraction</t>
        </is>
      </c>
      <c r="I122" t="inlineStr">
        <is>
          <t>Step 18 UF/DF α-lact rich；分配规则=mass</t>
        </is>
      </c>
      <c r="J122" t="inlineStr">
        <is>
          <t>日产工况（1天，kg/j 基准）</t>
        </is>
      </c>
      <c r="K122" t="inlineStr">
        <is>
          <t>FIXED</t>
        </is>
      </c>
      <c r="Q122" t="inlineStr">
        <is>
          <t>可直接比较</t>
        </is>
      </c>
      <c r="R122" t="inlineStr">
        <is>
          <t>不采用</t>
        </is>
      </c>
      <c r="S122" t="inlineStr">
        <is>
          <t>D-A1</t>
        </is>
      </c>
      <c r="T122" t="inlineStr">
        <is>
          <t>目标研究采用规则待定（Q-07）；候选全部保留；示意图层/分配参考数据，仅备查不作基准（2026-09-28用户指示）</t>
        </is>
      </c>
    </row>
    <row r="123">
      <c r="A123" t="inlineStr">
        <is>
          <t>CT-PA-AF-S18-DM-ACON</t>
        </is>
      </c>
      <c r="B123" t="inlineStr">
        <is>
          <t>参数</t>
        </is>
      </c>
      <c r="C123" t="inlineStr">
        <is>
          <t>PA-AF-S18-DM-ACON</t>
        </is>
      </c>
      <c r="D123" t="inlineStr">
        <is>
          <t>SRC-XLSX</t>
        </is>
      </c>
      <c r="E123" t="inlineStr">
        <is>
          <t>allocation_tables 行6（dry matter）</t>
        </is>
      </c>
      <c r="F123" t="inlineStr">
        <is>
          <t>dry matter → concentrated α-lact fraction</t>
        </is>
      </c>
      <c r="G123" t="n">
        <v>1</v>
      </c>
      <c r="H123" t="inlineStr">
        <is>
          <t>fraction</t>
        </is>
      </c>
      <c r="I123" t="inlineStr">
        <is>
          <t>Step 18 UF/DF α-lact rich；分配规则=dry matter</t>
        </is>
      </c>
      <c r="J123" t="inlineStr">
        <is>
          <t>日产工况（1天，kg/j 基准）</t>
        </is>
      </c>
      <c r="K123" t="inlineStr">
        <is>
          <t>FIXED</t>
        </is>
      </c>
      <c r="Q123" t="inlineStr">
        <is>
          <t>可直接比较</t>
        </is>
      </c>
      <c r="R123" t="inlineStr">
        <is>
          <t>不采用</t>
        </is>
      </c>
      <c r="S123" t="inlineStr">
        <is>
          <t>D-A1</t>
        </is>
      </c>
      <c r="T123" t="inlineStr">
        <is>
          <t>目标研究采用规则待定（Q-07）；候选全部保留；示意图层/分配参考数据，仅备查不作基准（2026-09-28用户指示）</t>
        </is>
      </c>
    </row>
    <row r="124">
      <c r="A124" t="inlineStr">
        <is>
          <t>CT-PA-AF-S18-PRO-ACON</t>
        </is>
      </c>
      <c r="B124" t="inlineStr">
        <is>
          <t>参数</t>
        </is>
      </c>
      <c r="C124" t="inlineStr">
        <is>
          <t>PA-AF-S18-PRO-ACON</t>
        </is>
      </c>
      <c r="D124" t="inlineStr">
        <is>
          <t>SRC-XLSX</t>
        </is>
      </c>
      <c r="E124" t="inlineStr">
        <is>
          <t>allocation_tables 行7（protein）</t>
        </is>
      </c>
      <c r="F124" t="inlineStr">
        <is>
          <t>protein → concentrated α-lact fraction</t>
        </is>
      </c>
      <c r="G124" t="n">
        <v>1</v>
      </c>
      <c r="H124" t="inlineStr">
        <is>
          <t>fraction</t>
        </is>
      </c>
      <c r="I124" t="inlineStr">
        <is>
          <t>Step 18 UF/DF α-lact rich；分配规则=protein</t>
        </is>
      </c>
      <c r="J124" t="inlineStr">
        <is>
          <t>日产工况（1天，kg/j 基准）</t>
        </is>
      </c>
      <c r="K124" t="inlineStr">
        <is>
          <t>FIXED</t>
        </is>
      </c>
      <c r="Q124" t="inlineStr">
        <is>
          <t>可直接比较</t>
        </is>
      </c>
      <c r="R124" t="inlineStr">
        <is>
          <t>不采用</t>
        </is>
      </c>
      <c r="S124" t="inlineStr">
        <is>
          <t>D-A1</t>
        </is>
      </c>
      <c r="T124" t="inlineStr">
        <is>
          <t>目标研究采用规则待定（Q-07）；候选全部保留；示意图层/分配参考数据，仅备查不作基准（2026-09-28用户指示）</t>
        </is>
      </c>
    </row>
    <row r="125">
      <c r="A125" t="inlineStr">
        <is>
          <t>CT-PA-AF-S18-ECO-ACON</t>
        </is>
      </c>
      <c r="B125" t="inlineStr">
        <is>
          <t>参数</t>
        </is>
      </c>
      <c r="C125" t="inlineStr">
        <is>
          <t>PA-AF-S18-ECO-ACON</t>
        </is>
      </c>
      <c r="D125" t="inlineStr">
        <is>
          <t>SRC-XLSX</t>
        </is>
      </c>
      <c r="E125" t="inlineStr">
        <is>
          <t>allocation_tables 行8（economic）</t>
        </is>
      </c>
      <c r="F125" t="inlineStr">
        <is>
          <t>economic → concentrated α-lact fraction</t>
        </is>
      </c>
      <c r="G125" t="n">
        <v>1</v>
      </c>
      <c r="H125" t="inlineStr">
        <is>
          <t>fraction</t>
        </is>
      </c>
      <c r="I125" t="inlineStr">
        <is>
          <t>Step 18 UF/DF α-lact rich；分配规则=economic</t>
        </is>
      </c>
      <c r="J125" t="inlineStr">
        <is>
          <t>日产工况（1天，kg/j 基准）</t>
        </is>
      </c>
      <c r="K125" t="inlineStr">
        <is>
          <t>FIXED</t>
        </is>
      </c>
      <c r="Q125" t="inlineStr">
        <is>
          <t>可直接比较</t>
        </is>
      </c>
      <c r="R125" t="inlineStr">
        <is>
          <t>不采用</t>
        </is>
      </c>
      <c r="S125" t="inlineStr">
        <is>
          <t>D-A1</t>
        </is>
      </c>
      <c r="T125" t="inlineStr">
        <is>
          <t>目标研究采用规则待定（Q-07）；候选全部保留；示意图层/分配参考数据，仅备查不作基准（2026-09-28用户指示）</t>
        </is>
      </c>
    </row>
    <row r="126">
      <c r="A126" t="inlineStr">
        <is>
          <t>CT-PA-AF-S18-MASS-P18</t>
        </is>
      </c>
      <c r="B126" t="inlineStr">
        <is>
          <t>参数</t>
        </is>
      </c>
      <c r="C126" t="inlineStr">
        <is>
          <t>PA-AF-S18-MASS-P18</t>
        </is>
      </c>
      <c r="D126" t="inlineStr">
        <is>
          <t>SRC-XLSX</t>
        </is>
      </c>
      <c r="E126" t="inlineStr">
        <is>
          <t>allocation_tables 行5（mass）</t>
        </is>
      </c>
      <c r="F126" t="inlineStr">
        <is>
          <t>mass → permeate</t>
        </is>
      </c>
      <c r="G126" t="n">
        <v>0</v>
      </c>
      <c r="H126" t="inlineStr">
        <is>
          <t>fraction</t>
        </is>
      </c>
      <c r="I126" t="inlineStr">
        <is>
          <t>Step 18 UF/DF α-lact rich；分配规则=mass</t>
        </is>
      </c>
      <c r="J126" t="inlineStr">
        <is>
          <t>日产工况（1天，kg/j 基准）</t>
        </is>
      </c>
      <c r="K126" t="inlineStr">
        <is>
          <t>FIXED</t>
        </is>
      </c>
      <c r="Q126" t="inlineStr">
        <is>
          <t>可直接比较</t>
        </is>
      </c>
      <c r="R126" t="inlineStr">
        <is>
          <t>不采用</t>
        </is>
      </c>
      <c r="S126" t="inlineStr">
        <is>
          <t>D-A1</t>
        </is>
      </c>
      <c r="T126" t="inlineStr">
        <is>
          <t>目标研究采用规则待定（Q-07）；候选全部保留；示意图层/分配参考数据，仅备查不作基准（2026-09-28用户指示）</t>
        </is>
      </c>
    </row>
    <row r="127">
      <c r="A127" t="inlineStr">
        <is>
          <t>CT-PA-AF-S18-DM-P18</t>
        </is>
      </c>
      <c r="B127" t="inlineStr">
        <is>
          <t>参数</t>
        </is>
      </c>
      <c r="C127" t="inlineStr">
        <is>
          <t>PA-AF-S18-DM-P18</t>
        </is>
      </c>
      <c r="D127" t="inlineStr">
        <is>
          <t>SRC-XLSX</t>
        </is>
      </c>
      <c r="E127" t="inlineStr">
        <is>
          <t>allocation_tables 行6（dry matter）</t>
        </is>
      </c>
      <c r="F127" t="inlineStr">
        <is>
          <t>dry matter → permeate</t>
        </is>
      </c>
      <c r="G127" t="n">
        <v>0</v>
      </c>
      <c r="H127" t="inlineStr">
        <is>
          <t>fraction</t>
        </is>
      </c>
      <c r="I127" t="inlineStr">
        <is>
          <t>Step 18 UF/DF α-lact rich；分配规则=dry matter</t>
        </is>
      </c>
      <c r="J127" t="inlineStr">
        <is>
          <t>日产工况（1天，kg/j 基准）</t>
        </is>
      </c>
      <c r="K127" t="inlineStr">
        <is>
          <t>FIXED</t>
        </is>
      </c>
      <c r="Q127" t="inlineStr">
        <is>
          <t>可直接比较</t>
        </is>
      </c>
      <c r="R127" t="inlineStr">
        <is>
          <t>不采用</t>
        </is>
      </c>
      <c r="S127" t="inlineStr">
        <is>
          <t>D-A1</t>
        </is>
      </c>
      <c r="T127" t="inlineStr">
        <is>
          <t>目标研究采用规则待定（Q-07）；候选全部保留；示意图层/分配参考数据，仅备查不作基准（2026-09-28用户指示）</t>
        </is>
      </c>
    </row>
    <row r="128">
      <c r="A128" t="inlineStr">
        <is>
          <t>CT-PA-AF-S18-PRO-P18</t>
        </is>
      </c>
      <c r="B128" t="inlineStr">
        <is>
          <t>参数</t>
        </is>
      </c>
      <c r="C128" t="inlineStr">
        <is>
          <t>PA-AF-S18-PRO-P18</t>
        </is>
      </c>
      <c r="D128" t="inlineStr">
        <is>
          <t>SRC-XLSX</t>
        </is>
      </c>
      <c r="E128" t="inlineStr">
        <is>
          <t>allocation_tables 行7（protein）</t>
        </is>
      </c>
      <c r="F128" t="inlineStr">
        <is>
          <t>protein → permeate</t>
        </is>
      </c>
      <c r="G128" t="n">
        <v>0</v>
      </c>
      <c r="H128" t="inlineStr">
        <is>
          <t>fraction</t>
        </is>
      </c>
      <c r="I128" t="inlineStr">
        <is>
          <t>Step 18 UF/DF α-lact rich；分配规则=protein</t>
        </is>
      </c>
      <c r="J128" t="inlineStr">
        <is>
          <t>日产工况（1天，kg/j 基准）</t>
        </is>
      </c>
      <c r="K128" t="inlineStr">
        <is>
          <t>FIXED</t>
        </is>
      </c>
      <c r="Q128" t="inlineStr">
        <is>
          <t>可直接比较</t>
        </is>
      </c>
      <c r="R128" t="inlineStr">
        <is>
          <t>不采用</t>
        </is>
      </c>
      <c r="S128" t="inlineStr">
        <is>
          <t>D-A1</t>
        </is>
      </c>
      <c r="T128" t="inlineStr">
        <is>
          <t>目标研究采用规则待定（Q-07）；候选全部保留；示意图层/分配参考数据，仅备查不作基准（2026-09-28用户指示）</t>
        </is>
      </c>
    </row>
    <row r="129">
      <c r="A129" t="inlineStr">
        <is>
          <t>CT-PA-AF-S18-ECO-P18</t>
        </is>
      </c>
      <c r="B129" t="inlineStr">
        <is>
          <t>参数</t>
        </is>
      </c>
      <c r="C129" t="inlineStr">
        <is>
          <t>PA-AF-S18-ECO-P18</t>
        </is>
      </c>
      <c r="D129" t="inlineStr">
        <is>
          <t>SRC-XLSX</t>
        </is>
      </c>
      <c r="E129" t="inlineStr">
        <is>
          <t>allocation_tables 行8（economic）</t>
        </is>
      </c>
      <c r="F129" t="inlineStr">
        <is>
          <t>economic → permeate</t>
        </is>
      </c>
      <c r="G129" t="n">
        <v>0</v>
      </c>
      <c r="H129" t="inlineStr">
        <is>
          <t>fraction</t>
        </is>
      </c>
      <c r="I129" t="inlineStr">
        <is>
          <t>Step 18 UF/DF α-lact rich；分配规则=economic</t>
        </is>
      </c>
      <c r="J129" t="inlineStr">
        <is>
          <t>日产工况（1天，kg/j 基准）</t>
        </is>
      </c>
      <c r="K129" t="inlineStr">
        <is>
          <t>FIXED</t>
        </is>
      </c>
      <c r="Q129" t="inlineStr">
        <is>
          <t>可直接比较</t>
        </is>
      </c>
      <c r="R129" t="inlineStr">
        <is>
          <t>不采用</t>
        </is>
      </c>
      <c r="S129" t="inlineStr">
        <is>
          <t>D-A1</t>
        </is>
      </c>
      <c r="T129" t="inlineStr">
        <is>
          <t>目标研究采用规则待定（Q-07）；候选全部保留；示意图层/分配参考数据，仅备查不作基准（2026-09-28用户指示）</t>
        </is>
      </c>
    </row>
    <row r="130">
      <c r="A130" t="inlineStr">
        <is>
          <t>CT-PA-AF-S19-MASS-P2</t>
        </is>
      </c>
      <c r="B130" t="inlineStr">
        <is>
          <t>参数</t>
        </is>
      </c>
      <c r="C130" t="inlineStr">
        <is>
          <t>PA-AF-S19-MASS-P2</t>
        </is>
      </c>
      <c r="D130" t="inlineStr">
        <is>
          <t>SRC-XLSX</t>
        </is>
      </c>
      <c r="E130" t="inlineStr">
        <is>
          <t>allocation_tables 行5（mass）</t>
        </is>
      </c>
      <c r="F130" t="inlineStr">
        <is>
          <t>mass → dry ingredient</t>
        </is>
      </c>
      <c r="G130" t="n">
        <v>1</v>
      </c>
      <c r="H130" t="inlineStr">
        <is>
          <t>fraction</t>
        </is>
      </c>
      <c r="I130" t="inlineStr">
        <is>
          <t>Step 19 Drying α-lact；分配规则=mass</t>
        </is>
      </c>
      <c r="J130" t="inlineStr">
        <is>
          <t>日产工况（1天，kg/j 基准）</t>
        </is>
      </c>
      <c r="K130" t="inlineStr">
        <is>
          <t>FIXED</t>
        </is>
      </c>
      <c r="Q130" t="inlineStr">
        <is>
          <t>可直接比较</t>
        </is>
      </c>
      <c r="R130" t="inlineStr">
        <is>
          <t>不采用</t>
        </is>
      </c>
      <c r="S130" t="inlineStr">
        <is>
          <t>D-A1</t>
        </is>
      </c>
      <c r="T130" t="inlineStr">
        <is>
          <t>目标研究采用规则待定（Q-07）；候选全部保留；示意图层/分配参考数据，仅备查不作基准（2026-09-28用户指示）</t>
        </is>
      </c>
    </row>
    <row r="131">
      <c r="A131" t="inlineStr">
        <is>
          <t>CT-PA-AF-S19-DM-P2</t>
        </is>
      </c>
      <c r="B131" t="inlineStr">
        <is>
          <t>参数</t>
        </is>
      </c>
      <c r="C131" t="inlineStr">
        <is>
          <t>PA-AF-S19-DM-P2</t>
        </is>
      </c>
      <c r="D131" t="inlineStr">
        <is>
          <t>SRC-XLSX</t>
        </is>
      </c>
      <c r="E131" t="inlineStr">
        <is>
          <t>allocation_tables 行6（dry matter）</t>
        </is>
      </c>
      <c r="F131" t="inlineStr">
        <is>
          <t>dry matter → dry ingredient</t>
        </is>
      </c>
      <c r="G131" t="n">
        <v>1</v>
      </c>
      <c r="H131" t="inlineStr">
        <is>
          <t>fraction</t>
        </is>
      </c>
      <c r="I131" t="inlineStr">
        <is>
          <t>Step 19 Drying α-lact；分配规则=dry matter</t>
        </is>
      </c>
      <c r="J131" t="inlineStr">
        <is>
          <t>日产工况（1天，kg/j 基准）</t>
        </is>
      </c>
      <c r="K131" t="inlineStr">
        <is>
          <t>FIXED</t>
        </is>
      </c>
      <c r="Q131" t="inlineStr">
        <is>
          <t>可直接比较</t>
        </is>
      </c>
      <c r="R131" t="inlineStr">
        <is>
          <t>不采用</t>
        </is>
      </c>
      <c r="S131" t="inlineStr">
        <is>
          <t>D-A1</t>
        </is>
      </c>
      <c r="T131" t="inlineStr">
        <is>
          <t>目标研究采用规则待定（Q-07）；候选全部保留；示意图层/分配参考数据，仅备查不作基准（2026-09-28用户指示）</t>
        </is>
      </c>
    </row>
    <row r="132">
      <c r="A132" t="inlineStr">
        <is>
          <t>CT-PA-AF-S19-PRO-P2</t>
        </is>
      </c>
      <c r="B132" t="inlineStr">
        <is>
          <t>参数</t>
        </is>
      </c>
      <c r="C132" t="inlineStr">
        <is>
          <t>PA-AF-S19-PRO-P2</t>
        </is>
      </c>
      <c r="D132" t="inlineStr">
        <is>
          <t>SRC-XLSX</t>
        </is>
      </c>
      <c r="E132" t="inlineStr">
        <is>
          <t>allocation_tables 行7（protein）</t>
        </is>
      </c>
      <c r="F132" t="inlineStr">
        <is>
          <t>protein → dry ingredient</t>
        </is>
      </c>
      <c r="G132" t="n">
        <v>1</v>
      </c>
      <c r="H132" t="inlineStr">
        <is>
          <t>fraction</t>
        </is>
      </c>
      <c r="I132" t="inlineStr">
        <is>
          <t>Step 19 Drying α-lact；分配规则=protein</t>
        </is>
      </c>
      <c r="J132" t="inlineStr">
        <is>
          <t>日产工况（1天，kg/j 基准）</t>
        </is>
      </c>
      <c r="K132" t="inlineStr">
        <is>
          <t>FIXED</t>
        </is>
      </c>
      <c r="Q132" t="inlineStr">
        <is>
          <t>可直接比较</t>
        </is>
      </c>
      <c r="R132" t="inlineStr">
        <is>
          <t>不采用</t>
        </is>
      </c>
      <c r="S132" t="inlineStr">
        <is>
          <t>D-A1</t>
        </is>
      </c>
      <c r="T132" t="inlineStr">
        <is>
          <t>目标研究采用规则待定（Q-07）；候选全部保留；示意图层/分配参考数据，仅备查不作基准（2026-09-28用户指示）</t>
        </is>
      </c>
    </row>
    <row r="133">
      <c r="A133" t="inlineStr">
        <is>
          <t>CT-PA-AF-S19-ECO-P2</t>
        </is>
      </c>
      <c r="B133" t="inlineStr">
        <is>
          <t>参数</t>
        </is>
      </c>
      <c r="C133" t="inlineStr">
        <is>
          <t>PA-AF-S19-ECO-P2</t>
        </is>
      </c>
      <c r="D133" t="inlineStr">
        <is>
          <t>SRC-XLSX</t>
        </is>
      </c>
      <c r="E133" t="inlineStr">
        <is>
          <t>allocation_tables 行8（economic）</t>
        </is>
      </c>
      <c r="F133" t="inlineStr">
        <is>
          <t>economic → dry ingredient</t>
        </is>
      </c>
      <c r="G133" t="n">
        <v>1</v>
      </c>
      <c r="H133" t="inlineStr">
        <is>
          <t>fraction</t>
        </is>
      </c>
      <c r="I133" t="inlineStr">
        <is>
          <t>Step 19 Drying α-lact；分配规则=economic</t>
        </is>
      </c>
      <c r="J133" t="inlineStr">
        <is>
          <t>日产工况（1天，kg/j 基准）</t>
        </is>
      </c>
      <c r="K133" t="inlineStr">
        <is>
          <t>FIXED</t>
        </is>
      </c>
      <c r="Q133" t="inlineStr">
        <is>
          <t>可直接比较</t>
        </is>
      </c>
      <c r="R133" t="inlineStr">
        <is>
          <t>不采用</t>
        </is>
      </c>
      <c r="S133" t="inlineStr">
        <is>
          <t>D-A1</t>
        </is>
      </c>
      <c r="T133" t="inlineStr">
        <is>
          <t>目标研究采用规则待定（Q-07）；候选全部保留；示意图层/分配参考数据，仅备查不作基准（2026-09-28用户指示）</t>
        </is>
      </c>
    </row>
    <row r="134">
      <c r="A134" t="inlineStr">
        <is>
          <t>CT-PA-AF-S19-MASS-W19</t>
        </is>
      </c>
      <c r="B134" t="inlineStr">
        <is>
          <t>参数</t>
        </is>
      </c>
      <c r="C134" t="inlineStr">
        <is>
          <t>PA-AF-S19-MASS-W19</t>
        </is>
      </c>
      <c r="D134" t="inlineStr">
        <is>
          <t>SRC-XLSX</t>
        </is>
      </c>
      <c r="E134" t="inlineStr">
        <is>
          <t>allocation_tables 行5（mass）</t>
        </is>
      </c>
      <c r="F134" t="inlineStr">
        <is>
          <t>mass → water</t>
        </is>
      </c>
      <c r="G134" t="n">
        <v>0</v>
      </c>
      <c r="H134" t="inlineStr">
        <is>
          <t>fraction</t>
        </is>
      </c>
      <c r="I134" t="inlineStr">
        <is>
          <t>Step 19 Drying α-lact；分配规则=mass</t>
        </is>
      </c>
      <c r="J134" t="inlineStr">
        <is>
          <t>日产工况（1天，kg/j 基准）</t>
        </is>
      </c>
      <c r="K134" t="inlineStr">
        <is>
          <t>FIXED</t>
        </is>
      </c>
      <c r="Q134" t="inlineStr">
        <is>
          <t>可直接比较</t>
        </is>
      </c>
      <c r="R134" t="inlineStr">
        <is>
          <t>不采用</t>
        </is>
      </c>
      <c r="S134" t="inlineStr">
        <is>
          <t>D-A1</t>
        </is>
      </c>
      <c r="T134" t="inlineStr">
        <is>
          <t>目标研究采用规则待定（Q-07）；候选全部保留；示意图层/分配参考数据，仅备查不作基准（2026-09-28用户指示）</t>
        </is>
      </c>
    </row>
    <row r="135">
      <c r="A135" t="inlineStr">
        <is>
          <t>CT-PA-AF-S19-DM-W19</t>
        </is>
      </c>
      <c r="B135" t="inlineStr">
        <is>
          <t>参数</t>
        </is>
      </c>
      <c r="C135" t="inlineStr">
        <is>
          <t>PA-AF-S19-DM-W19</t>
        </is>
      </c>
      <c r="D135" t="inlineStr">
        <is>
          <t>SRC-XLSX</t>
        </is>
      </c>
      <c r="E135" t="inlineStr">
        <is>
          <t>allocation_tables 行6（dry matter）</t>
        </is>
      </c>
      <c r="F135" t="inlineStr">
        <is>
          <t>dry matter → water</t>
        </is>
      </c>
      <c r="G135" t="n">
        <v>0</v>
      </c>
      <c r="H135" t="inlineStr">
        <is>
          <t>fraction</t>
        </is>
      </c>
      <c r="I135" t="inlineStr">
        <is>
          <t>Step 19 Drying α-lact；分配规则=dry matter</t>
        </is>
      </c>
      <c r="J135" t="inlineStr">
        <is>
          <t>日产工况（1天，kg/j 基准）</t>
        </is>
      </c>
      <c r="K135" t="inlineStr">
        <is>
          <t>FIXED</t>
        </is>
      </c>
      <c r="Q135" t="inlineStr">
        <is>
          <t>可直接比较</t>
        </is>
      </c>
      <c r="R135" t="inlineStr">
        <is>
          <t>不采用</t>
        </is>
      </c>
      <c r="S135" t="inlineStr">
        <is>
          <t>D-A1</t>
        </is>
      </c>
      <c r="T135" t="inlineStr">
        <is>
          <t>目标研究采用规则待定（Q-07）；候选全部保留；示意图层/分配参考数据，仅备查不作基准（2026-09-28用户指示）</t>
        </is>
      </c>
    </row>
    <row r="136">
      <c r="A136" t="inlineStr">
        <is>
          <t>CT-PA-AF-S19-PRO-W19</t>
        </is>
      </c>
      <c r="B136" t="inlineStr">
        <is>
          <t>参数</t>
        </is>
      </c>
      <c r="C136" t="inlineStr">
        <is>
          <t>PA-AF-S19-PRO-W19</t>
        </is>
      </c>
      <c r="D136" t="inlineStr">
        <is>
          <t>SRC-XLSX</t>
        </is>
      </c>
      <c r="E136" t="inlineStr">
        <is>
          <t>allocation_tables 行7（protein）</t>
        </is>
      </c>
      <c r="F136" t="inlineStr">
        <is>
          <t>protein → water</t>
        </is>
      </c>
      <c r="G136" t="n">
        <v>0</v>
      </c>
      <c r="H136" t="inlineStr">
        <is>
          <t>fraction</t>
        </is>
      </c>
      <c r="I136" t="inlineStr">
        <is>
          <t>Step 19 Drying α-lact；分配规则=protein</t>
        </is>
      </c>
      <c r="J136" t="inlineStr">
        <is>
          <t>日产工况（1天，kg/j 基准）</t>
        </is>
      </c>
      <c r="K136" t="inlineStr">
        <is>
          <t>FIXED</t>
        </is>
      </c>
      <c r="Q136" t="inlineStr">
        <is>
          <t>可直接比较</t>
        </is>
      </c>
      <c r="R136" t="inlineStr">
        <is>
          <t>不采用</t>
        </is>
      </c>
      <c r="S136" t="inlineStr">
        <is>
          <t>D-A1</t>
        </is>
      </c>
      <c r="T136" t="inlineStr">
        <is>
          <t>目标研究采用规则待定（Q-07）；候选全部保留；示意图层/分配参考数据，仅备查不作基准（2026-09-28用户指示）</t>
        </is>
      </c>
    </row>
    <row r="137">
      <c r="A137" t="inlineStr">
        <is>
          <t>CT-PA-AF-S19-ECO-W19</t>
        </is>
      </c>
      <c r="B137" t="inlineStr">
        <is>
          <t>参数</t>
        </is>
      </c>
      <c r="C137" t="inlineStr">
        <is>
          <t>PA-AF-S19-ECO-W19</t>
        </is>
      </c>
      <c r="D137" t="inlineStr">
        <is>
          <t>SRC-XLSX</t>
        </is>
      </c>
      <c r="E137" t="inlineStr">
        <is>
          <t>allocation_tables 行8（economic）</t>
        </is>
      </c>
      <c r="F137" t="inlineStr">
        <is>
          <t>economic → water</t>
        </is>
      </c>
      <c r="G137" t="n">
        <v>0</v>
      </c>
      <c r="H137" t="inlineStr">
        <is>
          <t>fraction</t>
        </is>
      </c>
      <c r="I137" t="inlineStr">
        <is>
          <t>Step 19 Drying α-lact；分配规则=economic</t>
        </is>
      </c>
      <c r="J137" t="inlineStr">
        <is>
          <t>日产工况（1天，kg/j 基准）</t>
        </is>
      </c>
      <c r="K137" t="inlineStr">
        <is>
          <t>FIXED</t>
        </is>
      </c>
      <c r="Q137" t="inlineStr">
        <is>
          <t>可直接比较</t>
        </is>
      </c>
      <c r="R137" t="inlineStr">
        <is>
          <t>不采用</t>
        </is>
      </c>
      <c r="S137" t="inlineStr">
        <is>
          <t>D-A1</t>
        </is>
      </c>
      <c r="T137" t="inlineStr">
        <is>
          <t>目标研究采用规则待定（Q-07）；候选全部保留；示意图层/分配参考数据，仅备查不作基准（2026-09-28用户指示）</t>
        </is>
      </c>
    </row>
    <row r="138">
      <c r="A138" t="inlineStr">
        <is>
          <t>CT-FL-RM</t>
        </is>
      </c>
      <c r="B138" t="inlineStr">
        <is>
          <t>流</t>
        </is>
      </c>
      <c r="C138" t="inlineStr">
        <is>
          <t>FL-RM</t>
        </is>
      </c>
      <c r="D138" t="inlineStr">
        <is>
          <t>SRC-PDF</t>
        </is>
      </c>
      <c r="E138" t="inlineStr">
        <is>
          <t>p1 Raw milk 框</t>
        </is>
      </c>
      <c r="F138" t="inlineStr">
        <is>
          <t>m</t>
        </is>
      </c>
      <c r="G138" t="n">
        <v>600490</v>
      </c>
      <c r="H138" t="inlineStr">
        <is>
          <t>kg/j</t>
        </is>
      </c>
      <c r="I138" t="inlineStr">
        <is>
          <t>1天生产基准</t>
        </is>
      </c>
      <c r="J138" t="inlineStr">
        <is>
          <t>日产工况（1天，kg/j 基准）</t>
        </is>
      </c>
      <c r="K138" t="inlineStr">
        <is>
          <t>FIXED</t>
        </is>
      </c>
      <c r="Q138" t="inlineStr">
        <is>
          <t>可直接比较</t>
        </is>
      </c>
      <c r="R138" t="inlineStr">
        <is>
          <t>不采用</t>
        </is>
      </c>
      <c r="S138" t="inlineStr">
        <is>
          <t>D-A1</t>
        </is>
      </c>
      <c r="T138" t="inlineStr">
        <is>
          <t>原料奶；示意图层质量换算值，仅参考不作基准（2026-09-28用户指示）</t>
        </is>
      </c>
    </row>
    <row r="139">
      <c r="A139" t="inlineStr">
        <is>
          <t>CT-FL-SKIM</t>
        </is>
      </c>
      <c r="B139" t="inlineStr">
        <is>
          <t>流</t>
        </is>
      </c>
      <c r="C139" t="inlineStr">
        <is>
          <t>FL-SKIM</t>
        </is>
      </c>
      <c r="D139" t="inlineStr">
        <is>
          <t>SRC-PDF</t>
        </is>
      </c>
      <c r="E139" t="inlineStr">
        <is>
          <t>p1 Skimmed milk 框</t>
        </is>
      </c>
      <c r="F139" t="inlineStr">
        <is>
          <t>m</t>
        </is>
      </c>
      <c r="G139" t="n">
        <v>537075</v>
      </c>
      <c r="H139" t="inlineStr">
        <is>
          <t>kg/j</t>
        </is>
      </c>
      <c r="I139" t="inlineStr">
        <is>
          <t>1天生产基准</t>
        </is>
      </c>
      <c r="J139" t="inlineStr">
        <is>
          <t>日产工况（1天，kg/j 基准）</t>
        </is>
      </c>
      <c r="K139" t="inlineStr">
        <is>
          <t>FIXED</t>
        </is>
      </c>
      <c r="Q139" t="inlineStr">
        <is>
          <t>可直接比较</t>
        </is>
      </c>
      <c r="R139" t="inlineStr">
        <is>
          <t>不采用</t>
        </is>
      </c>
      <c r="S139" t="inlineStr">
        <is>
          <t>D-A1</t>
        </is>
      </c>
      <c r="T139" t="inlineStr">
        <is>
          <t>脱脂奶；示意图层质量换算值，仅参考不作基准（2026-09-28用户指示）</t>
        </is>
      </c>
    </row>
    <row r="140">
      <c r="A140" t="inlineStr">
        <is>
          <t>CT-FL-CREAM</t>
        </is>
      </c>
      <c r="B140" t="inlineStr">
        <is>
          <t>流</t>
        </is>
      </c>
      <c r="C140" t="inlineStr">
        <is>
          <t>FL-CREAM</t>
        </is>
      </c>
      <c r="D140" t="inlineStr">
        <is>
          <t>SRC-PDF</t>
        </is>
      </c>
      <c r="E140" t="inlineStr">
        <is>
          <t>p1 Raw cream 框</t>
        </is>
      </c>
      <c r="F140" t="inlineStr">
        <is>
          <t>m</t>
        </is>
      </c>
      <c r="G140" t="n">
        <v>56883</v>
      </c>
      <c r="H140" t="inlineStr">
        <is>
          <t>kg/j</t>
        </is>
      </c>
      <c r="I140" t="inlineStr">
        <is>
          <t>1天生产基准</t>
        </is>
      </c>
      <c r="J140" t="inlineStr">
        <is>
          <t>日产工况（1天，kg/j 基准）</t>
        </is>
      </c>
      <c r="K140" t="inlineStr">
        <is>
          <t>FIXED</t>
        </is>
      </c>
      <c r="Q140" t="inlineStr">
        <is>
          <t>可直接比较</t>
        </is>
      </c>
      <c r="R140" t="inlineStr">
        <is>
          <t>不采用</t>
        </is>
      </c>
      <c r="S140" t="inlineStr">
        <is>
          <t>D-A1</t>
        </is>
      </c>
      <c r="T140" t="inlineStr">
        <is>
          <t>稀奶油；示意图层质量换算值，仅参考不作基准（2026-09-28用户指示）</t>
        </is>
      </c>
    </row>
    <row r="141">
      <c r="A141" t="inlineStr">
        <is>
          <t>CT-FL-CAS</t>
        </is>
      </c>
      <c r="B141" t="inlineStr">
        <is>
          <t>流</t>
        </is>
      </c>
      <c r="C141" t="inlineStr">
        <is>
          <t>FL-CAS</t>
        </is>
      </c>
      <c r="D141" t="inlineStr">
        <is>
          <t>SRC-PDF</t>
        </is>
      </c>
      <c r="E141" t="inlineStr">
        <is>
          <t>p1 Retentate casein micelles 框</t>
        </is>
      </c>
      <c r="F141" t="inlineStr">
        <is>
          <t>m</t>
        </is>
      </c>
      <c r="G141" t="n">
        <v>182875</v>
      </c>
      <c r="H141" t="inlineStr">
        <is>
          <t>kg/j</t>
        </is>
      </c>
      <c r="I141" t="inlineStr">
        <is>
          <t>1天生产基准</t>
        </is>
      </c>
      <c r="J141" t="inlineStr">
        <is>
          <t>日产工况（1天，kg/j 基准）</t>
        </is>
      </c>
      <c r="K141" t="inlineStr">
        <is>
          <t>FIXED</t>
        </is>
      </c>
      <c r="Q141" t="inlineStr">
        <is>
          <t>可直接比较</t>
        </is>
      </c>
      <c r="R141" t="inlineStr">
        <is>
          <t>不采用</t>
        </is>
      </c>
      <c r="S141" t="inlineStr">
        <is>
          <t>D-A1</t>
        </is>
      </c>
      <c r="T141" t="inlineStr">
        <is>
          <t>胶束酪蛋白；示意图层质量换算值，仅参考不作基准（2026-09-28用户指示）</t>
        </is>
      </c>
    </row>
    <row r="142">
      <c r="A142" t="inlineStr">
        <is>
          <t>CT-FL-WHEY</t>
        </is>
      </c>
      <c r="B142" t="inlineStr">
        <is>
          <t>流</t>
        </is>
      </c>
      <c r="C142" t="inlineStr">
        <is>
          <t>FL-WHEY</t>
        </is>
      </c>
      <c r="D142" t="inlineStr">
        <is>
          <t>SRC-PDF</t>
        </is>
      </c>
      <c r="E142" t="inlineStr">
        <is>
          <t>p1 Permeate whey 框</t>
        </is>
      </c>
      <c r="F142" t="inlineStr">
        <is>
          <t>m</t>
        </is>
      </c>
      <c r="G142" t="n">
        <v>354900</v>
      </c>
      <c r="H142" t="inlineStr">
        <is>
          <t>kg/j</t>
        </is>
      </c>
      <c r="I142" t="inlineStr">
        <is>
          <t>1天生产基准</t>
        </is>
      </c>
      <c r="J142" t="inlineStr">
        <is>
          <t>日产工况（1天，kg/j 基准）</t>
        </is>
      </c>
      <c r="K142" t="inlineStr">
        <is>
          <t>FIXED</t>
        </is>
      </c>
      <c r="Q142" t="inlineStr">
        <is>
          <t>可直接比较</t>
        </is>
      </c>
      <c r="R142" t="inlineStr">
        <is>
          <t>不采用</t>
        </is>
      </c>
      <c r="S142" t="inlineStr">
        <is>
          <t>D-A1</t>
        </is>
      </c>
      <c r="T142" t="inlineStr">
        <is>
          <t>乳清（MF1渗透液）；示意图层质量换算值，仅参考不作基准（2026-09-28用户指示）</t>
        </is>
      </c>
    </row>
    <row r="143">
      <c r="A143" t="inlineStr">
        <is>
          <t>CT-FL-WPI</t>
        </is>
      </c>
      <c r="B143" t="inlineStr">
        <is>
          <t>流</t>
        </is>
      </c>
      <c r="C143" t="inlineStr">
        <is>
          <t>FL-WPI</t>
        </is>
      </c>
      <c r="D143" t="inlineStr">
        <is>
          <t>SRC-PDF</t>
        </is>
      </c>
      <c r="E143" t="inlineStr">
        <is>
          <t>p1 Retentate WPI 框</t>
        </is>
      </c>
      <c r="F143" t="inlineStr">
        <is>
          <t>m</t>
        </is>
      </c>
      <c r="G143" t="n">
        <v>12004.2</v>
      </c>
      <c r="H143" t="inlineStr">
        <is>
          <t>kg/j</t>
        </is>
      </c>
      <c r="I143" t="inlineStr">
        <is>
          <t>1天生产基准</t>
        </is>
      </c>
      <c r="J143" t="inlineStr">
        <is>
          <t>日产工况（1天，kg/j 基准）</t>
        </is>
      </c>
      <c r="K143" t="inlineStr">
        <is>
          <t>FIXED</t>
        </is>
      </c>
      <c r="Q143" t="inlineStr">
        <is>
          <t>可直接比较</t>
        </is>
      </c>
      <c r="R143" t="inlineStr">
        <is>
          <t>不采用</t>
        </is>
      </c>
      <c r="S143" t="inlineStr">
        <is>
          <t>D-A1</t>
        </is>
      </c>
      <c r="T143" t="inlineStr">
        <is>
          <t>WPI浓缩液；示意图层质量换算值，仅参考不作基准（2026-09-28用户指示）</t>
        </is>
      </c>
    </row>
    <row r="144">
      <c r="A144" t="inlineStr">
        <is>
          <t>CT-FL-LACP</t>
        </is>
      </c>
      <c r="B144" t="inlineStr">
        <is>
          <t>流</t>
        </is>
      </c>
      <c r="C144" t="inlineStr">
        <is>
          <t>FL-LACP</t>
        </is>
      </c>
      <c r="D144" t="inlineStr">
        <is>
          <t>SRC-PDF</t>
        </is>
      </c>
      <c r="E144" t="inlineStr">
        <is>
          <t>p1 Permeate lactose 框</t>
        </is>
      </c>
      <c r="F144" t="inlineStr">
        <is>
          <t>m</t>
        </is>
      </c>
      <c r="G144" t="n">
        <v>406115.6</v>
      </c>
      <c r="H144" t="inlineStr">
        <is>
          <t>kg/j</t>
        </is>
      </c>
      <c r="I144" t="inlineStr">
        <is>
          <t>1天生产基准</t>
        </is>
      </c>
      <c r="J144" t="inlineStr">
        <is>
          <t>日产工况（1天，kg/j 基准）</t>
        </is>
      </c>
      <c r="K144" t="inlineStr">
        <is>
          <t>FIXED</t>
        </is>
      </c>
      <c r="Q144" t="inlineStr">
        <is>
          <t>可直接比较</t>
        </is>
      </c>
      <c r="R144" t="inlineStr">
        <is>
          <t>不采用</t>
        </is>
      </c>
      <c r="S144" t="inlineStr">
        <is>
          <t>D-A1</t>
        </is>
      </c>
      <c r="T144" t="inlineStr">
        <is>
          <t>乳糖渗透液；示意图层质量换算值，仅参考不作基准（2026-09-28用户指示）</t>
        </is>
      </c>
    </row>
    <row r="145">
      <c r="A145" t="inlineStr">
        <is>
          <t>CT-FL-OSM</t>
        </is>
      </c>
      <c r="B145" t="inlineStr">
        <is>
          <t>流</t>
        </is>
      </c>
      <c r="C145" t="inlineStr">
        <is>
          <t>FL-OSM</t>
        </is>
      </c>
      <c r="D145" t="inlineStr">
        <is>
          <t>SRC-PDF</t>
        </is>
      </c>
      <c r="E145" t="inlineStr">
        <is>
          <t>p1 Osmosate 框</t>
        </is>
      </c>
      <c r="F145" t="inlineStr">
        <is>
          <t>m</t>
        </is>
      </c>
      <c r="G145" t="n">
        <v>316000</v>
      </c>
      <c r="H145" t="inlineStr">
        <is>
          <t>kg/j</t>
        </is>
      </c>
      <c r="I145" t="inlineStr">
        <is>
          <t>1天生产基准</t>
        </is>
      </c>
      <c r="J145" t="inlineStr">
        <is>
          <t>日产工况（1天，kg/j 基准）</t>
        </is>
      </c>
      <c r="K145" t="inlineStr">
        <is>
          <t>FIXED</t>
        </is>
      </c>
      <c r="Q145" t="inlineStr">
        <is>
          <t>可直接比较</t>
        </is>
      </c>
      <c r="R145" t="inlineStr">
        <is>
          <t>不采用</t>
        </is>
      </c>
      <c r="S145" t="inlineStr">
        <is>
          <t>D-A1</t>
        </is>
      </c>
      <c r="T145" t="inlineStr">
        <is>
          <t>渗透水（osmosate）；示意图层质量换算值，仅参考不作基准（2026-09-28用户指示）</t>
        </is>
      </c>
    </row>
    <row r="146">
      <c r="A146" t="inlineStr">
        <is>
          <t>CT-FL-LAC</t>
        </is>
      </c>
      <c r="B146" t="inlineStr">
        <is>
          <t>流</t>
        </is>
      </c>
      <c r="C146" t="inlineStr">
        <is>
          <t>FL-LAC</t>
        </is>
      </c>
      <c r="D146" t="inlineStr">
        <is>
          <t>SRC-PDF</t>
        </is>
      </c>
      <c r="E146" t="inlineStr">
        <is>
          <t>p1 Lactose 框</t>
        </is>
      </c>
      <c r="F146" t="inlineStr">
        <is>
          <t>m</t>
        </is>
      </c>
      <c r="G146" t="n">
        <v>90115.60000000001</v>
      </c>
      <c r="H146" t="inlineStr">
        <is>
          <t>kg/j</t>
        </is>
      </c>
      <c r="I146" t="inlineStr">
        <is>
          <t>1天生产基准</t>
        </is>
      </c>
      <c r="J146" t="inlineStr">
        <is>
          <t>日产工况（1天，kg/j 基准）</t>
        </is>
      </c>
      <c r="K146" t="inlineStr">
        <is>
          <t>FIXED</t>
        </is>
      </c>
      <c r="Q146" t="inlineStr">
        <is>
          <t>可直接比较</t>
        </is>
      </c>
      <c r="R146" t="inlineStr">
        <is>
          <t>不采用</t>
        </is>
      </c>
      <c r="S146" t="inlineStr">
        <is>
          <t>D-A1</t>
        </is>
      </c>
      <c r="T146" t="inlineStr">
        <is>
          <t>浓缩乳糖；示意图层质量换算值，仅参考不作基准（2026-09-28用户指示）</t>
        </is>
      </c>
    </row>
    <row r="147">
      <c r="A147" t="inlineStr">
        <is>
          <t>CT-FL-W08</t>
        </is>
      </c>
      <c r="B147" t="inlineStr">
        <is>
          <t>流</t>
        </is>
      </c>
      <c r="C147" t="inlineStr">
        <is>
          <t>FL-W08</t>
        </is>
      </c>
      <c r="D147" t="inlineStr">
        <is>
          <t>SRC-PDF</t>
        </is>
      </c>
      <c r="E147" t="inlineStr">
        <is>
          <t>p1 步骤8 Water(63m³/day)</t>
        </is>
      </c>
      <c r="F147" t="inlineStr">
        <is>
          <t>m</t>
        </is>
      </c>
      <c r="G147" t="n">
        <v>63000</v>
      </c>
      <c r="H147" t="inlineStr">
        <is>
          <t>kg/j</t>
        </is>
      </c>
      <c r="I147" t="inlineStr">
        <is>
          <t>1天生产基准</t>
        </is>
      </c>
      <c r="J147" t="inlineStr">
        <is>
          <t>日产工况（1天，kg/j 基准）</t>
        </is>
      </c>
      <c r="K147" t="inlineStr">
        <is>
          <t>FIXED</t>
        </is>
      </c>
      <c r="Q147" t="inlineStr">
        <is>
          <t>可直接比较</t>
        </is>
      </c>
      <c r="R147" t="inlineStr">
        <is>
          <t>不采用</t>
        </is>
      </c>
      <c r="S147" t="inlineStr">
        <is>
          <t>D-A1</t>
        </is>
      </c>
      <c r="T147" t="inlineStr">
        <is>
          <t>UF10透析加水；示意图层质量换算值，仅参考不作基准（2026-09-28用户指示）</t>
        </is>
      </c>
    </row>
    <row r="148">
      <c r="A148" t="inlineStr">
        <is>
          <t>CT-VOL-RM</t>
        </is>
      </c>
      <c r="B148" t="inlineStr">
        <is>
          <t>流</t>
        </is>
      </c>
      <c r="C148" t="inlineStr">
        <is>
          <t>FL-RM</t>
        </is>
      </c>
      <c r="D148" t="inlineStr">
        <is>
          <t>SRC-RAW</t>
        </is>
      </c>
      <c r="E148" t="inlineStr">
        <is>
          <t>对应步骤表 Materials/Outputs 段</t>
        </is>
      </c>
      <c r="F148" t="inlineStr">
        <is>
          <t>V</t>
        </is>
      </c>
      <c r="G148" t="n">
        <v>583</v>
      </c>
      <c r="H148" t="inlineStr">
        <is>
          <t>m3/d</t>
        </is>
      </c>
      <c r="I148" t="inlineStr">
        <is>
          <t>1天生产体积基准</t>
        </is>
      </c>
      <c r="J148" t="inlineStr">
        <is>
          <t>1天生产工况</t>
        </is>
      </c>
      <c r="K148" t="inlineStr">
        <is>
          <t>FIXED</t>
        </is>
      </c>
      <c r="Q148" t="inlineStr">
        <is>
          <t>可直接比较</t>
        </is>
      </c>
      <c r="R148" t="inlineStr">
        <is>
          <t>采用</t>
        </is>
      </c>
      <c r="S148" t="inlineStr">
        <is>
          <t>D-A2</t>
        </is>
      </c>
      <c r="T148" t="inlineStr">
        <is>
          <t>原始版权威基准；衍生版质量=体积×密度（密度为衍生版标注）</t>
        </is>
      </c>
    </row>
    <row r="149">
      <c r="A149" t="inlineStr">
        <is>
          <t>CT-VOL-SKIM</t>
        </is>
      </c>
      <c r="B149" t="inlineStr">
        <is>
          <t>流</t>
        </is>
      </c>
      <c r="C149" t="inlineStr">
        <is>
          <t>FL-SKIM</t>
        </is>
      </c>
      <c r="D149" t="inlineStr">
        <is>
          <t>SRC-RAW</t>
        </is>
      </c>
      <c r="E149" t="inlineStr">
        <is>
          <t>对应步骤表 Materials/Outputs 段</t>
        </is>
      </c>
      <c r="F149" t="inlineStr">
        <is>
          <t>V</t>
        </is>
      </c>
      <c r="G149" t="n">
        <v>525</v>
      </c>
      <c r="H149" t="inlineStr">
        <is>
          <t>m3/d</t>
        </is>
      </c>
      <c r="I149" t="inlineStr">
        <is>
          <t>1天生产体积基准</t>
        </is>
      </c>
      <c r="J149" t="inlineStr">
        <is>
          <t>1天生产工况</t>
        </is>
      </c>
      <c r="K149" t="inlineStr">
        <is>
          <t>FIXED</t>
        </is>
      </c>
      <c r="Q149" t="inlineStr">
        <is>
          <t>可直接比较</t>
        </is>
      </c>
      <c r="R149" t="inlineStr">
        <is>
          <t>采用</t>
        </is>
      </c>
      <c r="S149" t="inlineStr">
        <is>
          <t>D-A2</t>
        </is>
      </c>
      <c r="T149" t="inlineStr">
        <is>
          <t>原始版权威基准；衍生版质量=体积×密度（密度为衍生版标注）</t>
        </is>
      </c>
    </row>
    <row r="150">
      <c r="A150" t="inlineStr">
        <is>
          <t>CT-VOL-CREAM</t>
        </is>
      </c>
      <c r="B150" t="inlineStr">
        <is>
          <t>流</t>
        </is>
      </c>
      <c r="C150" t="inlineStr">
        <is>
          <t>FL-CREAM</t>
        </is>
      </c>
      <c r="D150" t="inlineStr">
        <is>
          <t>SRC-RAW</t>
        </is>
      </c>
      <c r="E150" t="inlineStr">
        <is>
          <t>对应步骤表 Materials/Outputs 段</t>
        </is>
      </c>
      <c r="F150" t="inlineStr">
        <is>
          <t>V</t>
        </is>
      </c>
      <c r="G150" t="n">
        <v>58</v>
      </c>
      <c r="H150" t="inlineStr">
        <is>
          <t>m3/d</t>
        </is>
      </c>
      <c r="I150" t="inlineStr">
        <is>
          <t>1天生产体积基准</t>
        </is>
      </c>
      <c r="J150" t="inlineStr">
        <is>
          <t>1天生产工况</t>
        </is>
      </c>
      <c r="K150" t="inlineStr">
        <is>
          <t>FIXED</t>
        </is>
      </c>
      <c r="Q150" t="inlineStr">
        <is>
          <t>可直接比较</t>
        </is>
      </c>
      <c r="R150" t="inlineStr">
        <is>
          <t>采用</t>
        </is>
      </c>
      <c r="S150" t="inlineStr">
        <is>
          <t>D-A2</t>
        </is>
      </c>
      <c r="T150" t="inlineStr">
        <is>
          <t>原始版权威基准；衍生版质量=体积×密度（密度为衍生版标注）</t>
        </is>
      </c>
    </row>
    <row r="151">
      <c r="A151" t="inlineStr">
        <is>
          <t>CT-VOL-CAS</t>
        </is>
      </c>
      <c r="B151" t="inlineStr">
        <is>
          <t>流</t>
        </is>
      </c>
      <c r="C151" t="inlineStr">
        <is>
          <t>FL-CAS</t>
        </is>
      </c>
      <c r="D151" t="inlineStr">
        <is>
          <t>SRC-RAW</t>
        </is>
      </c>
      <c r="E151" t="inlineStr">
        <is>
          <t>对应步骤表 Materials/Outputs 段</t>
        </is>
      </c>
      <c r="F151" t="inlineStr">
        <is>
          <t>V</t>
        </is>
      </c>
      <c r="G151" t="n">
        <v>175</v>
      </c>
      <c r="H151" t="inlineStr">
        <is>
          <t>m3/d</t>
        </is>
      </c>
      <c r="I151" t="inlineStr">
        <is>
          <t>1天生产体积基准</t>
        </is>
      </c>
      <c r="J151" t="inlineStr">
        <is>
          <t>1天生产工况</t>
        </is>
      </c>
      <c r="K151" t="inlineStr">
        <is>
          <t>FIXED</t>
        </is>
      </c>
      <c r="Q151" t="inlineStr">
        <is>
          <t>可直接比较</t>
        </is>
      </c>
      <c r="R151" t="inlineStr">
        <is>
          <t>采用</t>
        </is>
      </c>
      <c r="S151" t="inlineStr">
        <is>
          <t>D-A2</t>
        </is>
      </c>
      <c r="T151" t="inlineStr">
        <is>
          <t>原始版权威基准；衍生版质量=体积×密度（密度为衍生版标注）</t>
        </is>
      </c>
    </row>
    <row r="152">
      <c r="A152" t="inlineStr">
        <is>
          <t>CT-VOL-WHEY</t>
        </is>
      </c>
      <c r="B152" t="inlineStr">
        <is>
          <t>流</t>
        </is>
      </c>
      <c r="C152" t="inlineStr">
        <is>
          <t>FL-WHEY</t>
        </is>
      </c>
      <c r="D152" t="inlineStr">
        <is>
          <t>SRC-RAW</t>
        </is>
      </c>
      <c r="E152" t="inlineStr">
        <is>
          <t>对应步骤表 Materials/Outputs 段</t>
        </is>
      </c>
      <c r="F152" t="inlineStr">
        <is>
          <t>V</t>
        </is>
      </c>
      <c r="G152" t="n">
        <v>350</v>
      </c>
      <c r="H152" t="inlineStr">
        <is>
          <t>m3/d</t>
        </is>
      </c>
      <c r="I152" t="inlineStr">
        <is>
          <t>1天生产体积基准</t>
        </is>
      </c>
      <c r="J152" t="inlineStr">
        <is>
          <t>1天生产工况</t>
        </is>
      </c>
      <c r="K152" t="inlineStr">
        <is>
          <t>FIXED</t>
        </is>
      </c>
      <c r="Q152" t="inlineStr">
        <is>
          <t>可直接比较</t>
        </is>
      </c>
      <c r="R152" t="inlineStr">
        <is>
          <t>采用</t>
        </is>
      </c>
      <c r="S152" t="inlineStr">
        <is>
          <t>D-A2</t>
        </is>
      </c>
      <c r="T152" t="inlineStr">
        <is>
          <t>原始版权威基准；衍生版质量=体积×密度（密度为衍生版标注）</t>
        </is>
      </c>
    </row>
    <row r="153">
      <c r="A153" t="inlineStr">
        <is>
          <t>CT-VOL-WPI</t>
        </is>
      </c>
      <c r="B153" t="inlineStr">
        <is>
          <t>流</t>
        </is>
      </c>
      <c r="C153" t="inlineStr">
        <is>
          <t>FL-WPI</t>
        </is>
      </c>
      <c r="D153" t="inlineStr">
        <is>
          <t>SRC-RAW</t>
        </is>
      </c>
      <c r="E153" t="inlineStr">
        <is>
          <t>对应步骤表 Materials/Outputs 段</t>
        </is>
      </c>
      <c r="F153" t="inlineStr">
        <is>
          <t>V</t>
        </is>
      </c>
      <c r="G153" t="n">
        <v>11.7</v>
      </c>
      <c r="H153" t="inlineStr">
        <is>
          <t>m3/d</t>
        </is>
      </c>
      <c r="I153" t="inlineStr">
        <is>
          <t>1天生产体积基准</t>
        </is>
      </c>
      <c r="J153" t="inlineStr">
        <is>
          <t>1天生产工况</t>
        </is>
      </c>
      <c r="K153" t="inlineStr">
        <is>
          <t>FIXED</t>
        </is>
      </c>
      <c r="Q153" t="inlineStr">
        <is>
          <t>可直接比较</t>
        </is>
      </c>
      <c r="R153" t="inlineStr">
        <is>
          <t>采用</t>
        </is>
      </c>
      <c r="S153" t="inlineStr">
        <is>
          <t>D-A2</t>
        </is>
      </c>
      <c r="T153" t="inlineStr">
        <is>
          <t>原始版权威基准；衍生版质量=体积×密度（密度为衍生版标注）</t>
        </is>
      </c>
    </row>
    <row r="154">
      <c r="A154" t="inlineStr">
        <is>
          <t>CT-VOL-LACP</t>
        </is>
      </c>
      <c r="B154" t="inlineStr">
        <is>
          <t>流</t>
        </is>
      </c>
      <c r="C154" t="inlineStr">
        <is>
          <t>FL-LACP</t>
        </is>
      </c>
      <c r="D154" t="inlineStr">
        <is>
          <t>SRC-RAW</t>
        </is>
      </c>
      <c r="E154" t="inlineStr">
        <is>
          <t>对应步骤表 Materials/Outputs 段</t>
        </is>
      </c>
      <c r="F154" t="inlineStr">
        <is>
          <t>V</t>
        </is>
      </c>
      <c r="G154" t="n">
        <v>401.3</v>
      </c>
      <c r="H154" t="inlineStr">
        <is>
          <t>m3/d</t>
        </is>
      </c>
      <c r="I154" t="inlineStr">
        <is>
          <t>1天生产体积基准</t>
        </is>
      </c>
      <c r="J154" t="inlineStr">
        <is>
          <t>1天生产工况</t>
        </is>
      </c>
      <c r="K154" t="inlineStr">
        <is>
          <t>FIXED</t>
        </is>
      </c>
      <c r="Q154" t="inlineStr">
        <is>
          <t>可直接比较</t>
        </is>
      </c>
      <c r="R154" t="inlineStr">
        <is>
          <t>采用</t>
        </is>
      </c>
      <c r="S154" t="inlineStr">
        <is>
          <t>D-A2</t>
        </is>
      </c>
      <c r="T154" t="inlineStr">
        <is>
          <t>原始版权威基准；衍生版质量=体积×密度（密度为衍生版标注）</t>
        </is>
      </c>
    </row>
    <row r="155">
      <c r="A155" t="inlineStr">
        <is>
          <t>CT-VOL-OSM</t>
        </is>
      </c>
      <c r="B155" t="inlineStr">
        <is>
          <t>流</t>
        </is>
      </c>
      <c r="C155" t="inlineStr">
        <is>
          <t>FL-OSM</t>
        </is>
      </c>
      <c r="D155" t="inlineStr">
        <is>
          <t>SRC-RAW</t>
        </is>
      </c>
      <c r="E155" t="inlineStr">
        <is>
          <t>对应步骤表 Materials/Outputs 段</t>
        </is>
      </c>
      <c r="F155" t="inlineStr">
        <is>
          <t>V</t>
        </is>
      </c>
      <c r="G155" t="n">
        <v>316</v>
      </c>
      <c r="H155" t="inlineStr">
        <is>
          <t>m3/d</t>
        </is>
      </c>
      <c r="I155" t="inlineStr">
        <is>
          <t>1天生产体积基准</t>
        </is>
      </c>
      <c r="J155" t="inlineStr">
        <is>
          <t>1天生产工况</t>
        </is>
      </c>
      <c r="K155" t="inlineStr">
        <is>
          <t>FIXED</t>
        </is>
      </c>
      <c r="Q155" t="inlineStr">
        <is>
          <t>可直接比较</t>
        </is>
      </c>
      <c r="R155" t="inlineStr">
        <is>
          <t>采用</t>
        </is>
      </c>
      <c r="S155" t="inlineStr">
        <is>
          <t>D-A2</t>
        </is>
      </c>
      <c r="T155" t="inlineStr">
        <is>
          <t>原始版权威基准；衍生版质量=体积×密度（密度为衍生版标注）</t>
        </is>
      </c>
    </row>
    <row r="156">
      <c r="A156" t="inlineStr">
        <is>
          <t>CT-VOL-LAC</t>
        </is>
      </c>
      <c r="B156" t="inlineStr">
        <is>
          <t>流</t>
        </is>
      </c>
      <c r="C156" t="inlineStr">
        <is>
          <t>FL-LAC</t>
        </is>
      </c>
      <c r="D156" t="inlineStr">
        <is>
          <t>SRC-RAW</t>
        </is>
      </c>
      <c r="E156" t="inlineStr">
        <is>
          <t>对应步骤表 Materials/Outputs 段</t>
        </is>
      </c>
      <c r="F156" t="inlineStr">
        <is>
          <t>V</t>
        </is>
      </c>
      <c r="G156" t="n">
        <v>85.3</v>
      </c>
      <c r="H156" t="inlineStr">
        <is>
          <t>m3/d</t>
        </is>
      </c>
      <c r="I156" t="inlineStr">
        <is>
          <t>1天生产体积基准</t>
        </is>
      </c>
      <c r="J156" t="inlineStr">
        <is>
          <t>1天生产工况</t>
        </is>
      </c>
      <c r="K156" t="inlineStr">
        <is>
          <t>FIXED</t>
        </is>
      </c>
      <c r="Q156" t="inlineStr">
        <is>
          <t>可直接比较</t>
        </is>
      </c>
      <c r="R156" t="inlineStr">
        <is>
          <t>采用</t>
        </is>
      </c>
      <c r="S156" t="inlineStr">
        <is>
          <t>D-A2</t>
        </is>
      </c>
      <c r="T156" t="inlineStr">
        <is>
          <t>原始版权威基准；衍生版质量=体积×密度（密度为衍生版标注）</t>
        </is>
      </c>
    </row>
    <row r="157">
      <c r="A157" t="inlineStr">
        <is>
          <t>CT-VOL-W08</t>
        </is>
      </c>
      <c r="B157" t="inlineStr">
        <is>
          <t>流</t>
        </is>
      </c>
      <c r="C157" t="inlineStr">
        <is>
          <t>FL-W08</t>
        </is>
      </c>
      <c r="D157" t="inlineStr">
        <is>
          <t>SRC-RAW</t>
        </is>
      </c>
      <c r="E157" t="inlineStr">
        <is>
          <t>8_UF1 Materials段</t>
        </is>
      </c>
      <c r="F157" t="inlineStr">
        <is>
          <t>water</t>
        </is>
      </c>
      <c r="G157" t="n">
        <v>63</v>
      </c>
      <c r="H157" t="inlineStr">
        <is>
          <t>m3/d</t>
        </is>
      </c>
      <c r="I157" t="inlineStr">
        <is>
          <t>1天生产体积基准</t>
        </is>
      </c>
      <c r="J157" t="inlineStr">
        <is>
          <t>1天生产工况</t>
        </is>
      </c>
      <c r="K157" t="inlineStr">
        <is>
          <t>FIXED</t>
        </is>
      </c>
      <c r="Q157" t="inlineStr">
        <is>
          <t>可直接比较</t>
        </is>
      </c>
      <c r="R157" t="inlineStr">
        <is>
          <t>采用</t>
        </is>
      </c>
      <c r="S157" t="inlineStr">
        <is>
          <t>D-A2</t>
        </is>
      </c>
      <c r="T157" t="inlineStr">
        <is>
          <t>原始版权威基准（工艺用水输入）</t>
        </is>
      </c>
    </row>
    <row r="158">
      <c r="A158" t="inlineStr">
        <is>
          <t>CT-O-CREAM</t>
        </is>
      </c>
      <c r="B158" t="inlineStr">
        <is>
          <t>流</t>
        </is>
      </c>
      <c r="C158" t="inlineStr">
        <is>
          <t>FL-O-CREAM</t>
        </is>
      </c>
      <c r="D158" t="inlineStr">
        <is>
          <t>SRC-RAW</t>
        </is>
      </c>
      <c r="E158" t="inlineStr">
        <is>
          <t>3_CS Outputs段</t>
        </is>
      </c>
      <c r="F158" t="inlineStr">
        <is>
          <t>Cream</t>
        </is>
      </c>
      <c r="G158" t="n">
        <v>58</v>
      </c>
      <c r="H158" t="inlineStr">
        <is>
          <t>m3/d</t>
        </is>
      </c>
      <c r="I158" t="inlineStr">
        <is>
          <t>1天生产体积基准</t>
        </is>
      </c>
      <c r="J158" t="inlineStr">
        <is>
          <t>1天生产工况</t>
        </is>
      </c>
      <c r="K158" t="inlineStr">
        <is>
          <t>FIXED</t>
        </is>
      </c>
      <c r="Q158" t="inlineStr">
        <is>
          <t>可直接比较</t>
        </is>
      </c>
      <c r="R158" t="inlineStr">
        <is>
          <t>采用</t>
        </is>
      </c>
      <c r="S158" t="inlineStr">
        <is>
          <t>D-A2</t>
        </is>
      </c>
      <c r="T158" t="inlineStr">
        <is>
          <t>联产品系统边界出厂；原文注Losses are neglected（v2.1补）</t>
        </is>
      </c>
    </row>
    <row r="159">
      <c r="A159" t="inlineStr">
        <is>
          <t>CT-O-CAS</t>
        </is>
      </c>
      <c r="B159" t="inlineStr">
        <is>
          <t>流</t>
        </is>
      </c>
      <c r="C159" t="inlineStr">
        <is>
          <t>FL-O-CAS</t>
        </is>
      </c>
      <c r="D159" t="inlineStr">
        <is>
          <t>SRC-RAW</t>
        </is>
      </c>
      <c r="E159" t="inlineStr">
        <is>
          <t>6_CS Outputs段</t>
        </is>
      </c>
      <c r="F159" t="inlineStr">
        <is>
          <t>Casein micelle retentate</t>
        </is>
      </c>
      <c r="G159" t="n">
        <v>175</v>
      </c>
      <c r="H159" t="inlineStr">
        <is>
          <t>m3/d</t>
        </is>
      </c>
      <c r="I159" t="inlineStr">
        <is>
          <t>1天生产体积基准</t>
        </is>
      </c>
      <c r="J159" t="inlineStr">
        <is>
          <t>1天生产工况</t>
        </is>
      </c>
      <c r="K159" t="inlineStr">
        <is>
          <t>FIXED</t>
        </is>
      </c>
      <c r="Q159" t="inlineStr">
        <is>
          <t>可直接比较</t>
        </is>
      </c>
      <c r="R159" t="inlineStr">
        <is>
          <t>采用</t>
        </is>
      </c>
      <c r="S159" t="inlineStr">
        <is>
          <t>D-A2</t>
        </is>
      </c>
      <c r="T159" t="inlineStr">
        <is>
          <t>联产品系统边界出厂；原文注Losses are neglected（v2.1补）</t>
        </is>
      </c>
    </row>
    <row r="160">
      <c r="A160" t="inlineStr">
        <is>
          <t>CT-O-LAC</t>
        </is>
      </c>
      <c r="B160" t="inlineStr">
        <is>
          <t>流</t>
        </is>
      </c>
      <c r="C160" t="inlineStr">
        <is>
          <t>FL-O-LAC</t>
        </is>
      </c>
      <c r="D160" t="inlineStr">
        <is>
          <t>SRC-RAW</t>
        </is>
      </c>
      <c r="E160" t="inlineStr">
        <is>
          <t>12_CS Outputs段</t>
        </is>
      </c>
      <c r="F160" t="inlineStr">
        <is>
          <t>Cooled lactose concentrate</t>
        </is>
      </c>
      <c r="G160" t="n">
        <v>85.3</v>
      </c>
      <c r="H160" t="inlineStr">
        <is>
          <t>m3/d</t>
        </is>
      </c>
      <c r="I160" t="inlineStr">
        <is>
          <t>1天生产体积基准</t>
        </is>
      </c>
      <c r="J160" t="inlineStr">
        <is>
          <t>1天生产工况</t>
        </is>
      </c>
      <c r="K160" t="inlineStr">
        <is>
          <t>FIXED</t>
        </is>
      </c>
      <c r="Q160" t="inlineStr">
        <is>
          <t>可直接比较</t>
        </is>
      </c>
      <c r="R160" t="inlineStr">
        <is>
          <t>采用</t>
        </is>
      </c>
      <c r="S160" t="inlineStr">
        <is>
          <t>D-A2</t>
        </is>
      </c>
      <c r="T160" t="inlineStr">
        <is>
          <t>联产品系统边界出厂；原文注Losses are neglected（v2.1补）</t>
        </is>
      </c>
    </row>
    <row r="161">
      <c r="A161" t="inlineStr">
        <is>
          <t>CT-O-WPI</t>
        </is>
      </c>
      <c r="B161" t="inlineStr">
        <is>
          <t>流</t>
        </is>
      </c>
      <c r="C161" t="inlineStr">
        <is>
          <t>FL-O-WPI</t>
        </is>
      </c>
      <c r="D161" t="inlineStr">
        <is>
          <t>SRC-RAW</t>
        </is>
      </c>
      <c r="E161" t="inlineStr">
        <is>
          <t>8_UF1 Outputs段/10_TS</t>
        </is>
      </c>
      <c r="F161" t="inlineStr">
        <is>
          <t>WPI concentrate</t>
        </is>
      </c>
      <c r="G161" t="n">
        <v>11.7</v>
      </c>
      <c r="H161" t="inlineStr">
        <is>
          <t>m3/d</t>
        </is>
      </c>
      <c r="I161" t="inlineStr">
        <is>
          <t>1天生产体积基准</t>
        </is>
      </c>
      <c r="J161" t="inlineStr">
        <is>
          <t>1天生产工况</t>
        </is>
      </c>
      <c r="K161" t="inlineStr">
        <is>
          <t>FIXED</t>
        </is>
      </c>
      <c r="Q161" t="inlineStr">
        <is>
          <t>可直接比较</t>
        </is>
      </c>
      <c r="R161" t="inlineStr">
        <is>
          <t>采用</t>
        </is>
      </c>
      <c r="S161" t="inlineStr">
        <is>
          <t>D-A2</t>
        </is>
      </c>
      <c r="T161" t="inlineStr">
        <is>
          <t>主产品系统边界出厂；与 FL-WPI 主流同量（v2.2补）</t>
        </is>
      </c>
    </row>
    <row r="162">
      <c r="A162" t="inlineStr">
        <is>
          <t>CT-EN-01A</t>
        </is>
      </c>
      <c r="B162" t="inlineStr">
        <is>
          <t>参数</t>
        </is>
      </c>
      <c r="C162" t="inlineStr">
        <is>
          <t>PA-EN-01A</t>
        </is>
      </c>
      <c r="D162" t="inlineStr">
        <is>
          <t>SRC-RAW</t>
        </is>
      </c>
      <c r="E162" t="inlineStr">
        <is>
          <t>PR01 Energy段</t>
        </is>
      </c>
      <c r="F162" t="inlineStr">
        <is>
          <t>Ice water production and cooling of milk</t>
        </is>
      </c>
      <c r="G162" t="n">
        <v>1068</v>
      </c>
      <c r="H162" t="inlineStr">
        <is>
          <t>kWh/d</t>
        </is>
      </c>
      <c r="I162" t="inlineStr">
        <is>
          <t>1天生产</t>
        </is>
      </c>
      <c r="J162" t="inlineStr">
        <is>
          <t>1天生产工况</t>
        </is>
      </c>
      <c r="K162" t="inlineStr">
        <is>
          <t>FIXED</t>
        </is>
      </c>
      <c r="Q162" t="inlineStr">
        <is>
          <t>可直接比较</t>
        </is>
      </c>
      <c r="R162" t="inlineStr">
        <is>
          <t>采用</t>
        </is>
      </c>
      <c r="S162" t="inlineStr">
        <is>
          <t>D-A2</t>
        </is>
      </c>
      <c r="T162" t="inlineStr">
        <is>
          <t>分项实测值</t>
        </is>
      </c>
    </row>
    <row r="163">
      <c r="A163" t="inlineStr">
        <is>
          <t>CT-EN-01B</t>
        </is>
      </c>
      <c r="B163" t="inlineStr">
        <is>
          <t>参数</t>
        </is>
      </c>
      <c r="C163" t="inlineStr">
        <is>
          <t>PA-EN-01B</t>
        </is>
      </c>
      <c r="D163" t="inlineStr">
        <is>
          <t>SRC-RAW</t>
        </is>
      </c>
      <c r="E163" t="inlineStr">
        <is>
          <t>PR01 Energy段</t>
        </is>
      </c>
      <c r="F163" t="inlineStr">
        <is>
          <t>Work of transfert pumps</t>
        </is>
      </c>
      <c r="G163" t="n">
        <v>70</v>
      </c>
      <c r="H163" t="inlineStr">
        <is>
          <t>kWh/d</t>
        </is>
      </c>
      <c r="I163" t="inlineStr">
        <is>
          <t>1天生产</t>
        </is>
      </c>
      <c r="J163" t="inlineStr">
        <is>
          <t>1天生产工况</t>
        </is>
      </c>
      <c r="K163" t="inlineStr">
        <is>
          <t>FIXED</t>
        </is>
      </c>
      <c r="Q163" t="inlineStr">
        <is>
          <t>可直接比较</t>
        </is>
      </c>
      <c r="R163" t="inlineStr">
        <is>
          <t>采用</t>
        </is>
      </c>
      <c r="S163" t="inlineStr">
        <is>
          <t>D-A2</t>
        </is>
      </c>
      <c r="T163" t="inlineStr">
        <is>
          <t>分项实测值</t>
        </is>
      </c>
    </row>
    <row r="164">
      <c r="A164" t="inlineStr">
        <is>
          <t>CT-EN-02A</t>
        </is>
      </c>
      <c r="B164" t="inlineStr">
        <is>
          <t>参数</t>
        </is>
      </c>
      <c r="C164" t="inlineStr">
        <is>
          <t>PA-EN-02A</t>
        </is>
      </c>
      <c r="D164" t="inlineStr">
        <is>
          <t>SRC-RAW</t>
        </is>
      </c>
      <c r="E164" t="inlineStr">
        <is>
          <t>PR02 Energy段</t>
        </is>
      </c>
      <c r="F164" t="inlineStr">
        <is>
          <t>Work of transfert pumps</t>
        </is>
      </c>
      <c r="G164" t="n">
        <v>1035</v>
      </c>
      <c r="H164" t="inlineStr">
        <is>
          <t>kWh/d</t>
        </is>
      </c>
      <c r="I164" t="inlineStr">
        <is>
          <t>1天生产</t>
        </is>
      </c>
      <c r="J164" t="inlineStr">
        <is>
          <t>1天生产工况</t>
        </is>
      </c>
      <c r="K164" t="inlineStr">
        <is>
          <t>FIXED</t>
        </is>
      </c>
      <c r="Q164" t="inlineStr">
        <is>
          <t>可直接比较</t>
        </is>
      </c>
      <c r="R164" t="inlineStr">
        <is>
          <t>采用</t>
        </is>
      </c>
      <c r="S164" t="inlineStr">
        <is>
          <t>D-A2</t>
        </is>
      </c>
      <c r="T164" t="inlineStr">
        <is>
          <t>分项实测值</t>
        </is>
      </c>
    </row>
    <row r="165">
      <c r="A165" t="inlineStr">
        <is>
          <t>CT-ELT-03</t>
        </is>
      </c>
      <c r="B165" t="inlineStr">
        <is>
          <t>流</t>
        </is>
      </c>
      <c r="C165" t="inlineStr">
        <is>
          <t>FL-EL-03</t>
        </is>
      </c>
      <c r="D165" t="inlineStr">
        <is>
          <t>SRC-RAW</t>
        </is>
      </c>
      <c r="E165" t="inlineStr">
        <is>
          <t>TOTALs 段 Grid electricity</t>
        </is>
      </c>
      <c r="F165" t="inlineStr">
        <is>
          <t>Grid electricity</t>
        </is>
      </c>
      <c r="G165" t="n">
        <v>1216.4</v>
      </c>
      <c r="H165" t="inlineStr">
        <is>
          <t>kWh/d</t>
        </is>
      </c>
      <c r="I165" t="inlineStr">
        <is>
          <t>1天生产</t>
        </is>
      </c>
      <c r="J165" t="inlineStr">
        <is>
          <t>1天生产工况</t>
        </is>
      </c>
      <c r="K165" t="inlineStr">
        <is>
          <t>FIXED</t>
        </is>
      </c>
      <c r="Q165" t="inlineStr">
        <is>
          <t>可直接比较</t>
        </is>
      </c>
      <c r="R165" t="inlineStr">
        <is>
          <t>采用</t>
        </is>
      </c>
      <c r="S165" t="inlineStr">
        <is>
          <t>D-A2</t>
        </is>
      </c>
      <c r="T165" t="inlineStr">
        <is>
          <t>步骤电力合计；分项实测核对：Work of transfert pumps=16.4; Ice water production and cooling of cream=1200.0</t>
        </is>
      </c>
    </row>
    <row r="166">
      <c r="A166" t="inlineStr">
        <is>
          <t>CT-EN-04A</t>
        </is>
      </c>
      <c r="B166" t="inlineStr">
        <is>
          <t>参数</t>
        </is>
      </c>
      <c r="C166" t="inlineStr">
        <is>
          <t>PA-EN-04A</t>
        </is>
      </c>
      <c r="D166" t="inlineStr">
        <is>
          <t>SRC-RAW</t>
        </is>
      </c>
      <c r="E166" t="inlineStr">
        <is>
          <t>PR04 Energy段</t>
        </is>
      </c>
      <c r="F166" t="inlineStr">
        <is>
          <t>pumping + ice water production +  coolin</t>
        </is>
      </c>
      <c r="G166" t="n">
        <v>1440</v>
      </c>
      <c r="H166" t="inlineStr">
        <is>
          <t>kWh/d</t>
        </is>
      </c>
      <c r="I166" t="inlineStr">
        <is>
          <t>1天生产</t>
        </is>
      </c>
      <c r="J166" t="inlineStr">
        <is>
          <t>1天生产工况</t>
        </is>
      </c>
      <c r="K166" t="inlineStr">
        <is>
          <t>FIXED</t>
        </is>
      </c>
      <c r="Q166" t="inlineStr">
        <is>
          <t>可直接比较</t>
        </is>
      </c>
      <c r="R166" t="inlineStr">
        <is>
          <t>采用</t>
        </is>
      </c>
      <c r="S166" t="inlineStr">
        <is>
          <t>D-A2</t>
        </is>
      </c>
      <c r="T166" t="inlineStr">
        <is>
          <t>分项实测值</t>
        </is>
      </c>
    </row>
    <row r="167">
      <c r="A167" t="inlineStr">
        <is>
          <t>CT-EN-05A</t>
        </is>
      </c>
      <c r="B167" t="inlineStr">
        <is>
          <t>参数</t>
        </is>
      </c>
      <c r="C167" t="inlineStr">
        <is>
          <t>PA-EN-05A</t>
        </is>
      </c>
      <c r="D167" t="inlineStr">
        <is>
          <t>SRC-RAW</t>
        </is>
      </c>
      <c r="E167" t="inlineStr">
        <is>
          <t>PR05 Energy段</t>
        </is>
      </c>
      <c r="F167" t="inlineStr">
        <is>
          <t>Work of MF pumps</t>
        </is>
      </c>
      <c r="G167" t="n">
        <v>7996</v>
      </c>
      <c r="H167" t="inlineStr">
        <is>
          <t>kWh/d</t>
        </is>
      </c>
      <c r="I167" t="inlineStr">
        <is>
          <t>1天生产</t>
        </is>
      </c>
      <c r="J167" t="inlineStr">
        <is>
          <t>1天生产工况</t>
        </is>
      </c>
      <c r="K167" t="inlineStr">
        <is>
          <t>FIXED</t>
        </is>
      </c>
      <c r="Q167" t="inlineStr">
        <is>
          <t>可直接比较</t>
        </is>
      </c>
      <c r="R167" t="inlineStr">
        <is>
          <t>采用</t>
        </is>
      </c>
      <c r="S167" t="inlineStr">
        <is>
          <t>D-A2</t>
        </is>
      </c>
      <c r="T167" t="inlineStr">
        <is>
          <t>分项实测值</t>
        </is>
      </c>
    </row>
    <row r="168">
      <c r="A168" t="inlineStr">
        <is>
          <t>CT-EN-05B</t>
        </is>
      </c>
      <c r="B168" t="inlineStr">
        <is>
          <t>参数</t>
        </is>
      </c>
      <c r="C168" t="inlineStr">
        <is>
          <t>PA-EN-05B</t>
        </is>
      </c>
      <c r="D168" t="inlineStr">
        <is>
          <t>SRC-RAW</t>
        </is>
      </c>
      <c r="E168" t="inlineStr">
        <is>
          <t>PR05 Energy段</t>
        </is>
      </c>
      <c r="F168" t="inlineStr">
        <is>
          <t>Work of transfert pumps</t>
        </is>
      </c>
      <c r="G168" t="n">
        <v>157</v>
      </c>
      <c r="H168" t="inlineStr">
        <is>
          <t>kWh/d</t>
        </is>
      </c>
      <c r="I168" t="inlineStr">
        <is>
          <t>1天生产</t>
        </is>
      </c>
      <c r="J168" t="inlineStr">
        <is>
          <t>1天生产工况</t>
        </is>
      </c>
      <c r="K168" t="inlineStr">
        <is>
          <t>FIXED</t>
        </is>
      </c>
      <c r="Q168" t="inlineStr">
        <is>
          <t>可直接比较</t>
        </is>
      </c>
      <c r="R168" t="inlineStr">
        <is>
          <t>采用</t>
        </is>
      </c>
      <c r="S168" t="inlineStr">
        <is>
          <t>D-A2</t>
        </is>
      </c>
      <c r="T168" t="inlineStr">
        <is>
          <t>分项实测值</t>
        </is>
      </c>
    </row>
    <row r="169">
      <c r="A169" t="inlineStr">
        <is>
          <t>CT-EN-06A</t>
        </is>
      </c>
      <c r="B169" t="inlineStr">
        <is>
          <t>参数</t>
        </is>
      </c>
      <c r="C169" t="inlineStr">
        <is>
          <t>PA-EN-06A</t>
        </is>
      </c>
      <c r="D169" t="inlineStr">
        <is>
          <t>SRC-RAW</t>
        </is>
      </c>
      <c r="E169" t="inlineStr">
        <is>
          <t>PR06 Energy段</t>
        </is>
      </c>
      <c r="F169" t="inlineStr">
        <is>
          <t>Ice water production and cooling of rete</t>
        </is>
      </c>
      <c r="G169" t="n">
        <v>3685</v>
      </c>
      <c r="H169" t="inlineStr">
        <is>
          <t>kWh/d</t>
        </is>
      </c>
      <c r="I169" t="inlineStr">
        <is>
          <t>1天生产</t>
        </is>
      </c>
      <c r="J169" t="inlineStr">
        <is>
          <t>1天生产工况</t>
        </is>
      </c>
      <c r="K169" t="inlineStr">
        <is>
          <t>FIXED</t>
        </is>
      </c>
      <c r="Q169" t="inlineStr">
        <is>
          <t>可直接比较</t>
        </is>
      </c>
      <c r="R169" t="inlineStr">
        <is>
          <t>采用</t>
        </is>
      </c>
      <c r="S169" t="inlineStr">
        <is>
          <t>D-A2</t>
        </is>
      </c>
      <c r="T169" t="inlineStr">
        <is>
          <t>分项实测值</t>
        </is>
      </c>
    </row>
    <row r="170">
      <c r="A170" t="inlineStr">
        <is>
          <t>CT-EN-07A</t>
        </is>
      </c>
      <c r="B170" t="inlineStr">
        <is>
          <t>参数</t>
        </is>
      </c>
      <c r="C170" t="inlineStr">
        <is>
          <t>PA-EN-07A</t>
        </is>
      </c>
      <c r="D170" t="inlineStr">
        <is>
          <t>SRC-RAW</t>
        </is>
      </c>
      <c r="E170" t="inlineStr">
        <is>
          <t>PR07 Energy段</t>
        </is>
      </c>
      <c r="F170" t="inlineStr">
        <is>
          <t>Work of transfert pumps</t>
        </is>
      </c>
      <c r="G170" t="n">
        <v>38</v>
      </c>
      <c r="H170" t="inlineStr">
        <is>
          <t>kWh/d</t>
        </is>
      </c>
      <c r="I170" t="inlineStr">
        <is>
          <t>1天生产</t>
        </is>
      </c>
      <c r="J170" t="inlineStr">
        <is>
          <t>1天生产工况</t>
        </is>
      </c>
      <c r="K170" t="inlineStr">
        <is>
          <t>FIXED</t>
        </is>
      </c>
      <c r="Q170" t="inlineStr">
        <is>
          <t>可直接比较</t>
        </is>
      </c>
      <c r="R170" t="inlineStr">
        <is>
          <t>采用</t>
        </is>
      </c>
      <c r="S170" t="inlineStr">
        <is>
          <t>D-A2</t>
        </is>
      </c>
      <c r="T170" t="inlineStr">
        <is>
          <t>分项实测值</t>
        </is>
      </c>
    </row>
    <row r="171">
      <c r="A171" t="inlineStr">
        <is>
          <t>CT-EN-07B</t>
        </is>
      </c>
      <c r="B171" t="inlineStr">
        <is>
          <t>参数</t>
        </is>
      </c>
      <c r="C171" t="inlineStr">
        <is>
          <t>PA-EN-07B</t>
        </is>
      </c>
      <c r="D171" t="inlineStr">
        <is>
          <t>SRC-RAW</t>
        </is>
      </c>
      <c r="E171" t="inlineStr">
        <is>
          <t>PR07 Energy段</t>
        </is>
      </c>
      <c r="F171" t="inlineStr">
        <is>
          <t>Ice water production and cooling of crea</t>
        </is>
      </c>
      <c r="G171" t="n">
        <v>0</v>
      </c>
      <c r="H171" t="inlineStr">
        <is>
          <t>kWh/d</t>
        </is>
      </c>
      <c r="I171" t="inlineStr">
        <is>
          <t>1天生产</t>
        </is>
      </c>
      <c r="J171" t="inlineStr">
        <is>
          <t>1天生产工况</t>
        </is>
      </c>
      <c r="K171" t="inlineStr">
        <is>
          <t>FIXED</t>
        </is>
      </c>
      <c r="Q171" t="inlineStr">
        <is>
          <t>可直接比较</t>
        </is>
      </c>
      <c r="R171" t="inlineStr">
        <is>
          <t>采用</t>
        </is>
      </c>
      <c r="S171" t="inlineStr">
        <is>
          <t>D-A2</t>
        </is>
      </c>
      <c r="T171" t="inlineStr">
        <is>
          <t>分项实测值</t>
        </is>
      </c>
    </row>
    <row r="172">
      <c r="A172" t="inlineStr">
        <is>
          <t>CT-EN-08A</t>
        </is>
      </c>
      <c r="B172" t="inlineStr">
        <is>
          <t>参数</t>
        </is>
      </c>
      <c r="C172" t="inlineStr">
        <is>
          <t>PA-EN-08A</t>
        </is>
      </c>
      <c r="D172" t="inlineStr">
        <is>
          <t>SRC-RAW</t>
        </is>
      </c>
      <c r="E172" t="inlineStr">
        <is>
          <t>PR08 Energy段</t>
        </is>
      </c>
      <c r="F172" t="inlineStr">
        <is>
          <t>Work of UF pumps</t>
        </is>
      </c>
      <c r="G172" t="n">
        <v>2200</v>
      </c>
      <c r="H172" t="inlineStr">
        <is>
          <t>kWh/d</t>
        </is>
      </c>
      <c r="I172" t="inlineStr">
        <is>
          <t>1天生产</t>
        </is>
      </c>
      <c r="J172" t="inlineStr">
        <is>
          <t>1天生产工况</t>
        </is>
      </c>
      <c r="K172" t="inlineStr">
        <is>
          <t>FIXED</t>
        </is>
      </c>
      <c r="Q172" t="inlineStr">
        <is>
          <t>可直接比较</t>
        </is>
      </c>
      <c r="R172" t="inlineStr">
        <is>
          <t>采用</t>
        </is>
      </c>
      <c r="S172" t="inlineStr">
        <is>
          <t>D-A2</t>
        </is>
      </c>
      <c r="T172" t="inlineStr">
        <is>
          <t>分项实测值</t>
        </is>
      </c>
    </row>
    <row r="173">
      <c r="A173" t="inlineStr">
        <is>
          <t>CT-EN-08B</t>
        </is>
      </c>
      <c r="B173" t="inlineStr">
        <is>
          <t>参数</t>
        </is>
      </c>
      <c r="C173" t="inlineStr">
        <is>
          <t>PA-EN-08B</t>
        </is>
      </c>
      <c r="D173" t="inlineStr">
        <is>
          <t>SRC-RAW</t>
        </is>
      </c>
      <c r="E173" t="inlineStr">
        <is>
          <t>PR08 Energy段</t>
        </is>
      </c>
      <c r="F173" t="inlineStr">
        <is>
          <t>Ice water production and cooling of perm</t>
        </is>
      </c>
      <c r="G173" t="n">
        <v>13</v>
      </c>
      <c r="H173" t="inlineStr">
        <is>
          <t>kWh/d</t>
        </is>
      </c>
      <c r="I173" t="inlineStr">
        <is>
          <t>1天生产</t>
        </is>
      </c>
      <c r="J173" t="inlineStr">
        <is>
          <t>1天生产工况</t>
        </is>
      </c>
      <c r="K173" t="inlineStr">
        <is>
          <t>FIXED</t>
        </is>
      </c>
      <c r="Q173" t="inlineStr">
        <is>
          <t>可直接比较</t>
        </is>
      </c>
      <c r="R173" t="inlineStr">
        <is>
          <t>采用</t>
        </is>
      </c>
      <c r="S173" t="inlineStr">
        <is>
          <t>D-A2</t>
        </is>
      </c>
      <c r="T173" t="inlineStr">
        <is>
          <t>分项实测值</t>
        </is>
      </c>
    </row>
    <row r="174">
      <c r="A174" t="inlineStr">
        <is>
          <t>CT-EN-09A</t>
        </is>
      </c>
      <c r="B174" t="inlineStr">
        <is>
          <t>参数</t>
        </is>
      </c>
      <c r="C174" t="inlineStr">
        <is>
          <t>PA-EN-09A</t>
        </is>
      </c>
      <c r="D174" t="inlineStr">
        <is>
          <t>SRC-RAW</t>
        </is>
      </c>
      <c r="E174" t="inlineStr">
        <is>
          <t>PR09 Energy段</t>
        </is>
      </c>
      <c r="F174" t="inlineStr">
        <is>
          <t>Ice water production and cooling of perm</t>
        </is>
      </c>
      <c r="G174" t="n">
        <v>129</v>
      </c>
      <c r="H174" t="inlineStr">
        <is>
          <t>kWh/d</t>
        </is>
      </c>
      <c r="I174" t="inlineStr">
        <is>
          <t>1天生产</t>
        </is>
      </c>
      <c r="J174" t="inlineStr">
        <is>
          <t>1天生产工况</t>
        </is>
      </c>
      <c r="K174" t="inlineStr">
        <is>
          <t>FIXED</t>
        </is>
      </c>
      <c r="Q174" t="inlineStr">
        <is>
          <t>可直接比较</t>
        </is>
      </c>
      <c r="R174" t="inlineStr">
        <is>
          <t>采用</t>
        </is>
      </c>
      <c r="S174" t="inlineStr">
        <is>
          <t>D-A2</t>
        </is>
      </c>
      <c r="T174" t="inlineStr">
        <is>
          <t>分项实测值</t>
        </is>
      </c>
    </row>
    <row r="175">
      <c r="A175" t="inlineStr">
        <is>
          <t>CT-EN-10A</t>
        </is>
      </c>
      <c r="B175" t="inlineStr">
        <is>
          <t>参数</t>
        </is>
      </c>
      <c r="C175" t="inlineStr">
        <is>
          <t>PA-EN-10A</t>
        </is>
      </c>
      <c r="D175" t="inlineStr">
        <is>
          <t>SRC-RAW</t>
        </is>
      </c>
      <c r="E175" t="inlineStr">
        <is>
          <t>PR10 Energy段</t>
        </is>
      </c>
      <c r="F175" t="inlineStr">
        <is>
          <t>cool storage during transport</t>
        </is>
      </c>
      <c r="G175" t="n">
        <v>0</v>
      </c>
      <c r="H175" t="inlineStr">
        <is>
          <t>kWh/d</t>
        </is>
      </c>
      <c r="I175" t="inlineStr">
        <is>
          <t>1天生产</t>
        </is>
      </c>
      <c r="J175" t="inlineStr">
        <is>
          <t>1天生产工况</t>
        </is>
      </c>
      <c r="K175" t="inlineStr">
        <is>
          <t>FIXED</t>
        </is>
      </c>
      <c r="Q175" t="inlineStr">
        <is>
          <t>可直接比较</t>
        </is>
      </c>
      <c r="R175" t="inlineStr">
        <is>
          <t>采用</t>
        </is>
      </c>
      <c r="S175" t="inlineStr">
        <is>
          <t>D-A2</t>
        </is>
      </c>
      <c r="T175" t="inlineStr">
        <is>
          <t>分项实测值</t>
        </is>
      </c>
    </row>
    <row r="176">
      <c r="A176" t="inlineStr">
        <is>
          <t>CT-EN-10B</t>
        </is>
      </c>
      <c r="B176" t="inlineStr">
        <is>
          <t>参数</t>
        </is>
      </c>
      <c r="C176" t="inlineStr">
        <is>
          <t>PA-EN-10B</t>
        </is>
      </c>
      <c r="D176" t="inlineStr">
        <is>
          <t>SRC-RAW</t>
        </is>
      </c>
      <c r="E176" t="inlineStr">
        <is>
          <t>PR10 Energy段</t>
        </is>
      </c>
      <c r="F176" t="inlineStr">
        <is>
          <t>work of transfer pumps</t>
        </is>
      </c>
      <c r="G176" t="n">
        <v>1.2</v>
      </c>
      <c r="H176" t="inlineStr">
        <is>
          <t>kWh/d</t>
        </is>
      </c>
      <c r="I176" t="inlineStr">
        <is>
          <t>1天生产</t>
        </is>
      </c>
      <c r="J176" t="inlineStr">
        <is>
          <t>1天生产工况</t>
        </is>
      </c>
      <c r="K176" t="inlineStr">
        <is>
          <t>FIXED</t>
        </is>
      </c>
      <c r="Q176" t="inlineStr">
        <is>
          <t>可直接比较</t>
        </is>
      </c>
      <c r="R176" t="inlineStr">
        <is>
          <t>采用</t>
        </is>
      </c>
      <c r="S176" t="inlineStr">
        <is>
          <t>D-A2</t>
        </is>
      </c>
      <c r="T176" t="inlineStr">
        <is>
          <t>分项实测值</t>
        </is>
      </c>
    </row>
    <row r="177">
      <c r="A177" t="inlineStr">
        <is>
          <t>CT-EN-11A</t>
        </is>
      </c>
      <c r="B177" t="inlineStr">
        <is>
          <t>参数</t>
        </is>
      </c>
      <c r="C177" t="inlineStr">
        <is>
          <t>PA-EN-11A</t>
        </is>
      </c>
      <c r="D177" t="inlineStr">
        <is>
          <t>SRC-RAW</t>
        </is>
      </c>
      <c r="E177" t="inlineStr">
        <is>
          <t>PR11 Energy段</t>
        </is>
      </c>
      <c r="F177" t="inlineStr">
        <is>
          <t>Work of OI pumps</t>
        </is>
      </c>
      <c r="G177" t="n">
        <v>1535</v>
      </c>
      <c r="H177" t="inlineStr">
        <is>
          <t>kWh/d</t>
        </is>
      </c>
      <c r="I177" t="inlineStr">
        <is>
          <t>1天生产</t>
        </is>
      </c>
      <c r="J177" t="inlineStr">
        <is>
          <t>1天生产工况</t>
        </is>
      </c>
      <c r="K177" t="inlineStr">
        <is>
          <t>FIXED</t>
        </is>
      </c>
      <c r="Q177" t="inlineStr">
        <is>
          <t>可直接比较</t>
        </is>
      </c>
      <c r="R177" t="inlineStr">
        <is>
          <t>采用</t>
        </is>
      </c>
      <c r="S177" t="inlineStr">
        <is>
          <t>D-A2</t>
        </is>
      </c>
      <c r="T177" t="inlineStr">
        <is>
          <t>分项实测值</t>
        </is>
      </c>
    </row>
    <row r="178">
      <c r="A178" t="inlineStr">
        <is>
          <t>CT-EN-12A</t>
        </is>
      </c>
      <c r="B178" t="inlineStr">
        <is>
          <t>参数</t>
        </is>
      </c>
      <c r="C178" t="inlineStr">
        <is>
          <t>PA-EN-12A</t>
        </is>
      </c>
      <c r="D178" t="inlineStr">
        <is>
          <t>SRC-RAW</t>
        </is>
      </c>
      <c r="E178" t="inlineStr">
        <is>
          <t>PR12 Energy段</t>
        </is>
      </c>
      <c r="F178" t="inlineStr">
        <is>
          <t>Cooling of lactose from 15°C to 4°C</t>
        </is>
      </c>
      <c r="G178" t="n">
        <v>172</v>
      </c>
      <c r="H178" t="inlineStr">
        <is>
          <t>kWh/d</t>
        </is>
      </c>
      <c r="I178" t="inlineStr">
        <is>
          <t>1天生产</t>
        </is>
      </c>
      <c r="J178" t="inlineStr">
        <is>
          <t>1天生产工况</t>
        </is>
      </c>
      <c r="K178" t="inlineStr">
        <is>
          <t>FIXED</t>
        </is>
      </c>
      <c r="Q178" t="inlineStr">
        <is>
          <t>可直接比较</t>
        </is>
      </c>
      <c r="R178" t="inlineStr">
        <is>
          <t>采用</t>
        </is>
      </c>
      <c r="S178" t="inlineStr">
        <is>
          <t>D-A2</t>
        </is>
      </c>
      <c r="T178" t="inlineStr">
        <is>
          <t>分项实测值</t>
        </is>
      </c>
    </row>
    <row r="179">
      <c r="A179" t="inlineStr">
        <is>
          <t>CT-EN-20A</t>
        </is>
      </c>
      <c r="B179" t="inlineStr">
        <is>
          <t>参数</t>
        </is>
      </c>
      <c r="C179" t="inlineStr">
        <is>
          <t>PA-EN-20A</t>
        </is>
      </c>
      <c r="D179" t="inlineStr">
        <is>
          <t>SRC-RAW</t>
        </is>
      </c>
      <c r="E179" t="inlineStr">
        <is>
          <t>PR20 Energy段</t>
        </is>
      </c>
      <c r="F179" t="inlineStr">
        <is>
          <t>Lift pump</t>
        </is>
      </c>
      <c r="G179" t="n">
        <v>18</v>
      </c>
      <c r="H179" t="inlineStr">
        <is>
          <t>kWh/d</t>
        </is>
      </c>
      <c r="I179" t="inlineStr">
        <is>
          <t>1天生产</t>
        </is>
      </c>
      <c r="J179" t="inlineStr">
        <is>
          <t>1天生产工况</t>
        </is>
      </c>
      <c r="K179" t="inlineStr">
        <is>
          <t>FIXED</t>
        </is>
      </c>
      <c r="Q179" t="inlineStr">
        <is>
          <t>可直接比较</t>
        </is>
      </c>
      <c r="R179" t="inlineStr">
        <is>
          <t>采用</t>
        </is>
      </c>
      <c r="S179" t="inlineStr">
        <is>
          <t>D-A2</t>
        </is>
      </c>
      <c r="T179" t="inlineStr">
        <is>
          <t>分项实测值</t>
        </is>
      </c>
    </row>
    <row r="180">
      <c r="A180" t="inlineStr">
        <is>
          <t>CT-EN-20B</t>
        </is>
      </c>
      <c r="B180" t="inlineStr">
        <is>
          <t>参数</t>
        </is>
      </c>
      <c r="C180" t="inlineStr">
        <is>
          <t>PA-EN-20B</t>
        </is>
      </c>
      <c r="D180" t="inlineStr">
        <is>
          <t>SRC-RAW</t>
        </is>
      </c>
      <c r="E180" t="inlineStr">
        <is>
          <t>PR20 Energy段</t>
        </is>
      </c>
      <c r="F180" t="inlineStr">
        <is>
          <t>aeration tank</t>
        </is>
      </c>
      <c r="G180" t="n">
        <v>5008</v>
      </c>
      <c r="H180" t="inlineStr">
        <is>
          <t>kWh/d</t>
        </is>
      </c>
      <c r="I180" t="inlineStr">
        <is>
          <t>1天生产</t>
        </is>
      </c>
      <c r="J180" t="inlineStr">
        <is>
          <t>1天生产工况</t>
        </is>
      </c>
      <c r="K180" t="inlineStr">
        <is>
          <t>FIXED</t>
        </is>
      </c>
      <c r="Q180" t="inlineStr">
        <is>
          <t>可直接比较</t>
        </is>
      </c>
      <c r="R180" t="inlineStr">
        <is>
          <t>采用</t>
        </is>
      </c>
      <c r="S180" t="inlineStr">
        <is>
          <t>D-A2</t>
        </is>
      </c>
      <c r="T180" t="inlineStr">
        <is>
          <t>分项实测值</t>
        </is>
      </c>
    </row>
    <row r="181">
      <c r="A181" t="inlineStr">
        <is>
          <t>CT-EN-20C</t>
        </is>
      </c>
      <c r="B181" t="inlineStr">
        <is>
          <t>参数</t>
        </is>
      </c>
      <c r="C181" t="inlineStr">
        <is>
          <t>PA-EN-20C</t>
        </is>
      </c>
      <c r="D181" t="inlineStr">
        <is>
          <t>SRC-RAW</t>
        </is>
      </c>
      <c r="E181" t="inlineStr">
        <is>
          <t>PR20 Energy段</t>
        </is>
      </c>
      <c r="F181" t="inlineStr">
        <is>
          <t>recirculating pump</t>
        </is>
      </c>
      <c r="G181" t="n">
        <v>24</v>
      </c>
      <c r="H181" t="inlineStr">
        <is>
          <t>kWh/d</t>
        </is>
      </c>
      <c r="I181" t="inlineStr">
        <is>
          <t>1天生产</t>
        </is>
      </c>
      <c r="J181" t="inlineStr">
        <is>
          <t>1天生产工况</t>
        </is>
      </c>
      <c r="K181" t="inlineStr">
        <is>
          <t>FIXED</t>
        </is>
      </c>
      <c r="Q181" t="inlineStr">
        <is>
          <t>可直接比较</t>
        </is>
      </c>
      <c r="R181" t="inlineStr">
        <is>
          <t>采用</t>
        </is>
      </c>
      <c r="S181" t="inlineStr">
        <is>
          <t>D-A2</t>
        </is>
      </c>
      <c r="T181" t="inlineStr">
        <is>
          <t>分项实测值</t>
        </is>
      </c>
    </row>
    <row r="182">
      <c r="A182" t="inlineStr">
        <is>
          <t>CT-EN-20D</t>
        </is>
      </c>
      <c r="B182" t="inlineStr">
        <is>
          <t>参数</t>
        </is>
      </c>
      <c r="C182" t="inlineStr">
        <is>
          <t>PA-EN-20D</t>
        </is>
      </c>
      <c r="D182" t="inlineStr">
        <is>
          <t>SRC-RAW</t>
        </is>
      </c>
      <c r="E182" t="inlineStr">
        <is>
          <t>PR20 Energy段</t>
        </is>
      </c>
      <c r="F182" t="inlineStr">
        <is>
          <t>extracting pump</t>
        </is>
      </c>
      <c r="G182" t="n">
        <v>0.7</v>
      </c>
      <c r="H182" t="inlineStr">
        <is>
          <t>kWh/d</t>
        </is>
      </c>
      <c r="I182" t="inlineStr">
        <is>
          <t>1天生产</t>
        </is>
      </c>
      <c r="J182" t="inlineStr">
        <is>
          <t>1天生产工况</t>
        </is>
      </c>
      <c r="K182" t="inlineStr">
        <is>
          <t>FIXED</t>
        </is>
      </c>
      <c r="Q182" t="inlineStr">
        <is>
          <t>可直接比较</t>
        </is>
      </c>
      <c r="R182" t="inlineStr">
        <is>
          <t>采用</t>
        </is>
      </c>
      <c r="S182" t="inlineStr">
        <is>
          <t>D-A2</t>
        </is>
      </c>
      <c r="T182" t="inlineStr">
        <is>
          <t>分项实测值</t>
        </is>
      </c>
    </row>
    <row r="183">
      <c r="A183" t="inlineStr">
        <is>
          <t>CT-GAST-04</t>
        </is>
      </c>
      <c r="B183" t="inlineStr">
        <is>
          <t>流</t>
        </is>
      </c>
      <c r="C183" t="inlineStr">
        <is>
          <t>FL-GAS-04</t>
        </is>
      </c>
      <c r="D183" t="inlineStr">
        <is>
          <t>SRC-RAW</t>
        </is>
      </c>
      <c r="E183" t="inlineStr">
        <is>
          <t>PR04 Energy段</t>
        </is>
      </c>
      <c r="F183" t="inlineStr">
        <is>
          <t>Pre-heat and heat skim milk</t>
        </is>
      </c>
      <c r="G183" t="n">
        <v>19465</v>
      </c>
      <c r="H183" t="inlineStr">
        <is>
          <t>MJ/d</t>
        </is>
      </c>
      <c r="I183" t="inlineStr">
        <is>
          <t>1天生产</t>
        </is>
      </c>
      <c r="J183" t="inlineStr">
        <is>
          <t>1天生产工况</t>
        </is>
      </c>
      <c r="K183" t="inlineStr">
        <is>
          <t>FIXED</t>
        </is>
      </c>
      <c r="Q183" t="inlineStr">
        <is>
          <t>可直接比较</t>
        </is>
      </c>
      <c r="R183" t="inlineStr">
        <is>
          <t>采用</t>
        </is>
      </c>
      <c r="S183" t="inlineStr">
        <is>
          <t>D-A2</t>
        </is>
      </c>
    </row>
    <row r="184">
      <c r="A184" t="inlineStr">
        <is>
          <t>CT-GAST-05</t>
        </is>
      </c>
      <c r="B184" t="inlineStr">
        <is>
          <t>流</t>
        </is>
      </c>
      <c r="C184" t="inlineStr">
        <is>
          <t>FL-GAS-05</t>
        </is>
      </c>
      <c r="D184" t="inlineStr">
        <is>
          <t>SRC-RAW</t>
        </is>
      </c>
      <c r="E184" t="inlineStr">
        <is>
          <t>PR05 Energy段</t>
        </is>
      </c>
      <c r="F184" t="inlineStr">
        <is>
          <t>Heating the milk from 25°C to 50°C</t>
        </is>
      </c>
      <c r="G184" t="n">
        <v>54075</v>
      </c>
      <c r="H184" t="inlineStr">
        <is>
          <t>MJ/d</t>
        </is>
      </c>
      <c r="I184" t="inlineStr">
        <is>
          <t>1天生产</t>
        </is>
      </c>
      <c r="J184" t="inlineStr">
        <is>
          <t>1天生产工况</t>
        </is>
      </c>
      <c r="K184" t="inlineStr">
        <is>
          <t>FIXED</t>
        </is>
      </c>
      <c r="Q184" t="inlineStr">
        <is>
          <t>可直接比较</t>
        </is>
      </c>
      <c r="R184" t="inlineStr">
        <is>
          <t>采用</t>
        </is>
      </c>
      <c r="S184" t="inlineStr">
        <is>
          <t>D-A2</t>
        </is>
      </c>
    </row>
    <row r="185">
      <c r="A185" t="inlineStr">
        <is>
          <t>CT-TKM-10</t>
        </is>
      </c>
      <c r="B185" t="inlineStr">
        <is>
          <t>流</t>
        </is>
      </c>
      <c r="C185" t="inlineStr">
        <is>
          <t>FL-TKM-10</t>
        </is>
      </c>
      <c r="D185" t="inlineStr">
        <is>
          <t>SRC-RAW</t>
        </is>
      </c>
      <c r="E185" t="inlineStr">
        <is>
          <t>10_TS Energy段</t>
        </is>
      </c>
      <c r="F185" t="inlineStr">
        <is>
          <t>Mass · distance</t>
        </is>
      </c>
      <c r="G185" t="n">
        <v>1370</v>
      </c>
      <c r="H185" t="inlineStr">
        <is>
          <t>t.km</t>
        </is>
      </c>
      <c r="I185" t="inlineStr">
        <is>
          <t>1天生产</t>
        </is>
      </c>
      <c r="J185" t="inlineStr">
        <is>
          <t>1天生产工况</t>
        </is>
      </c>
      <c r="K185" t="inlineStr">
        <is>
          <t>FIXED</t>
        </is>
      </c>
      <c r="Q185" t="inlineStr">
        <is>
          <t>可直接比较</t>
        </is>
      </c>
      <c r="R185" t="inlineStr">
        <is>
          <t>采用</t>
        </is>
      </c>
      <c r="S185" t="inlineStr">
        <is>
          <t>D-A2</t>
        </is>
      </c>
      <c r="T185" t="inlineStr">
        <is>
          <t>冷藏 insulated truck</t>
        </is>
      </c>
    </row>
    <row r="186">
      <c r="A186" t="inlineStr">
        <is>
          <t>CT-SLURRY-20</t>
        </is>
      </c>
      <c r="B186" t="inlineStr">
        <is>
          <t>流</t>
        </is>
      </c>
      <c r="C186" t="inlineStr">
        <is>
          <t>FL-SLURRY-20</t>
        </is>
      </c>
      <c r="D186" t="inlineStr">
        <is>
          <t>SRC-RAW</t>
        </is>
      </c>
      <c r="E186" t="inlineStr">
        <is>
          <t>20_STEP Energy段</t>
        </is>
      </c>
      <c r="F186" t="inlineStr">
        <is>
          <t>slurry spreading</t>
        </is>
      </c>
      <c r="G186" t="n">
        <v>45.6</v>
      </c>
      <c r="H186" t="inlineStr">
        <is>
          <t>t.km</t>
        </is>
      </c>
      <c r="I186" t="inlineStr">
        <is>
          <t>1天生产</t>
        </is>
      </c>
      <c r="J186" t="inlineStr">
        <is>
          <t>1天生产工况</t>
        </is>
      </c>
      <c r="K186" t="inlineStr">
        <is>
          <t>FIXED</t>
        </is>
      </c>
      <c r="Q186" t="inlineStr">
        <is>
          <t>可直接比较</t>
        </is>
      </c>
      <c r="R186" t="inlineStr">
        <is>
          <t>采用</t>
        </is>
      </c>
      <c r="S186" t="inlineStr">
        <is>
          <t>D-A2</t>
        </is>
      </c>
      <c r="T186" t="inlineStr">
        <is>
          <t>污泥抛洒运输</t>
        </is>
      </c>
    </row>
    <row r="187">
      <c r="A187" t="inlineStr">
        <is>
          <t>CT-NH3-03</t>
        </is>
      </c>
      <c r="B187" t="inlineStr">
        <is>
          <t>流</t>
        </is>
      </c>
      <c r="C187" t="inlineStr">
        <is>
          <t>FL-NH3-03</t>
        </is>
      </c>
      <c r="D187" t="inlineStr">
        <is>
          <t>SRC-RAW</t>
        </is>
      </c>
      <c r="E187" t="inlineStr">
        <is>
          <t>PR03 Others段</t>
        </is>
      </c>
      <c r="F187" t="inlineStr">
        <is>
          <t>NH3</t>
        </is>
      </c>
      <c r="G187" t="n">
        <v>0.008399999999999999</v>
      </c>
      <c r="H187" t="inlineStr">
        <is>
          <t>kg/d</t>
        </is>
      </c>
      <c r="I187" t="inlineStr">
        <is>
          <t>1天生产</t>
        </is>
      </c>
      <c r="J187" t="inlineStr">
        <is>
          <t>1天生产工况</t>
        </is>
      </c>
      <c r="K187" t="inlineStr">
        <is>
          <t>FIXED</t>
        </is>
      </c>
      <c r="Q187" t="inlineStr">
        <is>
          <t>可直接比较</t>
        </is>
      </c>
      <c r="R187" t="inlineStr">
        <is>
          <t>采用</t>
        </is>
      </c>
      <c r="S187" t="inlineStr">
        <is>
          <t>D-A2</t>
        </is>
      </c>
      <c r="T187" t="inlineStr">
        <is>
          <t>制冷剂NH3（单位以原文为准，m3/kg混用见备注）</t>
        </is>
      </c>
    </row>
    <row r="188">
      <c r="A188" t="inlineStr">
        <is>
          <t>CT-NH3-05</t>
        </is>
      </c>
      <c r="B188" t="inlineStr">
        <is>
          <t>流</t>
        </is>
      </c>
      <c r="C188" t="inlineStr">
        <is>
          <t>FL-NH3-05</t>
        </is>
      </c>
      <c r="D188" t="inlineStr">
        <is>
          <t>SRC-RAW</t>
        </is>
      </c>
      <c r="E188" t="inlineStr">
        <is>
          <t>PR05 Others段</t>
        </is>
      </c>
      <c r="F188" t="inlineStr">
        <is>
          <t>NH3</t>
        </is>
      </c>
      <c r="G188" t="n">
        <v>0.0127</v>
      </c>
      <c r="H188" t="inlineStr">
        <is>
          <t>kg/d</t>
        </is>
      </c>
      <c r="I188" t="inlineStr">
        <is>
          <t>1天生产</t>
        </is>
      </c>
      <c r="J188" t="inlineStr">
        <is>
          <t>1天生产工况</t>
        </is>
      </c>
      <c r="K188" t="inlineStr">
        <is>
          <t>FIXED</t>
        </is>
      </c>
      <c r="Q188" t="inlineStr">
        <is>
          <t>可直接比较</t>
        </is>
      </c>
      <c r="R188" t="inlineStr">
        <is>
          <t>采用</t>
        </is>
      </c>
      <c r="S188" t="inlineStr">
        <is>
          <t>D-A2</t>
        </is>
      </c>
      <c r="T188" t="inlineStr">
        <is>
          <t>制冷剂NH3（单位以原文为准，m3/kg混用见备注）</t>
        </is>
      </c>
    </row>
    <row r="189">
      <c r="A189" t="inlineStr">
        <is>
          <t>CT-NH3-06</t>
        </is>
      </c>
      <c r="B189" t="inlineStr">
        <is>
          <t>流</t>
        </is>
      </c>
      <c r="C189" t="inlineStr">
        <is>
          <t>FL-NH3-06</t>
        </is>
      </c>
      <c r="D189" t="inlineStr">
        <is>
          <t>SRC-RAW</t>
        </is>
      </c>
      <c r="E189" t="inlineStr">
        <is>
          <t>PR06 Others段</t>
        </is>
      </c>
      <c r="F189" t="inlineStr">
        <is>
          <t>NH3</t>
        </is>
      </c>
      <c r="G189" t="n">
        <v>0.0257</v>
      </c>
      <c r="H189" t="inlineStr">
        <is>
          <t>kg/d</t>
        </is>
      </c>
      <c r="I189" t="inlineStr">
        <is>
          <t>1天生产</t>
        </is>
      </c>
      <c r="J189" t="inlineStr">
        <is>
          <t>1天生产工况</t>
        </is>
      </c>
      <c r="K189" t="inlineStr">
        <is>
          <t>FIXED</t>
        </is>
      </c>
      <c r="Q189" t="inlineStr">
        <is>
          <t>可直接比较</t>
        </is>
      </c>
      <c r="R189" t="inlineStr">
        <is>
          <t>采用</t>
        </is>
      </c>
      <c r="S189" t="inlineStr">
        <is>
          <t>D-A2</t>
        </is>
      </c>
      <c r="T189" t="inlineStr">
        <is>
          <t>制冷剂NH3（单位以原文为准，m3/kg混用见备注）</t>
        </is>
      </c>
    </row>
    <row r="190">
      <c r="A190" t="inlineStr">
        <is>
          <t>CT-NH3-08</t>
        </is>
      </c>
      <c r="B190" t="inlineStr">
        <is>
          <t>流</t>
        </is>
      </c>
      <c r="C190" t="inlineStr">
        <is>
          <t>FL-NH3-08</t>
        </is>
      </c>
      <c r="D190" t="inlineStr">
        <is>
          <t>SRC-RAW</t>
        </is>
      </c>
      <c r="E190" t="inlineStr">
        <is>
          <t>PR08 Others段</t>
        </is>
      </c>
      <c r="F190" t="inlineStr">
        <is>
          <t>NH3</t>
        </is>
      </c>
      <c r="G190" t="n">
        <v>0.0001</v>
      </c>
      <c r="H190" t="inlineStr">
        <is>
          <t>kg/d</t>
        </is>
      </c>
      <c r="I190" t="inlineStr">
        <is>
          <t>1天生产</t>
        </is>
      </c>
      <c r="J190" t="inlineStr">
        <is>
          <t>1天生产工况</t>
        </is>
      </c>
      <c r="K190" t="inlineStr">
        <is>
          <t>FIXED</t>
        </is>
      </c>
      <c r="Q190" t="inlineStr">
        <is>
          <t>可直接比较</t>
        </is>
      </c>
      <c r="R190" t="inlineStr">
        <is>
          <t>采用</t>
        </is>
      </c>
      <c r="S190" t="inlineStr">
        <is>
          <t>D-A2</t>
        </is>
      </c>
      <c r="T190" t="inlineStr">
        <is>
          <t>制冷剂NH3（单位以原文为准，m3/kg混用见备注）</t>
        </is>
      </c>
    </row>
    <row r="191">
      <c r="A191" t="inlineStr">
        <is>
          <t>CT-NH3-09</t>
        </is>
      </c>
      <c r="B191" t="inlineStr">
        <is>
          <t>流</t>
        </is>
      </c>
      <c r="C191" t="inlineStr">
        <is>
          <t>FL-NH3-09</t>
        </is>
      </c>
      <c r="D191" t="inlineStr">
        <is>
          <t>SRC-RAW</t>
        </is>
      </c>
      <c r="E191" t="inlineStr">
        <is>
          <t>PR09 Others段</t>
        </is>
      </c>
      <c r="F191" t="inlineStr">
        <is>
          <t>NH3</t>
        </is>
      </c>
      <c r="G191" t="n">
        <v>0.00116</v>
      </c>
      <c r="H191" t="inlineStr">
        <is>
          <t>kg/d</t>
        </is>
      </c>
      <c r="I191" t="inlineStr">
        <is>
          <t>1天生产</t>
        </is>
      </c>
      <c r="J191" t="inlineStr">
        <is>
          <t>1天生产工况</t>
        </is>
      </c>
      <c r="K191" t="inlineStr">
        <is>
          <t>FIXED</t>
        </is>
      </c>
      <c r="Q191" t="inlineStr">
        <is>
          <t>可直接比较</t>
        </is>
      </c>
      <c r="R191" t="inlineStr">
        <is>
          <t>采用</t>
        </is>
      </c>
      <c r="S191" t="inlineStr">
        <is>
          <t>D-A2</t>
        </is>
      </c>
      <c r="T191" t="inlineStr">
        <is>
          <t>制冷剂NH3（单位以原文为准，m3/kg混用见备注）</t>
        </is>
      </c>
    </row>
    <row r="192">
      <c r="A192" t="inlineStr">
        <is>
          <t>CT-NH3-12</t>
        </is>
      </c>
      <c r="B192" t="inlineStr">
        <is>
          <t>流</t>
        </is>
      </c>
      <c r="C192" t="inlineStr">
        <is>
          <t>FL-NH3-12</t>
        </is>
      </c>
      <c r="D192" t="inlineStr">
        <is>
          <t>SRC-RAW</t>
        </is>
      </c>
      <c r="E192" t="inlineStr">
        <is>
          <t>PR12 Others段</t>
        </is>
      </c>
      <c r="F192" t="inlineStr">
        <is>
          <t>NH3</t>
        </is>
      </c>
      <c r="G192" t="n">
        <v>0.0032</v>
      </c>
      <c r="H192" t="inlineStr">
        <is>
          <t>kg/d</t>
        </is>
      </c>
      <c r="I192" t="inlineStr">
        <is>
          <t>1天生产</t>
        </is>
      </c>
      <c r="J192" t="inlineStr">
        <is>
          <t>1天生产工况</t>
        </is>
      </c>
      <c r="K192" t="inlineStr">
        <is>
          <t>FIXED</t>
        </is>
      </c>
      <c r="Q192" t="inlineStr">
        <is>
          <t>可直接比较</t>
        </is>
      </c>
      <c r="R192" t="inlineStr">
        <is>
          <t>采用</t>
        </is>
      </c>
      <c r="S192" t="inlineStr">
        <is>
          <t>D-A2</t>
        </is>
      </c>
      <c r="T192" t="inlineStr">
        <is>
          <t>制冷剂NH3（单位以原文为准，m3/kg混用见备注）</t>
        </is>
      </c>
    </row>
    <row r="193">
      <c r="A193" t="inlineStr">
        <is>
          <t>CT-CW-02</t>
        </is>
      </c>
      <c r="B193" t="inlineStr">
        <is>
          <t>流</t>
        </is>
      </c>
      <c r="C193" t="inlineStr">
        <is>
          <t>FL-CW-02</t>
        </is>
      </c>
      <c r="D193" t="inlineStr">
        <is>
          <t>SRC-RAW</t>
        </is>
      </c>
      <c r="E193" t="inlineStr">
        <is>
          <t>PR02 Others段</t>
        </is>
      </c>
      <c r="F193" t="inlineStr">
        <is>
          <t>water</t>
        </is>
      </c>
      <c r="G193" t="n">
        <v>4</v>
      </c>
      <c r="H193" t="inlineStr">
        <is>
          <t>m3/d</t>
        </is>
      </c>
      <c r="I193" t="inlineStr">
        <is>
          <t>1天生产</t>
        </is>
      </c>
      <c r="J193" t="inlineStr">
        <is>
          <t>1天生产工况</t>
        </is>
      </c>
      <c r="K193" t="inlineStr">
        <is>
          <t>FIXED</t>
        </is>
      </c>
      <c r="Q193" t="inlineStr">
        <is>
          <t>可直接比较</t>
        </is>
      </c>
      <c r="R193" t="inlineStr">
        <is>
          <t>采用</t>
        </is>
      </c>
      <c r="S193" t="inlineStr">
        <is>
          <t>D-A2</t>
        </is>
      </c>
      <c r="T193" t="inlineStr">
        <is>
          <t>泵冷却水</t>
        </is>
      </c>
    </row>
    <row r="194">
      <c r="A194" t="inlineStr">
        <is>
          <t>CT-CW-03</t>
        </is>
      </c>
      <c r="B194" t="inlineStr">
        <is>
          <t>流</t>
        </is>
      </c>
      <c r="C194" t="inlineStr">
        <is>
          <t>FL-CW-03</t>
        </is>
      </c>
      <c r="D194" t="inlineStr">
        <is>
          <t>SRC-RAW</t>
        </is>
      </c>
      <c r="E194" t="inlineStr">
        <is>
          <t>PR03 Others段</t>
        </is>
      </c>
      <c r="F194" t="inlineStr">
        <is>
          <t>water</t>
        </is>
      </c>
      <c r="G194" t="n">
        <v>2</v>
      </c>
      <c r="H194" t="inlineStr">
        <is>
          <t>m3/d</t>
        </is>
      </c>
      <c r="I194" t="inlineStr">
        <is>
          <t>1天生产</t>
        </is>
      </c>
      <c r="J194" t="inlineStr">
        <is>
          <t>1天生产工况</t>
        </is>
      </c>
      <c r="K194" t="inlineStr">
        <is>
          <t>FIXED</t>
        </is>
      </c>
      <c r="Q194" t="inlineStr">
        <is>
          <t>可直接比较</t>
        </is>
      </c>
      <c r="R194" t="inlineStr">
        <is>
          <t>采用</t>
        </is>
      </c>
      <c r="S194" t="inlineStr">
        <is>
          <t>D-A2</t>
        </is>
      </c>
      <c r="T194" t="inlineStr">
        <is>
          <t>泵冷却水</t>
        </is>
      </c>
    </row>
    <row r="195">
      <c r="A195" t="inlineStr">
        <is>
          <t>CT-CW-05</t>
        </is>
      </c>
      <c r="B195" t="inlineStr">
        <is>
          <t>流</t>
        </is>
      </c>
      <c r="C195" t="inlineStr">
        <is>
          <t>FL-CW-05</t>
        </is>
      </c>
      <c r="D195" t="inlineStr">
        <is>
          <t>SRC-RAW</t>
        </is>
      </c>
      <c r="E195" t="inlineStr">
        <is>
          <t>PR05 Others段</t>
        </is>
      </c>
      <c r="F195" t="inlineStr">
        <is>
          <t>water</t>
        </is>
      </c>
      <c r="G195" t="n">
        <v>7</v>
      </c>
      <c r="H195" t="inlineStr">
        <is>
          <t>m3/d</t>
        </is>
      </c>
      <c r="I195" t="inlineStr">
        <is>
          <t>1天生产</t>
        </is>
      </c>
      <c r="J195" t="inlineStr">
        <is>
          <t>1天生产工况</t>
        </is>
      </c>
      <c r="K195" t="inlineStr">
        <is>
          <t>FIXED</t>
        </is>
      </c>
      <c r="Q195" t="inlineStr">
        <is>
          <t>可直接比较</t>
        </is>
      </c>
      <c r="R195" t="inlineStr">
        <is>
          <t>采用</t>
        </is>
      </c>
      <c r="S195" t="inlineStr">
        <is>
          <t>D-A2</t>
        </is>
      </c>
      <c r="T195" t="inlineStr">
        <is>
          <t>泵冷却水</t>
        </is>
      </c>
    </row>
    <row r="196">
      <c r="A196" t="inlineStr">
        <is>
          <t>CT-CW-06</t>
        </is>
      </c>
      <c r="B196" t="inlineStr">
        <is>
          <t>流</t>
        </is>
      </c>
      <c r="C196" t="inlineStr">
        <is>
          <t>FL-CW-06</t>
        </is>
      </c>
      <c r="D196" t="inlineStr">
        <is>
          <t>SRC-RAW</t>
        </is>
      </c>
      <c r="E196" t="inlineStr">
        <is>
          <t>PR06 Others段</t>
        </is>
      </c>
      <c r="F196" t="inlineStr">
        <is>
          <t>water</t>
        </is>
      </c>
      <c r="G196" t="n">
        <v>1.8</v>
      </c>
      <c r="H196" t="inlineStr">
        <is>
          <t>m3/d</t>
        </is>
      </c>
      <c r="I196" t="inlineStr">
        <is>
          <t>1天生产</t>
        </is>
      </c>
      <c r="J196" t="inlineStr">
        <is>
          <t>1天生产工况</t>
        </is>
      </c>
      <c r="K196" t="inlineStr">
        <is>
          <t>FIXED</t>
        </is>
      </c>
      <c r="Q196" t="inlineStr">
        <is>
          <t>可直接比较</t>
        </is>
      </c>
      <c r="R196" t="inlineStr">
        <is>
          <t>采用</t>
        </is>
      </c>
      <c r="S196" t="inlineStr">
        <is>
          <t>D-A2</t>
        </is>
      </c>
      <c r="T196" t="inlineStr">
        <is>
          <t>泵冷却水</t>
        </is>
      </c>
    </row>
    <row r="197">
      <c r="A197" t="inlineStr">
        <is>
          <t>CT-CW-08</t>
        </is>
      </c>
      <c r="B197" t="inlineStr">
        <is>
          <t>流</t>
        </is>
      </c>
      <c r="C197" t="inlineStr">
        <is>
          <t>FL-CW-08</t>
        </is>
      </c>
      <c r="D197" t="inlineStr">
        <is>
          <t>SRC-RAW</t>
        </is>
      </c>
      <c r="E197" t="inlineStr">
        <is>
          <t>PR08 Others段</t>
        </is>
      </c>
      <c r="F197" t="inlineStr">
        <is>
          <t>water</t>
        </is>
      </c>
      <c r="G197" t="n">
        <v>12</v>
      </c>
      <c r="H197" t="inlineStr">
        <is>
          <t>m3/d</t>
        </is>
      </c>
      <c r="I197" t="inlineStr">
        <is>
          <t>1天生产</t>
        </is>
      </c>
      <c r="J197" t="inlineStr">
        <is>
          <t>1天生产工况</t>
        </is>
      </c>
      <c r="K197" t="inlineStr">
        <is>
          <t>FIXED</t>
        </is>
      </c>
      <c r="Q197" t="inlineStr">
        <is>
          <t>可直接比较</t>
        </is>
      </c>
      <c r="R197" t="inlineStr">
        <is>
          <t>采用</t>
        </is>
      </c>
      <c r="S197" t="inlineStr">
        <is>
          <t>D-A2</t>
        </is>
      </c>
      <c r="T197" t="inlineStr">
        <is>
          <t>泵冷却水</t>
        </is>
      </c>
    </row>
    <row r="198">
      <c r="A198" t="inlineStr">
        <is>
          <t>CT-CLE-01</t>
        </is>
      </c>
      <c r="B198" t="inlineStr">
        <is>
          <t>流</t>
        </is>
      </c>
      <c r="C198" t="inlineStr">
        <is>
          <t>FL-CLE-01</t>
        </is>
      </c>
      <c r="D198" t="inlineStr">
        <is>
          <t>SRC-RAW</t>
        </is>
      </c>
      <c r="E198" t="inlineStr">
        <is>
          <t>PR01 Cleaning段</t>
        </is>
      </c>
      <c r="F198" t="inlineStr">
        <is>
          <t>Cleaning electricity</t>
        </is>
      </c>
      <c r="G198" t="n">
        <v>39</v>
      </c>
      <c r="H198" t="inlineStr">
        <is>
          <t>kWh/d</t>
        </is>
      </c>
      <c r="I198" t="inlineStr">
        <is>
          <t>1天生产</t>
        </is>
      </c>
      <c r="J198" t="inlineStr">
        <is>
          <t>1天生产工况</t>
        </is>
      </c>
      <c r="K198" t="inlineStr">
        <is>
          <t>FIXED</t>
        </is>
      </c>
      <c r="Q198" t="inlineStr">
        <is>
          <t>可直接比较</t>
        </is>
      </c>
      <c r="R198" t="inlineStr">
        <is>
          <t>采用</t>
        </is>
      </c>
      <c r="S198" t="inlineStr">
        <is>
          <t>D-A2</t>
        </is>
      </c>
      <c r="T198" t="inlineStr">
        <is>
          <t>CIP清洗电耗</t>
        </is>
      </c>
    </row>
    <row r="199">
      <c r="A199" t="inlineStr">
        <is>
          <t>CT-CLH-01</t>
        </is>
      </c>
      <c r="B199" t="inlineStr">
        <is>
          <t>流</t>
        </is>
      </c>
      <c r="C199" t="inlineStr">
        <is>
          <t>FL-CLH-01</t>
        </is>
      </c>
      <c r="D199" t="inlineStr">
        <is>
          <t>SRC-RAW</t>
        </is>
      </c>
      <c r="E199" t="inlineStr">
        <is>
          <t>PR01 Cleaning段</t>
        </is>
      </c>
      <c r="F199" t="inlineStr">
        <is>
          <t>Cleaning heat</t>
        </is>
      </c>
      <c r="G199" t="n">
        <v>667.8</v>
      </c>
      <c r="H199" t="inlineStr">
        <is>
          <t>MJ/d</t>
        </is>
      </c>
      <c r="I199" t="inlineStr">
        <is>
          <t>1天生产</t>
        </is>
      </c>
      <c r="J199" t="inlineStr">
        <is>
          <t>1天生产工况</t>
        </is>
      </c>
      <c r="K199" t="inlineStr">
        <is>
          <t>FIXED</t>
        </is>
      </c>
      <c r="Q199" t="inlineStr">
        <is>
          <t>可直接比较</t>
        </is>
      </c>
      <c r="R199" t="inlineStr">
        <is>
          <t>采用</t>
        </is>
      </c>
      <c r="S199" t="inlineStr">
        <is>
          <t>D-A2</t>
        </is>
      </c>
      <c r="T199" t="inlineStr">
        <is>
          <t>CIP清洗热耗</t>
        </is>
      </c>
    </row>
    <row r="200">
      <c r="A200" t="inlineStr">
        <is>
          <t>CT-CLW-01</t>
        </is>
      </c>
      <c r="B200" t="inlineStr">
        <is>
          <t>流</t>
        </is>
      </c>
      <c r="C200" t="inlineStr">
        <is>
          <t>FL-CLW-01</t>
        </is>
      </c>
      <c r="D200" t="inlineStr">
        <is>
          <t>SRC-RAW</t>
        </is>
      </c>
      <c r="E200" t="inlineStr">
        <is>
          <t>PR01 Cleaning段</t>
        </is>
      </c>
      <c r="F200" t="inlineStr">
        <is>
          <t>Cleaning tap water</t>
        </is>
      </c>
      <c r="G200" t="n">
        <v>19.4</v>
      </c>
      <c r="H200" t="inlineStr">
        <is>
          <t>m3/d</t>
        </is>
      </c>
      <c r="I200" t="inlineStr">
        <is>
          <t>1天生产</t>
        </is>
      </c>
      <c r="J200" t="inlineStr">
        <is>
          <t>1天生产工况</t>
        </is>
      </c>
      <c r="K200" t="inlineStr">
        <is>
          <t>FIXED</t>
        </is>
      </c>
      <c r="Q200" t="inlineStr">
        <is>
          <t>可直接比较</t>
        </is>
      </c>
      <c r="R200" t="inlineStr">
        <is>
          <t>采用</t>
        </is>
      </c>
      <c r="S200" t="inlineStr">
        <is>
          <t>D-A2</t>
        </is>
      </c>
      <c r="T200" t="inlineStr">
        <is>
          <t>CIP清洗水</t>
        </is>
      </c>
    </row>
    <row r="201">
      <c r="A201" t="inlineStr">
        <is>
          <t>CT-CLC-01A</t>
        </is>
      </c>
      <c r="B201" t="inlineStr">
        <is>
          <t>流</t>
        </is>
      </c>
      <c r="C201" t="inlineStr">
        <is>
          <t>FL-CLC-01A</t>
        </is>
      </c>
      <c r="D201" t="inlineStr">
        <is>
          <t>SRC-RAW</t>
        </is>
      </c>
      <c r="E201" t="inlineStr">
        <is>
          <t>PR01 Cleaning段</t>
        </is>
      </c>
      <c r="F201" t="inlineStr">
        <is>
          <t>NaOH</t>
        </is>
      </c>
      <c r="G201" t="n">
        <v>70.40000000000001</v>
      </c>
      <c r="H201" t="inlineStr">
        <is>
          <t>kg/d</t>
        </is>
      </c>
      <c r="I201" t="inlineStr">
        <is>
          <t>1天生产</t>
        </is>
      </c>
      <c r="J201" t="inlineStr">
        <is>
          <t>1天生产工况</t>
        </is>
      </c>
      <c r="K201" t="inlineStr">
        <is>
          <t>FIXED</t>
        </is>
      </c>
      <c r="Q201" t="inlineStr">
        <is>
          <t>可直接比较</t>
        </is>
      </c>
      <c r="R201" t="inlineStr">
        <is>
          <t>采用</t>
        </is>
      </c>
      <c r="S201" t="inlineStr">
        <is>
          <t>D-A2</t>
        </is>
      </c>
      <c r="T201" t="inlineStr">
        <is>
          <t>CIP清洗剂</t>
        </is>
      </c>
    </row>
    <row r="202">
      <c r="A202" t="inlineStr">
        <is>
          <t>CT-CLC-01B</t>
        </is>
      </c>
      <c r="B202" t="inlineStr">
        <is>
          <t>流</t>
        </is>
      </c>
      <c r="C202" t="inlineStr">
        <is>
          <t>FL-CLC-01B</t>
        </is>
      </c>
      <c r="D202" t="inlineStr">
        <is>
          <t>SRC-RAW</t>
        </is>
      </c>
      <c r="E202" t="inlineStr">
        <is>
          <t>PR01 Cleaning段</t>
        </is>
      </c>
      <c r="F202" t="inlineStr">
        <is>
          <t>HNO3</t>
        </is>
      </c>
      <c r="G202" t="n">
        <v>28</v>
      </c>
      <c r="H202" t="inlineStr">
        <is>
          <t>kg/d</t>
        </is>
      </c>
      <c r="I202" t="inlineStr">
        <is>
          <t>1天生产</t>
        </is>
      </c>
      <c r="J202" t="inlineStr">
        <is>
          <t>1天生产工况</t>
        </is>
      </c>
      <c r="K202" t="inlineStr">
        <is>
          <t>FIXED</t>
        </is>
      </c>
      <c r="Q202" t="inlineStr">
        <is>
          <t>可直接比较</t>
        </is>
      </c>
      <c r="R202" t="inlineStr">
        <is>
          <t>采用</t>
        </is>
      </c>
      <c r="S202" t="inlineStr">
        <is>
          <t>D-A2</t>
        </is>
      </c>
      <c r="T202" t="inlineStr">
        <is>
          <t>CIP清洗剂</t>
        </is>
      </c>
    </row>
    <row r="203">
      <c r="A203" t="inlineStr">
        <is>
          <t>CT-CLC-01C</t>
        </is>
      </c>
      <c r="B203" t="inlineStr">
        <is>
          <t>流</t>
        </is>
      </c>
      <c r="C203" t="inlineStr">
        <is>
          <t>FL-CLC-01C</t>
        </is>
      </c>
      <c r="D203" t="inlineStr">
        <is>
          <t>SRC-RAW</t>
        </is>
      </c>
      <c r="E203" t="inlineStr">
        <is>
          <t>PR01 Cleaning段</t>
        </is>
      </c>
      <c r="F203" t="inlineStr">
        <is>
          <t>NaOCl</t>
        </is>
      </c>
      <c r="G203" t="n">
        <v>0</v>
      </c>
      <c r="H203" t="inlineStr">
        <is>
          <t>kg/d</t>
        </is>
      </c>
      <c r="I203" t="inlineStr">
        <is>
          <t>1天生产</t>
        </is>
      </c>
      <c r="J203" t="inlineStr">
        <is>
          <t>1天生产工况</t>
        </is>
      </c>
      <c r="K203" t="inlineStr">
        <is>
          <t>FIXED</t>
        </is>
      </c>
      <c r="Q203" t="inlineStr">
        <is>
          <t>可直接比较</t>
        </is>
      </c>
      <c r="R203" t="inlineStr">
        <is>
          <t>采用</t>
        </is>
      </c>
      <c r="S203" t="inlineStr">
        <is>
          <t>D-A2</t>
        </is>
      </c>
      <c r="T203" t="inlineStr">
        <is>
          <t>CIP清洗剂</t>
        </is>
      </c>
    </row>
    <row r="204">
      <c r="A204" t="inlineStr">
        <is>
          <t>CT-CLC-01D</t>
        </is>
      </c>
      <c r="B204" t="inlineStr">
        <is>
          <t>流</t>
        </is>
      </c>
      <c r="C204" t="inlineStr">
        <is>
          <t>FL-CLC-01D</t>
        </is>
      </c>
      <c r="D204" t="inlineStr">
        <is>
          <t>SRC-RAW</t>
        </is>
      </c>
      <c r="E204" t="inlineStr">
        <is>
          <t>PR01 Cleaning段</t>
        </is>
      </c>
      <c r="F204" t="inlineStr">
        <is>
          <t>Phosphoc acid</t>
        </is>
      </c>
      <c r="G204" t="n">
        <v>0</v>
      </c>
      <c r="H204" t="inlineStr">
        <is>
          <t>kg/d</t>
        </is>
      </c>
      <c r="I204" t="inlineStr">
        <is>
          <t>1天生产</t>
        </is>
      </c>
      <c r="J204" t="inlineStr">
        <is>
          <t>1天生产工况</t>
        </is>
      </c>
      <c r="K204" t="inlineStr">
        <is>
          <t>FIXED</t>
        </is>
      </c>
      <c r="Q204" t="inlineStr">
        <is>
          <t>可直接比较</t>
        </is>
      </c>
      <c r="R204" t="inlineStr">
        <is>
          <t>采用</t>
        </is>
      </c>
      <c r="S204" t="inlineStr">
        <is>
          <t>D-A2</t>
        </is>
      </c>
      <c r="T204" t="inlineStr">
        <is>
          <t>CIP清洗剂</t>
        </is>
      </c>
    </row>
    <row r="205">
      <c r="A205" t="inlineStr">
        <is>
          <t>CT-CLC-01E</t>
        </is>
      </c>
      <c r="B205" t="inlineStr">
        <is>
          <t>流</t>
        </is>
      </c>
      <c r="C205" t="inlineStr">
        <is>
          <t>FL-CLC-01E</t>
        </is>
      </c>
      <c r="D205" t="inlineStr">
        <is>
          <t>SRC-RAW</t>
        </is>
      </c>
      <c r="E205" t="inlineStr">
        <is>
          <t>PR01 Cleaning段</t>
        </is>
      </c>
      <c r="F205" t="inlineStr">
        <is>
          <t>surfactant</t>
        </is>
      </c>
      <c r="G205" t="n">
        <v>0</v>
      </c>
      <c r="H205" t="inlineStr">
        <is>
          <t>kg/d</t>
        </is>
      </c>
      <c r="I205" t="inlineStr">
        <is>
          <t>1天生产</t>
        </is>
      </c>
      <c r="J205" t="inlineStr">
        <is>
          <t>1天生产工况</t>
        </is>
      </c>
      <c r="K205" t="inlineStr">
        <is>
          <t>FIXED</t>
        </is>
      </c>
      <c r="Q205" t="inlineStr">
        <is>
          <t>可直接比较</t>
        </is>
      </c>
      <c r="R205" t="inlineStr">
        <is>
          <t>采用</t>
        </is>
      </c>
      <c r="S205" t="inlineStr">
        <is>
          <t>D-A2</t>
        </is>
      </c>
      <c r="T205" t="inlineStr">
        <is>
          <t>CIP清洗剂</t>
        </is>
      </c>
    </row>
    <row r="206">
      <c r="A206" t="inlineStr">
        <is>
          <t>CT-CLC-01F</t>
        </is>
      </c>
      <c r="B206" t="inlineStr">
        <is>
          <t>流</t>
        </is>
      </c>
      <c r="C206" t="inlineStr">
        <is>
          <t>FL-CLC-01F</t>
        </is>
      </c>
      <c r="D206" t="inlineStr">
        <is>
          <t>SRC-RAW</t>
        </is>
      </c>
      <c r="E206" t="inlineStr">
        <is>
          <t>PR01 Cleaning段</t>
        </is>
      </c>
      <c r="F206" t="inlineStr">
        <is>
          <t>Other acid</t>
        </is>
      </c>
      <c r="G206" t="n">
        <v>0</v>
      </c>
      <c r="H206" t="inlineStr">
        <is>
          <t>kg/d</t>
        </is>
      </c>
      <c r="I206" t="inlineStr">
        <is>
          <t>1天生产</t>
        </is>
      </c>
      <c r="J206" t="inlineStr">
        <is>
          <t>1天生产工况</t>
        </is>
      </c>
      <c r="K206" t="inlineStr">
        <is>
          <t>FIXED</t>
        </is>
      </c>
      <c r="Q206" t="inlineStr">
        <is>
          <t>可直接比较</t>
        </is>
      </c>
      <c r="R206" t="inlineStr">
        <is>
          <t>采用</t>
        </is>
      </c>
      <c r="S206" t="inlineStr">
        <is>
          <t>D-A2</t>
        </is>
      </c>
      <c r="T206" t="inlineStr">
        <is>
          <t>CIP清洗剂</t>
        </is>
      </c>
    </row>
    <row r="207">
      <c r="A207" t="inlineStr">
        <is>
          <t>CT-CLT-01</t>
        </is>
      </c>
      <c r="B207" t="inlineStr">
        <is>
          <t>流</t>
        </is>
      </c>
      <c r="C207" t="inlineStr">
        <is>
          <t>FL-CLT-01</t>
        </is>
      </c>
      <c r="D207" t="inlineStr">
        <is>
          <t>SRC-RAW</t>
        </is>
      </c>
      <c r="E207" t="inlineStr">
        <is>
          <t>PR01 Cleaning段</t>
        </is>
      </c>
      <c r="F207" t="inlineStr">
        <is>
          <t>Tanks and pipes (stainless steel)</t>
        </is>
      </c>
      <c r="G207" t="n">
        <v>1.73813861386139</v>
      </c>
      <c r="H207" t="inlineStr">
        <is>
          <t>kg/d</t>
        </is>
      </c>
      <c r="I207" t="inlineStr">
        <is>
          <t>1天生产</t>
        </is>
      </c>
      <c r="J207" t="inlineStr">
        <is>
          <t>1天生产工况</t>
        </is>
      </c>
      <c r="K207" t="inlineStr">
        <is>
          <t>FIXED</t>
        </is>
      </c>
      <c r="Q207" t="inlineStr">
        <is>
          <t>可直接比较</t>
        </is>
      </c>
      <c r="R207" t="inlineStr">
        <is>
          <t>采用</t>
        </is>
      </c>
      <c r="S207" t="inlineStr">
        <is>
          <t>D-A2</t>
        </is>
      </c>
      <c r="T207" t="inlineStr">
        <is>
          <t>清洗回路设备材料（按天摊销）</t>
        </is>
      </c>
    </row>
    <row r="208">
      <c r="A208" t="inlineStr">
        <is>
          <t>CT-CLCOD-01</t>
        </is>
      </c>
      <c r="B208" t="inlineStr">
        <is>
          <t>流</t>
        </is>
      </c>
      <c r="C208" t="inlineStr">
        <is>
          <t>FL-CLCOD-01</t>
        </is>
      </c>
      <c r="D208" t="inlineStr">
        <is>
          <t>SRC-RAW</t>
        </is>
      </c>
      <c r="E208" t="inlineStr">
        <is>
          <t>PR01 Cleaning段</t>
        </is>
      </c>
      <c r="F208" t="inlineStr">
        <is>
          <t>Waste</t>
        </is>
      </c>
      <c r="G208" t="n">
        <v>52.6</v>
      </c>
      <c r="H208" t="inlineStr">
        <is>
          <t>kg_COD/d</t>
        </is>
      </c>
      <c r="I208" t="inlineStr">
        <is>
          <t>1天生产</t>
        </is>
      </c>
      <c r="J208" t="inlineStr">
        <is>
          <t>1天生产工况</t>
        </is>
      </c>
      <c r="K208" t="inlineStr">
        <is>
          <t>FIXED</t>
        </is>
      </c>
      <c r="Q208" t="inlineStr">
        <is>
          <t>可直接比较</t>
        </is>
      </c>
      <c r="R208" t="inlineStr">
        <is>
          <t>采用</t>
        </is>
      </c>
      <c r="S208" t="inlineStr">
        <is>
          <t>D-A2</t>
        </is>
      </c>
      <c r="T208" t="inlineStr">
        <is>
          <t>清洗废水COD负荷</t>
        </is>
      </c>
    </row>
    <row r="209">
      <c r="A209" t="inlineStr">
        <is>
          <t>CT-CLDM-01</t>
        </is>
      </c>
      <c r="B209" t="inlineStr">
        <is>
          <t>流</t>
        </is>
      </c>
      <c r="C209" t="inlineStr">
        <is>
          <t>FL-CLDM-01</t>
        </is>
      </c>
      <c r="D209" t="inlineStr">
        <is>
          <t>SRC-RAW</t>
        </is>
      </c>
      <c r="E209" t="inlineStr">
        <is>
          <t>PR01 Cleaning段</t>
        </is>
      </c>
      <c r="F209" t="inlineStr">
        <is>
          <t>dry matter content of waste</t>
        </is>
      </c>
      <c r="G209" t="n">
        <v>37.872</v>
      </c>
      <c r="H209" t="inlineStr">
        <is>
          <t>kg/d</t>
        </is>
      </c>
      <c r="I209" t="inlineStr">
        <is>
          <t>1天生产</t>
        </is>
      </c>
      <c r="J209" t="inlineStr">
        <is>
          <t>1天生产工况</t>
        </is>
      </c>
      <c r="K209" t="inlineStr">
        <is>
          <t>FIXED</t>
        </is>
      </c>
      <c r="Q209" t="inlineStr">
        <is>
          <t>可直接比较</t>
        </is>
      </c>
      <c r="R209" t="inlineStr">
        <is>
          <t>采用</t>
        </is>
      </c>
      <c r="S209" t="inlineStr">
        <is>
          <t>D-A2</t>
        </is>
      </c>
      <c r="T209" t="inlineStr">
        <is>
          <t>清洗废水干物质</t>
        </is>
      </c>
    </row>
    <row r="210">
      <c r="A210" t="inlineStr">
        <is>
          <t>CT-CLE-02</t>
        </is>
      </c>
      <c r="B210" t="inlineStr">
        <is>
          <t>流</t>
        </is>
      </c>
      <c r="C210" t="inlineStr">
        <is>
          <t>FL-CLE-02</t>
        </is>
      </c>
      <c r="D210" t="inlineStr">
        <is>
          <t>SRC-RAW</t>
        </is>
      </c>
      <c r="E210" t="inlineStr">
        <is>
          <t>PR02 Cleaning段</t>
        </is>
      </c>
      <c r="F210" t="inlineStr">
        <is>
          <t>Cleaning electricity</t>
        </is>
      </c>
      <c r="G210" t="n">
        <v>29</v>
      </c>
      <c r="H210" t="inlineStr">
        <is>
          <t>kWh/d</t>
        </is>
      </c>
      <c r="I210" t="inlineStr">
        <is>
          <t>1天生产</t>
        </is>
      </c>
      <c r="J210" t="inlineStr">
        <is>
          <t>1天生产工况</t>
        </is>
      </c>
      <c r="K210" t="inlineStr">
        <is>
          <t>FIXED</t>
        </is>
      </c>
      <c r="Q210" t="inlineStr">
        <is>
          <t>可直接比较</t>
        </is>
      </c>
      <c r="R210" t="inlineStr">
        <is>
          <t>采用</t>
        </is>
      </c>
      <c r="S210" t="inlineStr">
        <is>
          <t>D-A2</t>
        </is>
      </c>
      <c r="T210" t="inlineStr">
        <is>
          <t>CIP清洗电耗</t>
        </is>
      </c>
    </row>
    <row r="211">
      <c r="A211" t="inlineStr">
        <is>
          <t>CT-CLH-02</t>
        </is>
      </c>
      <c r="B211" t="inlineStr">
        <is>
          <t>流</t>
        </is>
      </c>
      <c r="C211" t="inlineStr">
        <is>
          <t>FL-CLH-02</t>
        </is>
      </c>
      <c r="D211" t="inlineStr">
        <is>
          <t>SRC-RAW</t>
        </is>
      </c>
      <c r="E211" t="inlineStr">
        <is>
          <t>PR02 Cleaning段</t>
        </is>
      </c>
      <c r="F211" t="inlineStr">
        <is>
          <t>Cleaning heat</t>
        </is>
      </c>
      <c r="G211" t="n">
        <v>791.64</v>
      </c>
      <c r="H211" t="inlineStr">
        <is>
          <t>MJ/d</t>
        </is>
      </c>
      <c r="I211" t="inlineStr">
        <is>
          <t>1天生产</t>
        </is>
      </c>
      <c r="J211" t="inlineStr">
        <is>
          <t>1天生产工况</t>
        </is>
      </c>
      <c r="K211" t="inlineStr">
        <is>
          <t>FIXED</t>
        </is>
      </c>
      <c r="Q211" t="inlineStr">
        <is>
          <t>可直接比较</t>
        </is>
      </c>
      <c r="R211" t="inlineStr">
        <is>
          <t>采用</t>
        </is>
      </c>
      <c r="S211" t="inlineStr">
        <is>
          <t>D-A2</t>
        </is>
      </c>
      <c r="T211" t="inlineStr">
        <is>
          <t>CIP清洗热耗</t>
        </is>
      </c>
    </row>
    <row r="212">
      <c r="A212" t="inlineStr">
        <is>
          <t>CT-CLW-02</t>
        </is>
      </c>
      <c r="B212" t="inlineStr">
        <is>
          <t>流</t>
        </is>
      </c>
      <c r="C212" t="inlineStr">
        <is>
          <t>FL-CLW-02</t>
        </is>
      </c>
      <c r="D212" t="inlineStr">
        <is>
          <t>SRC-RAW</t>
        </is>
      </c>
      <c r="E212" t="inlineStr">
        <is>
          <t>PR02 Cleaning段</t>
        </is>
      </c>
      <c r="F212" t="inlineStr">
        <is>
          <t>Cleaning tap water</t>
        </is>
      </c>
      <c r="G212" t="n">
        <v>12.8</v>
      </c>
      <c r="H212" t="inlineStr">
        <is>
          <t>m3/d</t>
        </is>
      </c>
      <c r="I212" t="inlineStr">
        <is>
          <t>1天生产</t>
        </is>
      </c>
      <c r="J212" t="inlineStr">
        <is>
          <t>1天生产工况</t>
        </is>
      </c>
      <c r="K212" t="inlineStr">
        <is>
          <t>FIXED</t>
        </is>
      </c>
      <c r="Q212" t="inlineStr">
        <is>
          <t>可直接比较</t>
        </is>
      </c>
      <c r="R212" t="inlineStr">
        <is>
          <t>采用</t>
        </is>
      </c>
      <c r="S212" t="inlineStr">
        <is>
          <t>D-A2</t>
        </is>
      </c>
      <c r="T212" t="inlineStr">
        <is>
          <t>CIP清洗水</t>
        </is>
      </c>
    </row>
    <row r="213">
      <c r="A213" t="inlineStr">
        <is>
          <t>CT-CLC-02A</t>
        </is>
      </c>
      <c r="B213" t="inlineStr">
        <is>
          <t>流</t>
        </is>
      </c>
      <c r="C213" t="inlineStr">
        <is>
          <t>FL-CLC-02A</t>
        </is>
      </c>
      <c r="D213" t="inlineStr">
        <is>
          <t>SRC-RAW</t>
        </is>
      </c>
      <c r="E213" t="inlineStr">
        <is>
          <t>PR02 Cleaning段</t>
        </is>
      </c>
      <c r="F213" t="inlineStr">
        <is>
          <t>NaOH</t>
        </is>
      </c>
      <c r="G213" t="n">
        <v>89.59999999999999</v>
      </c>
      <c r="H213" t="inlineStr">
        <is>
          <t>kg/d</t>
        </is>
      </c>
      <c r="I213" t="inlineStr">
        <is>
          <t>1天生产</t>
        </is>
      </c>
      <c r="J213" t="inlineStr">
        <is>
          <t>1天生产工况</t>
        </is>
      </c>
      <c r="K213" t="inlineStr">
        <is>
          <t>FIXED</t>
        </is>
      </c>
      <c r="Q213" t="inlineStr">
        <is>
          <t>可直接比较</t>
        </is>
      </c>
      <c r="R213" t="inlineStr">
        <is>
          <t>采用</t>
        </is>
      </c>
      <c r="S213" t="inlineStr">
        <is>
          <t>D-A2</t>
        </is>
      </c>
      <c r="T213" t="inlineStr">
        <is>
          <t>CIP清洗剂</t>
        </is>
      </c>
    </row>
    <row r="214">
      <c r="A214" t="inlineStr">
        <is>
          <t>CT-CLC-02B</t>
        </is>
      </c>
      <c r="B214" t="inlineStr">
        <is>
          <t>流</t>
        </is>
      </c>
      <c r="C214" t="inlineStr">
        <is>
          <t>FL-CLC-02B</t>
        </is>
      </c>
      <c r="D214" t="inlineStr">
        <is>
          <t>SRC-RAW</t>
        </is>
      </c>
      <c r="E214" t="inlineStr">
        <is>
          <t>PR02 Cleaning段</t>
        </is>
      </c>
      <c r="F214" t="inlineStr">
        <is>
          <t>HNO3</t>
        </is>
      </c>
      <c r="G214" t="n">
        <v>8</v>
      </c>
      <c r="H214" t="inlineStr">
        <is>
          <t>kg/d</t>
        </is>
      </c>
      <c r="I214" t="inlineStr">
        <is>
          <t>1天生产</t>
        </is>
      </c>
      <c r="J214" t="inlineStr">
        <is>
          <t>1天生产工况</t>
        </is>
      </c>
      <c r="K214" t="inlineStr">
        <is>
          <t>FIXED</t>
        </is>
      </c>
      <c r="Q214" t="inlineStr">
        <is>
          <t>可直接比较</t>
        </is>
      </c>
      <c r="R214" t="inlineStr">
        <is>
          <t>采用</t>
        </is>
      </c>
      <c r="S214" t="inlineStr">
        <is>
          <t>D-A2</t>
        </is>
      </c>
      <c r="T214" t="inlineStr">
        <is>
          <t>CIP清洗剂</t>
        </is>
      </c>
    </row>
    <row r="215">
      <c r="A215" t="inlineStr">
        <is>
          <t>CT-CLC-02C</t>
        </is>
      </c>
      <c r="B215" t="inlineStr">
        <is>
          <t>流</t>
        </is>
      </c>
      <c r="C215" t="inlineStr">
        <is>
          <t>FL-CLC-02C</t>
        </is>
      </c>
      <c r="D215" t="inlineStr">
        <is>
          <t>SRC-RAW</t>
        </is>
      </c>
      <c r="E215" t="inlineStr">
        <is>
          <t>PR02 Cleaning段</t>
        </is>
      </c>
      <c r="F215" t="inlineStr">
        <is>
          <t>NaOCl</t>
        </is>
      </c>
      <c r="G215" t="n">
        <v>0</v>
      </c>
      <c r="H215" t="inlineStr">
        <is>
          <t>kg/d</t>
        </is>
      </c>
      <c r="I215" t="inlineStr">
        <is>
          <t>1天生产</t>
        </is>
      </c>
      <c r="J215" t="inlineStr">
        <is>
          <t>1天生产工况</t>
        </is>
      </c>
      <c r="K215" t="inlineStr">
        <is>
          <t>FIXED</t>
        </is>
      </c>
      <c r="Q215" t="inlineStr">
        <is>
          <t>可直接比较</t>
        </is>
      </c>
      <c r="R215" t="inlineStr">
        <is>
          <t>采用</t>
        </is>
      </c>
      <c r="S215" t="inlineStr">
        <is>
          <t>D-A2</t>
        </is>
      </c>
      <c r="T215" t="inlineStr">
        <is>
          <t>CIP清洗剂</t>
        </is>
      </c>
    </row>
    <row r="216">
      <c r="A216" t="inlineStr">
        <is>
          <t>CT-CLC-02D</t>
        </is>
      </c>
      <c r="B216" t="inlineStr">
        <is>
          <t>流</t>
        </is>
      </c>
      <c r="C216" t="inlineStr">
        <is>
          <t>FL-CLC-02D</t>
        </is>
      </c>
      <c r="D216" t="inlineStr">
        <is>
          <t>SRC-RAW</t>
        </is>
      </c>
      <c r="E216" t="inlineStr">
        <is>
          <t>PR02 Cleaning段</t>
        </is>
      </c>
      <c r="F216" t="inlineStr">
        <is>
          <t>Phosphoc acid</t>
        </is>
      </c>
      <c r="G216" t="n">
        <v>0</v>
      </c>
      <c r="H216" t="inlineStr">
        <is>
          <t>kg/d</t>
        </is>
      </c>
      <c r="I216" t="inlineStr">
        <is>
          <t>1天生产</t>
        </is>
      </c>
      <c r="J216" t="inlineStr">
        <is>
          <t>1天生产工况</t>
        </is>
      </c>
      <c r="K216" t="inlineStr">
        <is>
          <t>FIXED</t>
        </is>
      </c>
      <c r="Q216" t="inlineStr">
        <is>
          <t>可直接比较</t>
        </is>
      </c>
      <c r="R216" t="inlineStr">
        <is>
          <t>采用</t>
        </is>
      </c>
      <c r="S216" t="inlineStr">
        <is>
          <t>D-A2</t>
        </is>
      </c>
      <c r="T216" t="inlineStr">
        <is>
          <t>CIP清洗剂</t>
        </is>
      </c>
    </row>
    <row r="217">
      <c r="A217" t="inlineStr">
        <is>
          <t>CT-CLC-02E</t>
        </is>
      </c>
      <c r="B217" t="inlineStr">
        <is>
          <t>流</t>
        </is>
      </c>
      <c r="C217" t="inlineStr">
        <is>
          <t>FL-CLC-02E</t>
        </is>
      </c>
      <c r="D217" t="inlineStr">
        <is>
          <t>SRC-RAW</t>
        </is>
      </c>
      <c r="E217" t="inlineStr">
        <is>
          <t>PR02 Cleaning段</t>
        </is>
      </c>
      <c r="F217" t="inlineStr">
        <is>
          <t>surfactant</t>
        </is>
      </c>
      <c r="G217" t="n">
        <v>0</v>
      </c>
      <c r="H217" t="inlineStr">
        <is>
          <t>kg/d</t>
        </is>
      </c>
      <c r="I217" t="inlineStr">
        <is>
          <t>1天生产</t>
        </is>
      </c>
      <c r="J217" t="inlineStr">
        <is>
          <t>1天生产工况</t>
        </is>
      </c>
      <c r="K217" t="inlineStr">
        <is>
          <t>FIXED</t>
        </is>
      </c>
      <c r="Q217" t="inlineStr">
        <is>
          <t>可直接比较</t>
        </is>
      </c>
      <c r="R217" t="inlineStr">
        <is>
          <t>采用</t>
        </is>
      </c>
      <c r="S217" t="inlineStr">
        <is>
          <t>D-A2</t>
        </is>
      </c>
      <c r="T217" t="inlineStr">
        <is>
          <t>CIP清洗剂</t>
        </is>
      </c>
    </row>
    <row r="218">
      <c r="A218" t="inlineStr">
        <is>
          <t>CT-CLC-02F</t>
        </is>
      </c>
      <c r="B218" t="inlineStr">
        <is>
          <t>流</t>
        </is>
      </c>
      <c r="C218" t="inlineStr">
        <is>
          <t>FL-CLC-02F</t>
        </is>
      </c>
      <c r="D218" t="inlineStr">
        <is>
          <t>SRC-RAW</t>
        </is>
      </c>
      <c r="E218" t="inlineStr">
        <is>
          <t>PR02 Cleaning段</t>
        </is>
      </c>
      <c r="F218" t="inlineStr">
        <is>
          <t>Other acid</t>
        </is>
      </c>
      <c r="G218" t="n">
        <v>0</v>
      </c>
      <c r="H218" t="inlineStr">
        <is>
          <t>kg/d</t>
        </is>
      </c>
      <c r="I218" t="inlineStr">
        <is>
          <t>1天生产</t>
        </is>
      </c>
      <c r="J218" t="inlineStr">
        <is>
          <t>1天生产工况</t>
        </is>
      </c>
      <c r="K218" t="inlineStr">
        <is>
          <t>FIXED</t>
        </is>
      </c>
      <c r="Q218" t="inlineStr">
        <is>
          <t>可直接比较</t>
        </is>
      </c>
      <c r="R218" t="inlineStr">
        <is>
          <t>采用</t>
        </is>
      </c>
      <c r="S218" t="inlineStr">
        <is>
          <t>D-A2</t>
        </is>
      </c>
      <c r="T218" t="inlineStr">
        <is>
          <t>CIP清洗剂</t>
        </is>
      </c>
    </row>
    <row r="219">
      <c r="A219" t="inlineStr">
        <is>
          <t>CT-CLT-02</t>
        </is>
      </c>
      <c r="B219" t="inlineStr">
        <is>
          <t>流</t>
        </is>
      </c>
      <c r="C219" t="inlineStr">
        <is>
          <t>FL-CLT-02</t>
        </is>
      </c>
      <c r="D219" t="inlineStr">
        <is>
          <t>SRC-RAW</t>
        </is>
      </c>
      <c r="E219" t="inlineStr">
        <is>
          <t>PR02 Cleaning段</t>
        </is>
      </c>
      <c r="F219" t="inlineStr">
        <is>
          <t>Tanks and pipes (stainless steel)</t>
        </is>
      </c>
      <c r="G219" t="n">
        <v>0.844039603960396</v>
      </c>
      <c r="H219" t="inlineStr">
        <is>
          <t>kg/d</t>
        </is>
      </c>
      <c r="I219" t="inlineStr">
        <is>
          <t>1天生产</t>
        </is>
      </c>
      <c r="J219" t="inlineStr">
        <is>
          <t>1天生产工况</t>
        </is>
      </c>
      <c r="K219" t="inlineStr">
        <is>
          <t>FIXED</t>
        </is>
      </c>
      <c r="Q219" t="inlineStr">
        <is>
          <t>可直接比较</t>
        </is>
      </c>
      <c r="R219" t="inlineStr">
        <is>
          <t>采用</t>
        </is>
      </c>
      <c r="S219" t="inlineStr">
        <is>
          <t>D-A2</t>
        </is>
      </c>
      <c r="T219" t="inlineStr">
        <is>
          <t>清洗回路设备材料（按天摊销）</t>
        </is>
      </c>
    </row>
    <row r="220">
      <c r="A220" t="inlineStr">
        <is>
          <t>CT-CLCOD-02</t>
        </is>
      </c>
      <c r="B220" t="inlineStr">
        <is>
          <t>流</t>
        </is>
      </c>
      <c r="C220" t="inlineStr">
        <is>
          <t>FL-CLCOD-02</t>
        </is>
      </c>
      <c r="D220" t="inlineStr">
        <is>
          <t>SRC-RAW</t>
        </is>
      </c>
      <c r="E220" t="inlineStr">
        <is>
          <t>PR02 Cleaning段</t>
        </is>
      </c>
      <c r="F220" t="inlineStr">
        <is>
          <t>Waste</t>
        </is>
      </c>
      <c r="G220" t="n">
        <v>94.40000000000001</v>
      </c>
      <c r="H220" t="inlineStr">
        <is>
          <t>kg_COD/d</t>
        </is>
      </c>
      <c r="I220" t="inlineStr">
        <is>
          <t>1天生产</t>
        </is>
      </c>
      <c r="J220" t="inlineStr">
        <is>
          <t>1天生产工况</t>
        </is>
      </c>
      <c r="K220" t="inlineStr">
        <is>
          <t>FIXED</t>
        </is>
      </c>
      <c r="Q220" t="inlineStr">
        <is>
          <t>可直接比较</t>
        </is>
      </c>
      <c r="R220" t="inlineStr">
        <is>
          <t>采用</t>
        </is>
      </c>
      <c r="S220" t="inlineStr">
        <is>
          <t>D-A2</t>
        </is>
      </c>
      <c r="T220" t="inlineStr">
        <is>
          <t>清洗废水COD负荷</t>
        </is>
      </c>
    </row>
    <row r="221">
      <c r="A221" t="inlineStr">
        <is>
          <t>CT-CLDM-02</t>
        </is>
      </c>
      <c r="B221" t="inlineStr">
        <is>
          <t>流</t>
        </is>
      </c>
      <c r="C221" t="inlineStr">
        <is>
          <t>FL-CLDM-02</t>
        </is>
      </c>
      <c r="D221" t="inlineStr">
        <is>
          <t>SRC-RAW</t>
        </is>
      </c>
      <c r="E221" t="inlineStr">
        <is>
          <t>PR02 Cleaning段</t>
        </is>
      </c>
      <c r="F221" t="inlineStr">
        <is>
          <t>dry matter content of waste</t>
        </is>
      </c>
      <c r="G221" t="n">
        <v>67.968</v>
      </c>
      <c r="H221" t="inlineStr">
        <is>
          <t>kg/d</t>
        </is>
      </c>
      <c r="I221" t="inlineStr">
        <is>
          <t>1天生产</t>
        </is>
      </c>
      <c r="J221" t="inlineStr">
        <is>
          <t>1天生产工况</t>
        </is>
      </c>
      <c r="K221" t="inlineStr">
        <is>
          <t>FIXED</t>
        </is>
      </c>
      <c r="Q221" t="inlineStr">
        <is>
          <t>可直接比较</t>
        </is>
      </c>
      <c r="R221" t="inlineStr">
        <is>
          <t>采用</t>
        </is>
      </c>
      <c r="S221" t="inlineStr">
        <is>
          <t>D-A2</t>
        </is>
      </c>
      <c r="T221" t="inlineStr">
        <is>
          <t>清洗废水干物质</t>
        </is>
      </c>
    </row>
    <row r="222">
      <c r="A222" t="inlineStr">
        <is>
          <t>CT-CLE-03</t>
        </is>
      </c>
      <c r="B222" t="inlineStr">
        <is>
          <t>流</t>
        </is>
      </c>
      <c r="C222" t="inlineStr">
        <is>
          <t>FL-CLE-03</t>
        </is>
      </c>
      <c r="D222" t="inlineStr">
        <is>
          <t>SRC-RAW</t>
        </is>
      </c>
      <c r="E222" t="inlineStr">
        <is>
          <t>PR03 Cleaning段</t>
        </is>
      </c>
      <c r="F222" t="inlineStr">
        <is>
          <t>Cleaning electricity</t>
        </is>
      </c>
      <c r="G222" t="n">
        <v>39</v>
      </c>
      <c r="H222" t="inlineStr">
        <is>
          <t>kWh/d</t>
        </is>
      </c>
      <c r="I222" t="inlineStr">
        <is>
          <t>1天生产</t>
        </is>
      </c>
      <c r="J222" t="inlineStr">
        <is>
          <t>1天生产工况</t>
        </is>
      </c>
      <c r="K222" t="inlineStr">
        <is>
          <t>FIXED</t>
        </is>
      </c>
      <c r="Q222" t="inlineStr">
        <is>
          <t>可直接比较</t>
        </is>
      </c>
      <c r="R222" t="inlineStr">
        <is>
          <t>采用</t>
        </is>
      </c>
      <c r="S222" t="inlineStr">
        <is>
          <t>D-A2</t>
        </is>
      </c>
      <c r="T222" t="inlineStr">
        <is>
          <t>CIP清洗电耗</t>
        </is>
      </c>
    </row>
    <row r="223">
      <c r="A223" t="inlineStr">
        <is>
          <t>CT-CLH-03</t>
        </is>
      </c>
      <c r="B223" t="inlineStr">
        <is>
          <t>流</t>
        </is>
      </c>
      <c r="C223" t="inlineStr">
        <is>
          <t>FL-CLH-03</t>
        </is>
      </c>
      <c r="D223" t="inlineStr">
        <is>
          <t>SRC-RAW</t>
        </is>
      </c>
      <c r="E223" t="inlineStr">
        <is>
          <t>PR03 Cleaning段</t>
        </is>
      </c>
      <c r="F223" t="inlineStr">
        <is>
          <t>Cleaning heat</t>
        </is>
      </c>
      <c r="G223" t="n">
        <v>707.4</v>
      </c>
      <c r="H223" t="inlineStr">
        <is>
          <t>MJ/d</t>
        </is>
      </c>
      <c r="I223" t="inlineStr">
        <is>
          <t>1天生产</t>
        </is>
      </c>
      <c r="J223" t="inlineStr">
        <is>
          <t>1天生产工况</t>
        </is>
      </c>
      <c r="K223" t="inlineStr">
        <is>
          <t>FIXED</t>
        </is>
      </c>
      <c r="Q223" t="inlineStr">
        <is>
          <t>可直接比较</t>
        </is>
      </c>
      <c r="R223" t="inlineStr">
        <is>
          <t>采用</t>
        </is>
      </c>
      <c r="S223" t="inlineStr">
        <is>
          <t>D-A2</t>
        </is>
      </c>
      <c r="T223" t="inlineStr">
        <is>
          <t>CIP清洗热耗</t>
        </is>
      </c>
    </row>
    <row r="224">
      <c r="A224" t="inlineStr">
        <is>
          <t>CT-CLW-03</t>
        </is>
      </c>
      <c r="B224" t="inlineStr">
        <is>
          <t>流</t>
        </is>
      </c>
      <c r="C224" t="inlineStr">
        <is>
          <t>FL-CLW-03</t>
        </is>
      </c>
      <c r="D224" t="inlineStr">
        <is>
          <t>SRC-RAW</t>
        </is>
      </c>
      <c r="E224" t="inlineStr">
        <is>
          <t>PR03 Cleaning段</t>
        </is>
      </c>
      <c r="F224" t="inlineStr">
        <is>
          <t>Cleaning tap water</t>
        </is>
      </c>
      <c r="G224" t="n">
        <v>2.55</v>
      </c>
      <c r="H224" t="inlineStr">
        <is>
          <t>m3/d</t>
        </is>
      </c>
      <c r="I224" t="inlineStr">
        <is>
          <t>1天生产</t>
        </is>
      </c>
      <c r="J224" t="inlineStr">
        <is>
          <t>1天生产工况</t>
        </is>
      </c>
      <c r="K224" t="inlineStr">
        <is>
          <t>FIXED</t>
        </is>
      </c>
      <c r="Q224" t="inlineStr">
        <is>
          <t>可直接比较</t>
        </is>
      </c>
      <c r="R224" t="inlineStr">
        <is>
          <t>采用</t>
        </is>
      </c>
      <c r="S224" t="inlineStr">
        <is>
          <t>D-A2</t>
        </is>
      </c>
      <c r="T224" t="inlineStr">
        <is>
          <t>CIP清洗水</t>
        </is>
      </c>
    </row>
    <row r="225">
      <c r="A225" t="inlineStr">
        <is>
          <t>CT-CLC-03A</t>
        </is>
      </c>
      <c r="B225" t="inlineStr">
        <is>
          <t>流</t>
        </is>
      </c>
      <c r="C225" t="inlineStr">
        <is>
          <t>FL-CLC-03A</t>
        </is>
      </c>
      <c r="D225" t="inlineStr">
        <is>
          <t>SRC-RAW</t>
        </is>
      </c>
      <c r="E225" t="inlineStr">
        <is>
          <t>PR03 Cleaning段</t>
        </is>
      </c>
      <c r="F225" t="inlineStr">
        <is>
          <t>NaOH</t>
        </is>
      </c>
      <c r="G225" t="n">
        <v>70.40000000000001</v>
      </c>
      <c r="H225" t="inlineStr">
        <is>
          <t>kg/d</t>
        </is>
      </c>
      <c r="I225" t="inlineStr">
        <is>
          <t>1天生产</t>
        </is>
      </c>
      <c r="J225" t="inlineStr">
        <is>
          <t>1天生产工况</t>
        </is>
      </c>
      <c r="K225" t="inlineStr">
        <is>
          <t>FIXED</t>
        </is>
      </c>
      <c r="Q225" t="inlineStr">
        <is>
          <t>可直接比较</t>
        </is>
      </c>
      <c r="R225" t="inlineStr">
        <is>
          <t>采用</t>
        </is>
      </c>
      <c r="S225" t="inlineStr">
        <is>
          <t>D-A2</t>
        </is>
      </c>
      <c r="T225" t="inlineStr">
        <is>
          <t>CIP清洗剂</t>
        </is>
      </c>
    </row>
    <row r="226">
      <c r="A226" t="inlineStr">
        <is>
          <t>CT-CLC-03B</t>
        </is>
      </c>
      <c r="B226" t="inlineStr">
        <is>
          <t>流</t>
        </is>
      </c>
      <c r="C226" t="inlineStr">
        <is>
          <t>FL-CLC-03B</t>
        </is>
      </c>
      <c r="D226" t="inlineStr">
        <is>
          <t>SRC-RAW</t>
        </is>
      </c>
      <c r="E226" t="inlineStr">
        <is>
          <t>PR03 Cleaning段</t>
        </is>
      </c>
      <c r="F226" t="inlineStr">
        <is>
          <t>HNO3</t>
        </is>
      </c>
      <c r="G226" t="n">
        <v>28</v>
      </c>
      <c r="H226" t="inlineStr">
        <is>
          <t>kg/d</t>
        </is>
      </c>
      <c r="I226" t="inlineStr">
        <is>
          <t>1天生产</t>
        </is>
      </c>
      <c r="J226" t="inlineStr">
        <is>
          <t>1天生产工况</t>
        </is>
      </c>
      <c r="K226" t="inlineStr">
        <is>
          <t>FIXED</t>
        </is>
      </c>
      <c r="Q226" t="inlineStr">
        <is>
          <t>可直接比较</t>
        </is>
      </c>
      <c r="R226" t="inlineStr">
        <is>
          <t>采用</t>
        </is>
      </c>
      <c r="S226" t="inlineStr">
        <is>
          <t>D-A2</t>
        </is>
      </c>
      <c r="T226" t="inlineStr">
        <is>
          <t>CIP清洗剂</t>
        </is>
      </c>
    </row>
    <row r="227">
      <c r="A227" t="inlineStr">
        <is>
          <t>CT-CLC-03C</t>
        </is>
      </c>
      <c r="B227" t="inlineStr">
        <is>
          <t>流</t>
        </is>
      </c>
      <c r="C227" t="inlineStr">
        <is>
          <t>FL-CLC-03C</t>
        </is>
      </c>
      <c r="D227" t="inlineStr">
        <is>
          <t>SRC-RAW</t>
        </is>
      </c>
      <c r="E227" t="inlineStr">
        <is>
          <t>PR03 Cleaning段</t>
        </is>
      </c>
      <c r="F227" t="inlineStr">
        <is>
          <t>NaOCl</t>
        </is>
      </c>
      <c r="G227" t="n">
        <v>0</v>
      </c>
      <c r="H227" t="inlineStr">
        <is>
          <t>kg/d</t>
        </is>
      </c>
      <c r="I227" t="inlineStr">
        <is>
          <t>1天生产</t>
        </is>
      </c>
      <c r="J227" t="inlineStr">
        <is>
          <t>1天生产工况</t>
        </is>
      </c>
      <c r="K227" t="inlineStr">
        <is>
          <t>FIXED</t>
        </is>
      </c>
      <c r="Q227" t="inlineStr">
        <is>
          <t>可直接比较</t>
        </is>
      </c>
      <c r="R227" t="inlineStr">
        <is>
          <t>采用</t>
        </is>
      </c>
      <c r="S227" t="inlineStr">
        <is>
          <t>D-A2</t>
        </is>
      </c>
      <c r="T227" t="inlineStr">
        <is>
          <t>CIP清洗剂</t>
        </is>
      </c>
    </row>
    <row r="228">
      <c r="A228" t="inlineStr">
        <is>
          <t>CT-CLC-03D</t>
        </is>
      </c>
      <c r="B228" t="inlineStr">
        <is>
          <t>流</t>
        </is>
      </c>
      <c r="C228" t="inlineStr">
        <is>
          <t>FL-CLC-03D</t>
        </is>
      </c>
      <c r="D228" t="inlineStr">
        <is>
          <t>SRC-RAW</t>
        </is>
      </c>
      <c r="E228" t="inlineStr">
        <is>
          <t>PR03 Cleaning段</t>
        </is>
      </c>
      <c r="F228" t="inlineStr">
        <is>
          <t>Phosphoc acid</t>
        </is>
      </c>
      <c r="G228" t="n">
        <v>0</v>
      </c>
      <c r="H228" t="inlineStr">
        <is>
          <t>kg/d</t>
        </is>
      </c>
      <c r="I228" t="inlineStr">
        <is>
          <t>1天生产</t>
        </is>
      </c>
      <c r="J228" t="inlineStr">
        <is>
          <t>1天生产工况</t>
        </is>
      </c>
      <c r="K228" t="inlineStr">
        <is>
          <t>FIXED</t>
        </is>
      </c>
      <c r="Q228" t="inlineStr">
        <is>
          <t>可直接比较</t>
        </is>
      </c>
      <c r="R228" t="inlineStr">
        <is>
          <t>采用</t>
        </is>
      </c>
      <c r="S228" t="inlineStr">
        <is>
          <t>D-A2</t>
        </is>
      </c>
      <c r="T228" t="inlineStr">
        <is>
          <t>CIP清洗剂</t>
        </is>
      </c>
    </row>
    <row r="229">
      <c r="A229" t="inlineStr">
        <is>
          <t>CT-CLC-03E</t>
        </is>
      </c>
      <c r="B229" t="inlineStr">
        <is>
          <t>流</t>
        </is>
      </c>
      <c r="C229" t="inlineStr">
        <is>
          <t>FL-CLC-03E</t>
        </is>
      </c>
      <c r="D229" t="inlineStr">
        <is>
          <t>SRC-RAW</t>
        </is>
      </c>
      <c r="E229" t="inlineStr">
        <is>
          <t>PR03 Cleaning段</t>
        </is>
      </c>
      <c r="F229" t="inlineStr">
        <is>
          <t>surfactant</t>
        </is>
      </c>
      <c r="G229" t="n">
        <v>0</v>
      </c>
      <c r="H229" t="inlineStr">
        <is>
          <t>kg/d</t>
        </is>
      </c>
      <c r="I229" t="inlineStr">
        <is>
          <t>1天生产</t>
        </is>
      </c>
      <c r="J229" t="inlineStr">
        <is>
          <t>1天生产工况</t>
        </is>
      </c>
      <c r="K229" t="inlineStr">
        <is>
          <t>FIXED</t>
        </is>
      </c>
      <c r="Q229" t="inlineStr">
        <is>
          <t>可直接比较</t>
        </is>
      </c>
      <c r="R229" t="inlineStr">
        <is>
          <t>采用</t>
        </is>
      </c>
      <c r="S229" t="inlineStr">
        <is>
          <t>D-A2</t>
        </is>
      </c>
      <c r="T229" t="inlineStr">
        <is>
          <t>CIP清洗剂</t>
        </is>
      </c>
    </row>
    <row r="230">
      <c r="A230" t="inlineStr">
        <is>
          <t>CT-CLC-03F</t>
        </is>
      </c>
      <c r="B230" t="inlineStr">
        <is>
          <t>流</t>
        </is>
      </c>
      <c r="C230" t="inlineStr">
        <is>
          <t>FL-CLC-03F</t>
        </is>
      </c>
      <c r="D230" t="inlineStr">
        <is>
          <t>SRC-RAW</t>
        </is>
      </c>
      <c r="E230" t="inlineStr">
        <is>
          <t>PR03 Cleaning段</t>
        </is>
      </c>
      <c r="F230" t="inlineStr">
        <is>
          <t>Other acid</t>
        </is>
      </c>
      <c r="G230" t="n">
        <v>0</v>
      </c>
      <c r="H230" t="inlineStr">
        <is>
          <t>kg/d</t>
        </is>
      </c>
      <c r="I230" t="inlineStr">
        <is>
          <t>1天生产</t>
        </is>
      </c>
      <c r="J230" t="inlineStr">
        <is>
          <t>1天生产工况</t>
        </is>
      </c>
      <c r="K230" t="inlineStr">
        <is>
          <t>FIXED</t>
        </is>
      </c>
      <c r="Q230" t="inlineStr">
        <is>
          <t>可直接比较</t>
        </is>
      </c>
      <c r="R230" t="inlineStr">
        <is>
          <t>采用</t>
        </is>
      </c>
      <c r="S230" t="inlineStr">
        <is>
          <t>D-A2</t>
        </is>
      </c>
      <c r="T230" t="inlineStr">
        <is>
          <t>CIP清洗剂</t>
        </is>
      </c>
    </row>
    <row r="231">
      <c r="A231" t="inlineStr">
        <is>
          <t>CT-CLT-03</t>
        </is>
      </c>
      <c r="B231" t="inlineStr">
        <is>
          <t>流</t>
        </is>
      </c>
      <c r="C231" t="inlineStr">
        <is>
          <t>FL-CLT-03</t>
        </is>
      </c>
      <c r="D231" t="inlineStr">
        <is>
          <t>SRC-RAW</t>
        </is>
      </c>
      <c r="E231" t="inlineStr">
        <is>
          <t>PR03 Cleaning段</t>
        </is>
      </c>
      <c r="F231" t="inlineStr">
        <is>
          <t>Tanks and pipes (stainless steel)</t>
        </is>
      </c>
      <c r="G231" t="n">
        <v>1.73813861386139</v>
      </c>
      <c r="H231" t="inlineStr">
        <is>
          <t>kg/d</t>
        </is>
      </c>
      <c r="I231" t="inlineStr">
        <is>
          <t>1天生产</t>
        </is>
      </c>
      <c r="J231" t="inlineStr">
        <is>
          <t>1天生产工况</t>
        </is>
      </c>
      <c r="K231" t="inlineStr">
        <is>
          <t>FIXED</t>
        </is>
      </c>
      <c r="Q231" t="inlineStr">
        <is>
          <t>可直接比较</t>
        </is>
      </c>
      <c r="R231" t="inlineStr">
        <is>
          <t>采用</t>
        </is>
      </c>
      <c r="S231" t="inlineStr">
        <is>
          <t>D-A2</t>
        </is>
      </c>
      <c r="T231" t="inlineStr">
        <is>
          <t>清洗回路设备材料（按天摊销）</t>
        </is>
      </c>
    </row>
    <row r="232">
      <c r="A232" t="inlineStr">
        <is>
          <t>CT-CLCOD-03</t>
        </is>
      </c>
      <c r="B232" t="inlineStr">
        <is>
          <t>流</t>
        </is>
      </c>
      <c r="C232" t="inlineStr">
        <is>
          <t>FL-CLCOD-03</t>
        </is>
      </c>
      <c r="D232" t="inlineStr">
        <is>
          <t>SRC-RAW</t>
        </is>
      </c>
      <c r="E232" t="inlineStr">
        <is>
          <t>PR03 Cleaning段</t>
        </is>
      </c>
      <c r="F232" t="inlineStr">
        <is>
          <t>Waste</t>
        </is>
      </c>
      <c r="G232" t="n">
        <v>1.58</v>
      </c>
      <c r="H232" t="inlineStr">
        <is>
          <t>kg_COD/d</t>
        </is>
      </c>
      <c r="I232" t="inlineStr">
        <is>
          <t>1天生产</t>
        </is>
      </c>
      <c r="J232" t="inlineStr">
        <is>
          <t>1天生产工况</t>
        </is>
      </c>
      <c r="K232" t="inlineStr">
        <is>
          <t>FIXED</t>
        </is>
      </c>
      <c r="Q232" t="inlineStr">
        <is>
          <t>可直接比较</t>
        </is>
      </c>
      <c r="R232" t="inlineStr">
        <is>
          <t>采用</t>
        </is>
      </c>
      <c r="S232" t="inlineStr">
        <is>
          <t>D-A2</t>
        </is>
      </c>
      <c r="T232" t="inlineStr">
        <is>
          <t>清洗废水COD负荷</t>
        </is>
      </c>
    </row>
    <row r="233">
      <c r="A233" t="inlineStr">
        <is>
          <t>CT-CLDM-03</t>
        </is>
      </c>
      <c r="B233" t="inlineStr">
        <is>
          <t>流</t>
        </is>
      </c>
      <c r="C233" t="inlineStr">
        <is>
          <t>FL-CLDM-03</t>
        </is>
      </c>
      <c r="D233" t="inlineStr">
        <is>
          <t>SRC-RAW</t>
        </is>
      </c>
      <c r="E233" t="inlineStr">
        <is>
          <t>PR03 Cleaning段</t>
        </is>
      </c>
      <c r="F233" t="inlineStr">
        <is>
          <t>dry matter content of waste</t>
        </is>
      </c>
      <c r="G233" t="n">
        <v>1.817</v>
      </c>
      <c r="H233" t="inlineStr">
        <is>
          <t>kg/d</t>
        </is>
      </c>
      <c r="I233" t="inlineStr">
        <is>
          <t>1天生产</t>
        </is>
      </c>
      <c r="J233" t="inlineStr">
        <is>
          <t>1天生产工况</t>
        </is>
      </c>
      <c r="K233" t="inlineStr">
        <is>
          <t>FIXED</t>
        </is>
      </c>
      <c r="Q233" t="inlineStr">
        <is>
          <t>可直接比较</t>
        </is>
      </c>
      <c r="R233" t="inlineStr">
        <is>
          <t>采用</t>
        </is>
      </c>
      <c r="S233" t="inlineStr">
        <is>
          <t>D-A2</t>
        </is>
      </c>
      <c r="T233" t="inlineStr">
        <is>
          <t>清洗废水干物质</t>
        </is>
      </c>
    </row>
    <row r="234">
      <c r="A234" t="inlineStr">
        <is>
          <t>CT-CLE-04</t>
        </is>
      </c>
      <c r="B234" t="inlineStr">
        <is>
          <t>流</t>
        </is>
      </c>
      <c r="C234" t="inlineStr">
        <is>
          <t>FL-CLE-04</t>
        </is>
      </c>
      <c r="D234" t="inlineStr">
        <is>
          <t>SRC-RAW</t>
        </is>
      </c>
      <c r="E234" t="inlineStr">
        <is>
          <t>PR04 Cleaning段</t>
        </is>
      </c>
      <c r="F234" t="inlineStr">
        <is>
          <t>Cleaning electricity</t>
        </is>
      </c>
      <c r="G234" t="n">
        <v>29</v>
      </c>
      <c r="H234" t="inlineStr">
        <is>
          <t>kWh/d</t>
        </is>
      </c>
      <c r="I234" t="inlineStr">
        <is>
          <t>1天生产</t>
        </is>
      </c>
      <c r="J234" t="inlineStr">
        <is>
          <t>1天生产工况</t>
        </is>
      </c>
      <c r="K234" t="inlineStr">
        <is>
          <t>FIXED</t>
        </is>
      </c>
      <c r="Q234" t="inlineStr">
        <is>
          <t>可直接比较</t>
        </is>
      </c>
      <c r="R234" t="inlineStr">
        <is>
          <t>采用</t>
        </is>
      </c>
      <c r="S234" t="inlineStr">
        <is>
          <t>D-A2</t>
        </is>
      </c>
      <c r="T234" t="inlineStr">
        <is>
          <t>CIP清洗电耗</t>
        </is>
      </c>
    </row>
    <row r="235">
      <c r="A235" t="inlineStr">
        <is>
          <t>CT-CLH-04</t>
        </is>
      </c>
      <c r="B235" t="inlineStr">
        <is>
          <t>流</t>
        </is>
      </c>
      <c r="C235" t="inlineStr">
        <is>
          <t>FL-CLH-04</t>
        </is>
      </c>
      <c r="D235" t="inlineStr">
        <is>
          <t>SRC-RAW</t>
        </is>
      </c>
      <c r="E235" t="inlineStr">
        <is>
          <t>PR04 Cleaning段</t>
        </is>
      </c>
      <c r="F235" t="inlineStr">
        <is>
          <t>Cleaning heat</t>
        </is>
      </c>
      <c r="G235" t="n">
        <v>791.64</v>
      </c>
      <c r="H235" t="inlineStr">
        <is>
          <t>MJ/d</t>
        </is>
      </c>
      <c r="I235" t="inlineStr">
        <is>
          <t>1天生产</t>
        </is>
      </c>
      <c r="J235" t="inlineStr">
        <is>
          <t>1天生产工况</t>
        </is>
      </c>
      <c r="K235" t="inlineStr">
        <is>
          <t>FIXED</t>
        </is>
      </c>
      <c r="Q235" t="inlineStr">
        <is>
          <t>可直接比较</t>
        </is>
      </c>
      <c r="R235" t="inlineStr">
        <is>
          <t>采用</t>
        </is>
      </c>
      <c r="S235" t="inlineStr">
        <is>
          <t>D-A2</t>
        </is>
      </c>
      <c r="T235" t="inlineStr">
        <is>
          <t>CIP清洗热耗</t>
        </is>
      </c>
    </row>
    <row r="236">
      <c r="A236" t="inlineStr">
        <is>
          <t>CT-CLW-04</t>
        </is>
      </c>
      <c r="B236" t="inlineStr">
        <is>
          <t>流</t>
        </is>
      </c>
      <c r="C236" t="inlineStr">
        <is>
          <t>FL-CLW-04</t>
        </is>
      </c>
      <c r="D236" t="inlineStr">
        <is>
          <t>SRC-RAW</t>
        </is>
      </c>
      <c r="E236" t="inlineStr">
        <is>
          <t>PR04 Cleaning段</t>
        </is>
      </c>
      <c r="F236" t="inlineStr">
        <is>
          <t>Cleaning tap water</t>
        </is>
      </c>
      <c r="G236" t="n">
        <v>12.8</v>
      </c>
      <c r="H236" t="inlineStr">
        <is>
          <t>m3/d</t>
        </is>
      </c>
      <c r="I236" t="inlineStr">
        <is>
          <t>1天生产</t>
        </is>
      </c>
      <c r="J236" t="inlineStr">
        <is>
          <t>1天生产工况</t>
        </is>
      </c>
      <c r="K236" t="inlineStr">
        <is>
          <t>FIXED</t>
        </is>
      </c>
      <c r="Q236" t="inlineStr">
        <is>
          <t>可直接比较</t>
        </is>
      </c>
      <c r="R236" t="inlineStr">
        <is>
          <t>采用</t>
        </is>
      </c>
      <c r="S236" t="inlineStr">
        <is>
          <t>D-A2</t>
        </is>
      </c>
      <c r="T236" t="inlineStr">
        <is>
          <t>CIP清洗水</t>
        </is>
      </c>
    </row>
    <row r="237">
      <c r="A237" t="inlineStr">
        <is>
          <t>CT-CLC-04A</t>
        </is>
      </c>
      <c r="B237" t="inlineStr">
        <is>
          <t>流</t>
        </is>
      </c>
      <c r="C237" t="inlineStr">
        <is>
          <t>FL-CLC-04A</t>
        </is>
      </c>
      <c r="D237" t="inlineStr">
        <is>
          <t>SRC-RAW</t>
        </is>
      </c>
      <c r="E237" t="inlineStr">
        <is>
          <t>PR04 Cleaning段</t>
        </is>
      </c>
      <c r="F237" t="inlineStr">
        <is>
          <t>NaOH</t>
        </is>
      </c>
      <c r="G237" t="n">
        <v>89.59999999999999</v>
      </c>
      <c r="H237" t="inlineStr">
        <is>
          <t>kg/d</t>
        </is>
      </c>
      <c r="I237" t="inlineStr">
        <is>
          <t>1天生产</t>
        </is>
      </c>
      <c r="J237" t="inlineStr">
        <is>
          <t>1天生产工况</t>
        </is>
      </c>
      <c r="K237" t="inlineStr">
        <is>
          <t>FIXED</t>
        </is>
      </c>
      <c r="Q237" t="inlineStr">
        <is>
          <t>可直接比较</t>
        </is>
      </c>
      <c r="R237" t="inlineStr">
        <is>
          <t>采用</t>
        </is>
      </c>
      <c r="S237" t="inlineStr">
        <is>
          <t>D-A2</t>
        </is>
      </c>
      <c r="T237" t="inlineStr">
        <is>
          <t>CIP清洗剂</t>
        </is>
      </c>
    </row>
    <row r="238">
      <c r="A238" t="inlineStr">
        <is>
          <t>CT-CLC-04B</t>
        </is>
      </c>
      <c r="B238" t="inlineStr">
        <is>
          <t>流</t>
        </is>
      </c>
      <c r="C238" t="inlineStr">
        <is>
          <t>FL-CLC-04B</t>
        </is>
      </c>
      <c r="D238" t="inlineStr">
        <is>
          <t>SRC-RAW</t>
        </is>
      </c>
      <c r="E238" t="inlineStr">
        <is>
          <t>PR04 Cleaning段</t>
        </is>
      </c>
      <c r="F238" t="inlineStr">
        <is>
          <t>HNO3</t>
        </is>
      </c>
      <c r="G238" t="n">
        <v>8</v>
      </c>
      <c r="H238" t="inlineStr">
        <is>
          <t>kg/d</t>
        </is>
      </c>
      <c r="I238" t="inlineStr">
        <is>
          <t>1天生产</t>
        </is>
      </c>
      <c r="J238" t="inlineStr">
        <is>
          <t>1天生产工况</t>
        </is>
      </c>
      <c r="K238" t="inlineStr">
        <is>
          <t>FIXED</t>
        </is>
      </c>
      <c r="Q238" t="inlineStr">
        <is>
          <t>可直接比较</t>
        </is>
      </c>
      <c r="R238" t="inlineStr">
        <is>
          <t>采用</t>
        </is>
      </c>
      <c r="S238" t="inlineStr">
        <is>
          <t>D-A2</t>
        </is>
      </c>
      <c r="T238" t="inlineStr">
        <is>
          <t>CIP清洗剂</t>
        </is>
      </c>
    </row>
    <row r="239">
      <c r="A239" t="inlineStr">
        <is>
          <t>CT-CLC-04C</t>
        </is>
      </c>
      <c r="B239" t="inlineStr">
        <is>
          <t>流</t>
        </is>
      </c>
      <c r="C239" t="inlineStr">
        <is>
          <t>FL-CLC-04C</t>
        </is>
      </c>
      <c r="D239" t="inlineStr">
        <is>
          <t>SRC-RAW</t>
        </is>
      </c>
      <c r="E239" t="inlineStr">
        <is>
          <t>PR04 Cleaning段</t>
        </is>
      </c>
      <c r="F239" t="inlineStr">
        <is>
          <t>NaOCl</t>
        </is>
      </c>
      <c r="G239" t="n">
        <v>0</v>
      </c>
      <c r="H239" t="inlineStr">
        <is>
          <t>kg/d</t>
        </is>
      </c>
      <c r="I239" t="inlineStr">
        <is>
          <t>1天生产</t>
        </is>
      </c>
      <c r="J239" t="inlineStr">
        <is>
          <t>1天生产工况</t>
        </is>
      </c>
      <c r="K239" t="inlineStr">
        <is>
          <t>FIXED</t>
        </is>
      </c>
      <c r="Q239" t="inlineStr">
        <is>
          <t>可直接比较</t>
        </is>
      </c>
      <c r="R239" t="inlineStr">
        <is>
          <t>采用</t>
        </is>
      </c>
      <c r="S239" t="inlineStr">
        <is>
          <t>D-A2</t>
        </is>
      </c>
      <c r="T239" t="inlineStr">
        <is>
          <t>CIP清洗剂</t>
        </is>
      </c>
    </row>
    <row r="240">
      <c r="A240" t="inlineStr">
        <is>
          <t>CT-CLC-04D</t>
        </is>
      </c>
      <c r="B240" t="inlineStr">
        <is>
          <t>流</t>
        </is>
      </c>
      <c r="C240" t="inlineStr">
        <is>
          <t>FL-CLC-04D</t>
        </is>
      </c>
      <c r="D240" t="inlineStr">
        <is>
          <t>SRC-RAW</t>
        </is>
      </c>
      <c r="E240" t="inlineStr">
        <is>
          <t>PR04 Cleaning段</t>
        </is>
      </c>
      <c r="F240" t="inlineStr">
        <is>
          <t>Phosphoc acid</t>
        </is>
      </c>
      <c r="G240" t="n">
        <v>0</v>
      </c>
      <c r="H240" t="inlineStr">
        <is>
          <t>kg/d</t>
        </is>
      </c>
      <c r="I240" t="inlineStr">
        <is>
          <t>1天生产</t>
        </is>
      </c>
      <c r="J240" t="inlineStr">
        <is>
          <t>1天生产工况</t>
        </is>
      </c>
      <c r="K240" t="inlineStr">
        <is>
          <t>FIXED</t>
        </is>
      </c>
      <c r="Q240" t="inlineStr">
        <is>
          <t>可直接比较</t>
        </is>
      </c>
      <c r="R240" t="inlineStr">
        <is>
          <t>采用</t>
        </is>
      </c>
      <c r="S240" t="inlineStr">
        <is>
          <t>D-A2</t>
        </is>
      </c>
      <c r="T240" t="inlineStr">
        <is>
          <t>CIP清洗剂</t>
        </is>
      </c>
    </row>
    <row r="241">
      <c r="A241" t="inlineStr">
        <is>
          <t>CT-CLC-04E</t>
        </is>
      </c>
      <c r="B241" t="inlineStr">
        <is>
          <t>流</t>
        </is>
      </c>
      <c r="C241" t="inlineStr">
        <is>
          <t>FL-CLC-04E</t>
        </is>
      </c>
      <c r="D241" t="inlineStr">
        <is>
          <t>SRC-RAW</t>
        </is>
      </c>
      <c r="E241" t="inlineStr">
        <is>
          <t>PR04 Cleaning段</t>
        </is>
      </c>
      <c r="F241" t="inlineStr">
        <is>
          <t>surfactant</t>
        </is>
      </c>
      <c r="G241" t="n">
        <v>0</v>
      </c>
      <c r="H241" t="inlineStr">
        <is>
          <t>kg/d</t>
        </is>
      </c>
      <c r="I241" t="inlineStr">
        <is>
          <t>1天生产</t>
        </is>
      </c>
      <c r="J241" t="inlineStr">
        <is>
          <t>1天生产工况</t>
        </is>
      </c>
      <c r="K241" t="inlineStr">
        <is>
          <t>FIXED</t>
        </is>
      </c>
      <c r="Q241" t="inlineStr">
        <is>
          <t>可直接比较</t>
        </is>
      </c>
      <c r="R241" t="inlineStr">
        <is>
          <t>采用</t>
        </is>
      </c>
      <c r="S241" t="inlineStr">
        <is>
          <t>D-A2</t>
        </is>
      </c>
      <c r="T241" t="inlineStr">
        <is>
          <t>CIP清洗剂</t>
        </is>
      </c>
    </row>
    <row r="242">
      <c r="A242" t="inlineStr">
        <is>
          <t>CT-CLC-04F</t>
        </is>
      </c>
      <c r="B242" t="inlineStr">
        <is>
          <t>流</t>
        </is>
      </c>
      <c r="C242" t="inlineStr">
        <is>
          <t>FL-CLC-04F</t>
        </is>
      </c>
      <c r="D242" t="inlineStr">
        <is>
          <t>SRC-RAW</t>
        </is>
      </c>
      <c r="E242" t="inlineStr">
        <is>
          <t>PR04 Cleaning段</t>
        </is>
      </c>
      <c r="F242" t="inlineStr">
        <is>
          <t>Other acid</t>
        </is>
      </c>
      <c r="G242" t="n">
        <v>0</v>
      </c>
      <c r="H242" t="inlineStr">
        <is>
          <t>kg/d</t>
        </is>
      </c>
      <c r="I242" t="inlineStr">
        <is>
          <t>1天生产</t>
        </is>
      </c>
      <c r="J242" t="inlineStr">
        <is>
          <t>1天生产工况</t>
        </is>
      </c>
      <c r="K242" t="inlineStr">
        <is>
          <t>FIXED</t>
        </is>
      </c>
      <c r="Q242" t="inlineStr">
        <is>
          <t>可直接比较</t>
        </is>
      </c>
      <c r="R242" t="inlineStr">
        <is>
          <t>采用</t>
        </is>
      </c>
      <c r="S242" t="inlineStr">
        <is>
          <t>D-A2</t>
        </is>
      </c>
      <c r="T242" t="inlineStr">
        <is>
          <t>CIP清洗剂</t>
        </is>
      </c>
    </row>
    <row r="243">
      <c r="A243" t="inlineStr">
        <is>
          <t>CT-CLT-04</t>
        </is>
      </c>
      <c r="B243" t="inlineStr">
        <is>
          <t>流</t>
        </is>
      </c>
      <c r="C243" t="inlineStr">
        <is>
          <t>FL-CLT-04</t>
        </is>
      </c>
      <c r="D243" t="inlineStr">
        <is>
          <t>SRC-RAW</t>
        </is>
      </c>
      <c r="E243" t="inlineStr">
        <is>
          <t>PR04 Cleaning段</t>
        </is>
      </c>
      <c r="F243" t="inlineStr">
        <is>
          <t>Tanks and pipes (stainless steel)</t>
        </is>
      </c>
      <c r="G243" t="n">
        <v>0.844039603960396</v>
      </c>
      <c r="H243" t="inlineStr">
        <is>
          <t>kg/d</t>
        </is>
      </c>
      <c r="I243" t="inlineStr">
        <is>
          <t>1天生产</t>
        </is>
      </c>
      <c r="J243" t="inlineStr">
        <is>
          <t>1天生产工况</t>
        </is>
      </c>
      <c r="K243" t="inlineStr">
        <is>
          <t>FIXED</t>
        </is>
      </c>
      <c r="Q243" t="inlineStr">
        <is>
          <t>可直接比较</t>
        </is>
      </c>
      <c r="R243" t="inlineStr">
        <is>
          <t>采用</t>
        </is>
      </c>
      <c r="S243" t="inlineStr">
        <is>
          <t>D-A2</t>
        </is>
      </c>
      <c r="T243" t="inlineStr">
        <is>
          <t>清洗回路设备材料（按天摊销）</t>
        </is>
      </c>
    </row>
    <row r="244">
      <c r="A244" t="inlineStr">
        <is>
          <t>CT-CLCOD-04</t>
        </is>
      </c>
      <c r="B244" t="inlineStr">
        <is>
          <t>流</t>
        </is>
      </c>
      <c r="C244" t="inlineStr">
        <is>
          <t>FL-CLCOD-04</t>
        </is>
      </c>
      <c r="D244" t="inlineStr">
        <is>
          <t>SRC-RAW</t>
        </is>
      </c>
      <c r="E244" t="inlineStr">
        <is>
          <t>PR04 Cleaning段</t>
        </is>
      </c>
      <c r="F244" t="inlineStr">
        <is>
          <t>Waste</t>
        </is>
      </c>
      <c r="G244" t="n">
        <v>59.4</v>
      </c>
      <c r="H244" t="inlineStr">
        <is>
          <t>kg_COD/d</t>
        </is>
      </c>
      <c r="I244" t="inlineStr">
        <is>
          <t>1天生产</t>
        </is>
      </c>
      <c r="J244" t="inlineStr">
        <is>
          <t>1天生产工况</t>
        </is>
      </c>
      <c r="K244" t="inlineStr">
        <is>
          <t>FIXED</t>
        </is>
      </c>
      <c r="Q244" t="inlineStr">
        <is>
          <t>可直接比较</t>
        </is>
      </c>
      <c r="R244" t="inlineStr">
        <is>
          <t>采用</t>
        </is>
      </c>
      <c r="S244" t="inlineStr">
        <is>
          <t>D-A2</t>
        </is>
      </c>
      <c r="T244" t="inlineStr">
        <is>
          <t>清洗废水COD负荷</t>
        </is>
      </c>
    </row>
    <row r="245">
      <c r="A245" t="inlineStr">
        <is>
          <t>CT-CLDM-04</t>
        </is>
      </c>
      <c r="B245" t="inlineStr">
        <is>
          <t>流</t>
        </is>
      </c>
      <c r="C245" t="inlineStr">
        <is>
          <t>FL-CLDM-04</t>
        </is>
      </c>
      <c r="D245" t="inlineStr">
        <is>
          <t>SRC-RAW</t>
        </is>
      </c>
      <c r="E245" t="inlineStr">
        <is>
          <t>PR04 Cleaning段</t>
        </is>
      </c>
      <c r="F245" t="inlineStr">
        <is>
          <t>dry matter content of waste</t>
        </is>
      </c>
      <c r="G245" t="n">
        <v>69.498</v>
      </c>
      <c r="H245" t="inlineStr">
        <is>
          <t>kg/d</t>
        </is>
      </c>
      <c r="I245" t="inlineStr">
        <is>
          <t>1天生产</t>
        </is>
      </c>
      <c r="J245" t="inlineStr">
        <is>
          <t>1天生产工况</t>
        </is>
      </c>
      <c r="K245" t="inlineStr">
        <is>
          <t>FIXED</t>
        </is>
      </c>
      <c r="Q245" t="inlineStr">
        <is>
          <t>可直接比较</t>
        </is>
      </c>
      <c r="R245" t="inlineStr">
        <is>
          <t>采用</t>
        </is>
      </c>
      <c r="S245" t="inlineStr">
        <is>
          <t>D-A2</t>
        </is>
      </c>
      <c r="T245" t="inlineStr">
        <is>
          <t>清洗废水干物质</t>
        </is>
      </c>
    </row>
    <row r="246">
      <c r="A246" t="inlineStr">
        <is>
          <t>CT-CLE-05</t>
        </is>
      </c>
      <c r="B246" t="inlineStr">
        <is>
          <t>流</t>
        </is>
      </c>
      <c r="C246" t="inlineStr">
        <is>
          <t>FL-CLE-05</t>
        </is>
      </c>
      <c r="D246" t="inlineStr">
        <is>
          <t>SRC-RAW</t>
        </is>
      </c>
      <c r="E246" t="inlineStr">
        <is>
          <t>PR05 Cleaning段</t>
        </is>
      </c>
      <c r="F246" t="inlineStr">
        <is>
          <t>Cleaning electricity</t>
        </is>
      </c>
      <c r="G246" t="n">
        <v>1364</v>
      </c>
      <c r="H246" t="inlineStr">
        <is>
          <t>kWh/d</t>
        </is>
      </c>
      <c r="I246" t="inlineStr">
        <is>
          <t>1天生产</t>
        </is>
      </c>
      <c r="J246" t="inlineStr">
        <is>
          <t>1天生产工况</t>
        </is>
      </c>
      <c r="K246" t="inlineStr">
        <is>
          <t>FIXED</t>
        </is>
      </c>
      <c r="Q246" t="inlineStr">
        <is>
          <t>可直接比较</t>
        </is>
      </c>
      <c r="R246" t="inlineStr">
        <is>
          <t>采用</t>
        </is>
      </c>
      <c r="S246" t="inlineStr">
        <is>
          <t>D-A2</t>
        </is>
      </c>
      <c r="T246" t="inlineStr">
        <is>
          <t>CIP清洗电耗</t>
        </is>
      </c>
    </row>
    <row r="247">
      <c r="A247" t="inlineStr">
        <is>
          <t>CT-CLH-05</t>
        </is>
      </c>
      <c r="B247" t="inlineStr">
        <is>
          <t>流</t>
        </is>
      </c>
      <c r="C247" t="inlineStr">
        <is>
          <t>FL-CLH-05</t>
        </is>
      </c>
      <c r="D247" t="inlineStr">
        <is>
          <t>SRC-RAW</t>
        </is>
      </c>
      <c r="E247" t="inlineStr">
        <is>
          <t>PR05 Cleaning段</t>
        </is>
      </c>
      <c r="F247" t="inlineStr">
        <is>
          <t>Cleaning heat</t>
        </is>
      </c>
      <c r="G247" t="n">
        <v>9532.799999999999</v>
      </c>
      <c r="H247" t="inlineStr">
        <is>
          <t>MJ/d</t>
        </is>
      </c>
      <c r="I247" t="inlineStr">
        <is>
          <t>1天生产</t>
        </is>
      </c>
      <c r="J247" t="inlineStr">
        <is>
          <t>1天生产工况</t>
        </is>
      </c>
      <c r="K247" t="inlineStr">
        <is>
          <t>FIXED</t>
        </is>
      </c>
      <c r="Q247" t="inlineStr">
        <is>
          <t>可直接比较</t>
        </is>
      </c>
      <c r="R247" t="inlineStr">
        <is>
          <t>采用</t>
        </is>
      </c>
      <c r="S247" t="inlineStr">
        <is>
          <t>D-A2</t>
        </is>
      </c>
      <c r="T247" t="inlineStr">
        <is>
          <t>CIP清洗热耗</t>
        </is>
      </c>
    </row>
    <row r="248">
      <c r="A248" t="inlineStr">
        <is>
          <t>CT-CLW-05</t>
        </is>
      </c>
      <c r="B248" t="inlineStr">
        <is>
          <t>流</t>
        </is>
      </c>
      <c r="C248" t="inlineStr">
        <is>
          <t>FL-CLW-05</t>
        </is>
      </c>
      <c r="D248" t="inlineStr">
        <is>
          <t>SRC-RAW</t>
        </is>
      </c>
      <c r="E248" t="inlineStr">
        <is>
          <t>PR05 Cleaning段</t>
        </is>
      </c>
      <c r="F248" t="inlineStr">
        <is>
          <t>Cleaning tap water</t>
        </is>
      </c>
      <c r="G248" t="n">
        <v>51.25</v>
      </c>
      <c r="H248" t="inlineStr">
        <is>
          <t>m3/d</t>
        </is>
      </c>
      <c r="I248" t="inlineStr">
        <is>
          <t>1天生产</t>
        </is>
      </c>
      <c r="J248" t="inlineStr">
        <is>
          <t>1天生产工况</t>
        </is>
      </c>
      <c r="K248" t="inlineStr">
        <is>
          <t>FIXED</t>
        </is>
      </c>
      <c r="Q248" t="inlineStr">
        <is>
          <t>可直接比较</t>
        </is>
      </c>
      <c r="R248" t="inlineStr">
        <is>
          <t>采用</t>
        </is>
      </c>
      <c r="S248" t="inlineStr">
        <is>
          <t>D-A2</t>
        </is>
      </c>
      <c r="T248" t="inlineStr">
        <is>
          <t>CIP清洗水</t>
        </is>
      </c>
    </row>
    <row r="249">
      <c r="A249" t="inlineStr">
        <is>
          <t>CT-CLC-05A</t>
        </is>
      </c>
      <c r="B249" t="inlineStr">
        <is>
          <t>流</t>
        </is>
      </c>
      <c r="C249" t="inlineStr">
        <is>
          <t>FL-CLC-05A</t>
        </is>
      </c>
      <c r="D249" t="inlineStr">
        <is>
          <t>SRC-RAW</t>
        </is>
      </c>
      <c r="E249" t="inlineStr">
        <is>
          <t>PR05 Cleaning段</t>
        </is>
      </c>
      <c r="F249" t="inlineStr">
        <is>
          <t>NaOH 50%</t>
        </is>
      </c>
      <c r="G249" t="n">
        <v>941</v>
      </c>
      <c r="H249" t="inlineStr">
        <is>
          <t>kg/d</t>
        </is>
      </c>
      <c r="I249" t="inlineStr">
        <is>
          <t>1天生产</t>
        </is>
      </c>
      <c r="J249" t="inlineStr">
        <is>
          <t>1天生产工况</t>
        </is>
      </c>
      <c r="K249" t="inlineStr">
        <is>
          <t>FIXED</t>
        </is>
      </c>
      <c r="Q249" t="inlineStr">
        <is>
          <t>可直接比较</t>
        </is>
      </c>
      <c r="R249" t="inlineStr">
        <is>
          <t>采用</t>
        </is>
      </c>
      <c r="S249" t="inlineStr">
        <is>
          <t>D-A2</t>
        </is>
      </c>
      <c r="T249" t="inlineStr">
        <is>
          <t>CIP清洗剂</t>
        </is>
      </c>
    </row>
    <row r="250">
      <c r="A250" t="inlineStr">
        <is>
          <t>CT-CLC-05B</t>
        </is>
      </c>
      <c r="B250" t="inlineStr">
        <is>
          <t>流</t>
        </is>
      </c>
      <c r="C250" t="inlineStr">
        <is>
          <t>FL-CLC-05B</t>
        </is>
      </c>
      <c r="D250" t="inlineStr">
        <is>
          <t>SRC-RAW</t>
        </is>
      </c>
      <c r="E250" t="inlineStr">
        <is>
          <t>PR05 Cleaning段</t>
        </is>
      </c>
      <c r="F250" t="inlineStr">
        <is>
          <t>HNO3 50%</t>
        </is>
      </c>
      <c r="G250" t="n">
        <v>138</v>
      </c>
      <c r="H250" t="inlineStr">
        <is>
          <t>kg/d</t>
        </is>
      </c>
      <c r="I250" t="inlineStr">
        <is>
          <t>1天生产</t>
        </is>
      </c>
      <c r="J250" t="inlineStr">
        <is>
          <t>1天生产工况</t>
        </is>
      </c>
      <c r="K250" t="inlineStr">
        <is>
          <t>FIXED</t>
        </is>
      </c>
      <c r="Q250" t="inlineStr">
        <is>
          <t>可直接比较</t>
        </is>
      </c>
      <c r="R250" t="inlineStr">
        <is>
          <t>采用</t>
        </is>
      </c>
      <c r="S250" t="inlineStr">
        <is>
          <t>D-A2</t>
        </is>
      </c>
      <c r="T250" t="inlineStr">
        <is>
          <t>CIP清洗剂</t>
        </is>
      </c>
    </row>
    <row r="251">
      <c r="A251" t="inlineStr">
        <is>
          <t>CT-CLC-05C</t>
        </is>
      </c>
      <c r="B251" t="inlineStr">
        <is>
          <t>流</t>
        </is>
      </c>
      <c r="C251" t="inlineStr">
        <is>
          <t>FL-CLC-05C</t>
        </is>
      </c>
      <c r="D251" t="inlineStr">
        <is>
          <t>SRC-RAW</t>
        </is>
      </c>
      <c r="E251" t="inlineStr">
        <is>
          <t>PR05 Cleaning段</t>
        </is>
      </c>
      <c r="F251" t="inlineStr">
        <is>
          <t>NaOCl 15%</t>
        </is>
      </c>
      <c r="G251" t="n">
        <v>37</v>
      </c>
      <c r="H251" t="inlineStr">
        <is>
          <t>kg/d</t>
        </is>
      </c>
      <c r="I251" t="inlineStr">
        <is>
          <t>1天生产</t>
        </is>
      </c>
      <c r="J251" t="inlineStr">
        <is>
          <t>1天生产工况</t>
        </is>
      </c>
      <c r="K251" t="inlineStr">
        <is>
          <t>FIXED</t>
        </is>
      </c>
      <c r="Q251" t="inlineStr">
        <is>
          <t>可直接比较</t>
        </is>
      </c>
      <c r="R251" t="inlineStr">
        <is>
          <t>采用</t>
        </is>
      </c>
      <c r="S251" t="inlineStr">
        <is>
          <t>D-A2</t>
        </is>
      </c>
      <c r="T251" t="inlineStr">
        <is>
          <t>CIP清洗剂</t>
        </is>
      </c>
    </row>
    <row r="252">
      <c r="A252" t="inlineStr">
        <is>
          <t>CT-CLCOD-05</t>
        </is>
      </c>
      <c r="B252" t="inlineStr">
        <is>
          <t>流</t>
        </is>
      </c>
      <c r="C252" t="inlineStr">
        <is>
          <t>FL-CLCOD-05</t>
        </is>
      </c>
      <c r="D252" t="inlineStr">
        <is>
          <t>SRC-RAW</t>
        </is>
      </c>
      <c r="E252" t="inlineStr">
        <is>
          <t>PR05 Cleaning段</t>
        </is>
      </c>
      <c r="F252" t="inlineStr">
        <is>
          <t>Waste</t>
        </is>
      </c>
      <c r="G252" t="n">
        <v>48</v>
      </c>
      <c r="H252" t="inlineStr">
        <is>
          <t>kg_COD/d</t>
        </is>
      </c>
      <c r="I252" t="inlineStr">
        <is>
          <t>1天生产</t>
        </is>
      </c>
      <c r="J252" t="inlineStr">
        <is>
          <t>1天生产工况</t>
        </is>
      </c>
      <c r="K252" t="inlineStr">
        <is>
          <t>FIXED</t>
        </is>
      </c>
      <c r="Q252" t="inlineStr">
        <is>
          <t>可直接比较</t>
        </is>
      </c>
      <c r="R252" t="inlineStr">
        <is>
          <t>采用</t>
        </is>
      </c>
      <c r="S252" t="inlineStr">
        <is>
          <t>D-A2</t>
        </is>
      </c>
      <c r="T252" t="inlineStr">
        <is>
          <t>清洗废水COD负荷</t>
        </is>
      </c>
    </row>
    <row r="253">
      <c r="A253" t="inlineStr">
        <is>
          <t>CT-CLDM-05</t>
        </is>
      </c>
      <c r="B253" t="inlineStr">
        <is>
          <t>流</t>
        </is>
      </c>
      <c r="C253" t="inlineStr">
        <is>
          <t>FL-CLDM-05</t>
        </is>
      </c>
      <c r="D253" t="inlineStr">
        <is>
          <t>SRC-RAW</t>
        </is>
      </c>
      <c r="E253" t="inlineStr">
        <is>
          <t>PR05 Cleaning段</t>
        </is>
      </c>
      <c r="F253" t="inlineStr">
        <is>
          <t>dry matter content of waste</t>
        </is>
      </c>
      <c r="G253" t="n">
        <v>56.16</v>
      </c>
      <c r="H253" t="inlineStr">
        <is>
          <t>kg/d</t>
        </is>
      </c>
      <c r="I253" t="inlineStr">
        <is>
          <t>1天生产</t>
        </is>
      </c>
      <c r="J253" t="inlineStr">
        <is>
          <t>1天生产工况</t>
        </is>
      </c>
      <c r="K253" t="inlineStr">
        <is>
          <t>FIXED</t>
        </is>
      </c>
      <c r="Q253" t="inlineStr">
        <is>
          <t>可直接比较</t>
        </is>
      </c>
      <c r="R253" t="inlineStr">
        <is>
          <t>采用</t>
        </is>
      </c>
      <c r="S253" t="inlineStr">
        <is>
          <t>D-A2</t>
        </is>
      </c>
      <c r="T253" t="inlineStr">
        <is>
          <t>清洗废水干物质</t>
        </is>
      </c>
    </row>
    <row r="254">
      <c r="A254" t="inlineStr">
        <is>
          <t>CT-CLE-06</t>
        </is>
      </c>
      <c r="B254" t="inlineStr">
        <is>
          <t>流</t>
        </is>
      </c>
      <c r="C254" t="inlineStr">
        <is>
          <t>FL-CLE-06</t>
        </is>
      </c>
      <c r="D254" t="inlineStr">
        <is>
          <t>SRC-RAW</t>
        </is>
      </c>
      <c r="E254" t="inlineStr">
        <is>
          <t>PR06 Cleaning段</t>
        </is>
      </c>
      <c r="F254" t="inlineStr">
        <is>
          <t>Cleaning electricity</t>
        </is>
      </c>
      <c r="G254" t="n">
        <v>58</v>
      </c>
      <c r="H254" t="inlineStr">
        <is>
          <t>kWh/d</t>
        </is>
      </c>
      <c r="I254" t="inlineStr">
        <is>
          <t>1天生产</t>
        </is>
      </c>
      <c r="J254" t="inlineStr">
        <is>
          <t>1天生产工况</t>
        </is>
      </c>
      <c r="K254" t="inlineStr">
        <is>
          <t>FIXED</t>
        </is>
      </c>
      <c r="Q254" t="inlineStr">
        <is>
          <t>可直接比较</t>
        </is>
      </c>
      <c r="R254" t="inlineStr">
        <is>
          <t>采用</t>
        </is>
      </c>
      <c r="S254" t="inlineStr">
        <is>
          <t>D-A2</t>
        </is>
      </c>
      <c r="T254" t="inlineStr">
        <is>
          <t>CIP清洗电耗</t>
        </is>
      </c>
    </row>
    <row r="255">
      <c r="A255" t="inlineStr">
        <is>
          <t>CT-CLH-06</t>
        </is>
      </c>
      <c r="B255" t="inlineStr">
        <is>
          <t>流</t>
        </is>
      </c>
      <c r="C255" t="inlineStr">
        <is>
          <t>FL-CLH-06</t>
        </is>
      </c>
      <c r="D255" t="inlineStr">
        <is>
          <t>SRC-RAW</t>
        </is>
      </c>
      <c r="E255" t="inlineStr">
        <is>
          <t>PR06 Cleaning段</t>
        </is>
      </c>
      <c r="F255" t="inlineStr">
        <is>
          <t>Cleaning heat</t>
        </is>
      </c>
      <c r="G255" t="n">
        <v>828</v>
      </c>
      <c r="H255" t="inlineStr">
        <is>
          <t>MJ/d</t>
        </is>
      </c>
      <c r="I255" t="inlineStr">
        <is>
          <t>1天生产</t>
        </is>
      </c>
      <c r="J255" t="inlineStr">
        <is>
          <t>1天生产工况</t>
        </is>
      </c>
      <c r="K255" t="inlineStr">
        <is>
          <t>FIXED</t>
        </is>
      </c>
      <c r="Q255" t="inlineStr">
        <is>
          <t>可直接比较</t>
        </is>
      </c>
      <c r="R255" t="inlineStr">
        <is>
          <t>采用</t>
        </is>
      </c>
      <c r="S255" t="inlineStr">
        <is>
          <t>D-A2</t>
        </is>
      </c>
      <c r="T255" t="inlineStr">
        <is>
          <t>CIP清洗热耗</t>
        </is>
      </c>
    </row>
    <row r="256">
      <c r="A256" t="inlineStr">
        <is>
          <t>CT-CLW-06</t>
        </is>
      </c>
      <c r="B256" t="inlineStr">
        <is>
          <t>流</t>
        </is>
      </c>
      <c r="C256" t="inlineStr">
        <is>
          <t>FL-CLW-06</t>
        </is>
      </c>
      <c r="D256" t="inlineStr">
        <is>
          <t>SRC-RAW</t>
        </is>
      </c>
      <c r="E256" t="inlineStr">
        <is>
          <t>PR06 Cleaning段</t>
        </is>
      </c>
      <c r="F256" t="inlineStr">
        <is>
          <t>Cleaning tap water</t>
        </is>
      </c>
      <c r="G256" t="n">
        <v>18.9</v>
      </c>
      <c r="H256" t="inlineStr">
        <is>
          <t>m3/d</t>
        </is>
      </c>
      <c r="I256" t="inlineStr">
        <is>
          <t>1天生产</t>
        </is>
      </c>
      <c r="J256" t="inlineStr">
        <is>
          <t>1天生产工况</t>
        </is>
      </c>
      <c r="K256" t="inlineStr">
        <is>
          <t>FIXED</t>
        </is>
      </c>
      <c r="Q256" t="inlineStr">
        <is>
          <t>可直接比较</t>
        </is>
      </c>
      <c r="R256" t="inlineStr">
        <is>
          <t>采用</t>
        </is>
      </c>
      <c r="S256" t="inlineStr">
        <is>
          <t>D-A2</t>
        </is>
      </c>
      <c r="T256" t="inlineStr">
        <is>
          <t>CIP清洗水</t>
        </is>
      </c>
    </row>
    <row r="257">
      <c r="A257" t="inlineStr">
        <is>
          <t>CT-CLC-06A</t>
        </is>
      </c>
      <c r="B257" t="inlineStr">
        <is>
          <t>流</t>
        </is>
      </c>
      <c r="C257" t="inlineStr">
        <is>
          <t>FL-CLC-06A</t>
        </is>
      </c>
      <c r="D257" t="inlineStr">
        <is>
          <t>SRC-RAW</t>
        </is>
      </c>
      <c r="E257" t="inlineStr">
        <is>
          <t>PR06 Cleaning段</t>
        </is>
      </c>
      <c r="F257" t="inlineStr">
        <is>
          <t>NaOH</t>
        </is>
      </c>
      <c r="G257" t="n">
        <v>88</v>
      </c>
      <c r="H257" t="inlineStr">
        <is>
          <t>kg/d</t>
        </is>
      </c>
      <c r="I257" t="inlineStr">
        <is>
          <t>1天生产</t>
        </is>
      </c>
      <c r="J257" t="inlineStr">
        <is>
          <t>1天生产工况</t>
        </is>
      </c>
      <c r="K257" t="inlineStr">
        <is>
          <t>FIXED</t>
        </is>
      </c>
      <c r="Q257" t="inlineStr">
        <is>
          <t>可直接比较</t>
        </is>
      </c>
      <c r="R257" t="inlineStr">
        <is>
          <t>采用</t>
        </is>
      </c>
      <c r="S257" t="inlineStr">
        <is>
          <t>D-A2</t>
        </is>
      </c>
      <c r="T257" t="inlineStr">
        <is>
          <t>CIP清洗剂</t>
        </is>
      </c>
    </row>
    <row r="258">
      <c r="A258" t="inlineStr">
        <is>
          <t>CT-CLC-06B</t>
        </is>
      </c>
      <c r="B258" t="inlineStr">
        <is>
          <t>流</t>
        </is>
      </c>
      <c r="C258" t="inlineStr">
        <is>
          <t>FL-CLC-06B</t>
        </is>
      </c>
      <c r="D258" t="inlineStr">
        <is>
          <t>SRC-RAW</t>
        </is>
      </c>
      <c r="E258" t="inlineStr">
        <is>
          <t>PR06 Cleaning段</t>
        </is>
      </c>
      <c r="F258" t="inlineStr">
        <is>
          <t>HNO3</t>
        </is>
      </c>
      <c r="G258" t="n">
        <v>20</v>
      </c>
      <c r="H258" t="inlineStr">
        <is>
          <t>kg/d</t>
        </is>
      </c>
      <c r="I258" t="inlineStr">
        <is>
          <t>1天生产</t>
        </is>
      </c>
      <c r="J258" t="inlineStr">
        <is>
          <t>1天生产工况</t>
        </is>
      </c>
      <c r="K258" t="inlineStr">
        <is>
          <t>FIXED</t>
        </is>
      </c>
      <c r="Q258" t="inlineStr">
        <is>
          <t>可直接比较</t>
        </is>
      </c>
      <c r="R258" t="inlineStr">
        <is>
          <t>采用</t>
        </is>
      </c>
      <c r="S258" t="inlineStr">
        <is>
          <t>D-A2</t>
        </is>
      </c>
      <c r="T258" t="inlineStr">
        <is>
          <t>CIP清洗剂</t>
        </is>
      </c>
    </row>
    <row r="259">
      <c r="A259" t="inlineStr">
        <is>
          <t>CT-CLC-06C</t>
        </is>
      </c>
      <c r="B259" t="inlineStr">
        <is>
          <t>流</t>
        </is>
      </c>
      <c r="C259" t="inlineStr">
        <is>
          <t>FL-CLC-06C</t>
        </is>
      </c>
      <c r="D259" t="inlineStr">
        <is>
          <t>SRC-RAW</t>
        </is>
      </c>
      <c r="E259" t="inlineStr">
        <is>
          <t>PR06 Cleaning段</t>
        </is>
      </c>
      <c r="F259" t="inlineStr">
        <is>
          <t>NaOCl</t>
        </is>
      </c>
      <c r="G259" t="n">
        <v>0</v>
      </c>
      <c r="H259" t="inlineStr">
        <is>
          <t>kg/d</t>
        </is>
      </c>
      <c r="I259" t="inlineStr">
        <is>
          <t>1天生产</t>
        </is>
      </c>
      <c r="J259" t="inlineStr">
        <is>
          <t>1天生产工况</t>
        </is>
      </c>
      <c r="K259" t="inlineStr">
        <is>
          <t>FIXED</t>
        </is>
      </c>
      <c r="Q259" t="inlineStr">
        <is>
          <t>可直接比较</t>
        </is>
      </c>
      <c r="R259" t="inlineStr">
        <is>
          <t>采用</t>
        </is>
      </c>
      <c r="S259" t="inlineStr">
        <is>
          <t>D-A2</t>
        </is>
      </c>
      <c r="T259" t="inlineStr">
        <is>
          <t>CIP清洗剂</t>
        </is>
      </c>
    </row>
    <row r="260">
      <c r="A260" t="inlineStr">
        <is>
          <t>CT-CLC-06D</t>
        </is>
      </c>
      <c r="B260" t="inlineStr">
        <is>
          <t>流</t>
        </is>
      </c>
      <c r="C260" t="inlineStr">
        <is>
          <t>FL-CLC-06D</t>
        </is>
      </c>
      <c r="D260" t="inlineStr">
        <is>
          <t>SRC-RAW</t>
        </is>
      </c>
      <c r="E260" t="inlineStr">
        <is>
          <t>PR06 Cleaning段</t>
        </is>
      </c>
      <c r="F260" t="inlineStr">
        <is>
          <t>Phosphoc acid</t>
        </is>
      </c>
      <c r="G260" t="n">
        <v>0</v>
      </c>
      <c r="H260" t="inlineStr">
        <is>
          <t>kg/d</t>
        </is>
      </c>
      <c r="I260" t="inlineStr">
        <is>
          <t>1天生产</t>
        </is>
      </c>
      <c r="J260" t="inlineStr">
        <is>
          <t>1天生产工况</t>
        </is>
      </c>
      <c r="K260" t="inlineStr">
        <is>
          <t>FIXED</t>
        </is>
      </c>
      <c r="Q260" t="inlineStr">
        <is>
          <t>可直接比较</t>
        </is>
      </c>
      <c r="R260" t="inlineStr">
        <is>
          <t>采用</t>
        </is>
      </c>
      <c r="S260" t="inlineStr">
        <is>
          <t>D-A2</t>
        </is>
      </c>
      <c r="T260" t="inlineStr">
        <is>
          <t>CIP清洗剂</t>
        </is>
      </c>
    </row>
    <row r="261">
      <c r="A261" t="inlineStr">
        <is>
          <t>CT-CLC-06E</t>
        </is>
      </c>
      <c r="B261" t="inlineStr">
        <is>
          <t>流</t>
        </is>
      </c>
      <c r="C261" t="inlineStr">
        <is>
          <t>FL-CLC-06E</t>
        </is>
      </c>
      <c r="D261" t="inlineStr">
        <is>
          <t>SRC-RAW</t>
        </is>
      </c>
      <c r="E261" t="inlineStr">
        <is>
          <t>PR06 Cleaning段</t>
        </is>
      </c>
      <c r="F261" t="inlineStr">
        <is>
          <t>surfactant</t>
        </is>
      </c>
      <c r="G261" t="n">
        <v>0</v>
      </c>
      <c r="H261" t="inlineStr">
        <is>
          <t>kg/d</t>
        </is>
      </c>
      <c r="I261" t="inlineStr">
        <is>
          <t>1天生产</t>
        </is>
      </c>
      <c r="J261" t="inlineStr">
        <is>
          <t>1天生产工况</t>
        </is>
      </c>
      <c r="K261" t="inlineStr">
        <is>
          <t>FIXED</t>
        </is>
      </c>
      <c r="Q261" t="inlineStr">
        <is>
          <t>可直接比较</t>
        </is>
      </c>
      <c r="R261" t="inlineStr">
        <is>
          <t>采用</t>
        </is>
      </c>
      <c r="S261" t="inlineStr">
        <is>
          <t>D-A2</t>
        </is>
      </c>
      <c r="T261" t="inlineStr">
        <is>
          <t>CIP清洗剂</t>
        </is>
      </c>
    </row>
    <row r="262">
      <c r="A262" t="inlineStr">
        <is>
          <t>CT-CLC-06F</t>
        </is>
      </c>
      <c r="B262" t="inlineStr">
        <is>
          <t>流</t>
        </is>
      </c>
      <c r="C262" t="inlineStr">
        <is>
          <t>FL-CLC-06F</t>
        </is>
      </c>
      <c r="D262" t="inlineStr">
        <is>
          <t>SRC-RAW</t>
        </is>
      </c>
      <c r="E262" t="inlineStr">
        <is>
          <t>PR06 Cleaning段</t>
        </is>
      </c>
      <c r="F262" t="inlineStr">
        <is>
          <t>Other acid</t>
        </is>
      </c>
      <c r="G262" t="n">
        <v>0</v>
      </c>
      <c r="H262" t="inlineStr">
        <is>
          <t>kg/d</t>
        </is>
      </c>
      <c r="I262" t="inlineStr">
        <is>
          <t>1天生产</t>
        </is>
      </c>
      <c r="J262" t="inlineStr">
        <is>
          <t>1天生产工况</t>
        </is>
      </c>
      <c r="K262" t="inlineStr">
        <is>
          <t>FIXED</t>
        </is>
      </c>
      <c r="Q262" t="inlineStr">
        <is>
          <t>可直接比较</t>
        </is>
      </c>
      <c r="R262" t="inlineStr">
        <is>
          <t>采用</t>
        </is>
      </c>
      <c r="S262" t="inlineStr">
        <is>
          <t>D-A2</t>
        </is>
      </c>
      <c r="T262" t="inlineStr">
        <is>
          <t>CIP清洗剂</t>
        </is>
      </c>
    </row>
    <row r="263">
      <c r="A263" t="inlineStr">
        <is>
          <t>CT-CLT-06</t>
        </is>
      </c>
      <c r="B263" t="inlineStr">
        <is>
          <t>流</t>
        </is>
      </c>
      <c r="C263" t="inlineStr">
        <is>
          <t>FL-CLT-06</t>
        </is>
      </c>
      <c r="D263" t="inlineStr">
        <is>
          <t>SRC-RAW</t>
        </is>
      </c>
      <c r="E263" t="inlineStr">
        <is>
          <t>PR06 Cleaning段</t>
        </is>
      </c>
      <c r="F263" t="inlineStr">
        <is>
          <t>Tanks and pipes (stainless steel)</t>
        </is>
      </c>
      <c r="G263" t="n">
        <v>1.60727272727273</v>
      </c>
      <c r="H263" t="inlineStr">
        <is>
          <t>kg/d</t>
        </is>
      </c>
      <c r="I263" t="inlineStr">
        <is>
          <t>1天生产</t>
        </is>
      </c>
      <c r="J263" t="inlineStr">
        <is>
          <t>1天生产工况</t>
        </is>
      </c>
      <c r="K263" t="inlineStr">
        <is>
          <t>FIXED</t>
        </is>
      </c>
      <c r="Q263" t="inlineStr">
        <is>
          <t>可直接比较</t>
        </is>
      </c>
      <c r="R263" t="inlineStr">
        <is>
          <t>采用</t>
        </is>
      </c>
      <c r="S263" t="inlineStr">
        <is>
          <t>D-A2</t>
        </is>
      </c>
      <c r="T263" t="inlineStr">
        <is>
          <t>清洗回路设备材料（按天摊销）</t>
        </is>
      </c>
    </row>
    <row r="264">
      <c r="A264" t="inlineStr">
        <is>
          <t>CT-CLCOD-06</t>
        </is>
      </c>
      <c r="B264" t="inlineStr">
        <is>
          <t>流</t>
        </is>
      </c>
      <c r="C264" t="inlineStr">
        <is>
          <t>FL-CLCOD-06</t>
        </is>
      </c>
      <c r="D264" t="inlineStr">
        <is>
          <t>SRC-RAW</t>
        </is>
      </c>
      <c r="E264" t="inlineStr">
        <is>
          <t>PR06 Cleaning段</t>
        </is>
      </c>
      <c r="F264" t="inlineStr">
        <is>
          <t>Waste</t>
        </is>
      </c>
      <c r="G264" t="n">
        <v>47.7</v>
      </c>
      <c r="H264" t="inlineStr">
        <is>
          <t>kg_COD/d</t>
        </is>
      </c>
      <c r="I264" t="inlineStr">
        <is>
          <t>1天生产</t>
        </is>
      </c>
      <c r="J264" t="inlineStr">
        <is>
          <t>1天生产工况</t>
        </is>
      </c>
      <c r="K264" t="inlineStr">
        <is>
          <t>FIXED</t>
        </is>
      </c>
      <c r="Q264" t="inlineStr">
        <is>
          <t>可直接比较</t>
        </is>
      </c>
      <c r="R264" t="inlineStr">
        <is>
          <t>采用</t>
        </is>
      </c>
      <c r="S264" t="inlineStr">
        <is>
          <t>D-A2</t>
        </is>
      </c>
      <c r="T264" t="inlineStr">
        <is>
          <t>清洗废水COD负荷</t>
        </is>
      </c>
    </row>
    <row r="265">
      <c r="A265" t="inlineStr">
        <is>
          <t>CT-CLDM-06</t>
        </is>
      </c>
      <c r="B265" t="inlineStr">
        <is>
          <t>流</t>
        </is>
      </c>
      <c r="C265" t="inlineStr">
        <is>
          <t>FL-CLDM-06</t>
        </is>
      </c>
      <c r="D265" t="inlineStr">
        <is>
          <t>SRC-RAW</t>
        </is>
      </c>
      <c r="E265" t="inlineStr">
        <is>
          <t>PR06 Cleaning段</t>
        </is>
      </c>
      <c r="F265" t="inlineStr">
        <is>
          <t>dry matter content of waste</t>
        </is>
      </c>
      <c r="G265" t="n">
        <v>55.809</v>
      </c>
      <c r="H265" t="inlineStr">
        <is>
          <t>kg/d</t>
        </is>
      </c>
      <c r="I265" t="inlineStr">
        <is>
          <t>1天生产</t>
        </is>
      </c>
      <c r="J265" t="inlineStr">
        <is>
          <t>1天生产工况</t>
        </is>
      </c>
      <c r="K265" t="inlineStr">
        <is>
          <t>FIXED</t>
        </is>
      </c>
      <c r="Q265" t="inlineStr">
        <is>
          <t>可直接比较</t>
        </is>
      </c>
      <c r="R265" t="inlineStr">
        <is>
          <t>采用</t>
        </is>
      </c>
      <c r="S265" t="inlineStr">
        <is>
          <t>D-A2</t>
        </is>
      </c>
      <c r="T265" t="inlineStr">
        <is>
          <t>清洗废水干物质</t>
        </is>
      </c>
    </row>
    <row r="266">
      <c r="A266" t="inlineStr">
        <is>
          <t>CT-CLE-07</t>
        </is>
      </c>
      <c r="B266" t="inlineStr">
        <is>
          <t>流</t>
        </is>
      </c>
      <c r="C266" t="inlineStr">
        <is>
          <t>FL-CLE-07</t>
        </is>
      </c>
      <c r="D266" t="inlineStr">
        <is>
          <t>SRC-RAW</t>
        </is>
      </c>
      <c r="E266" t="inlineStr">
        <is>
          <t>PR07 Cleaning段</t>
        </is>
      </c>
      <c r="F266" t="inlineStr">
        <is>
          <t>Cleaning electricity</t>
        </is>
      </c>
      <c r="G266" t="n">
        <v>39</v>
      </c>
      <c r="H266" t="inlineStr">
        <is>
          <t>kWh/d</t>
        </is>
      </c>
      <c r="I266" t="inlineStr">
        <is>
          <t>1天生产</t>
        </is>
      </c>
      <c r="J266" t="inlineStr">
        <is>
          <t>1天生产工况</t>
        </is>
      </c>
      <c r="K266" t="inlineStr">
        <is>
          <t>FIXED</t>
        </is>
      </c>
      <c r="Q266" t="inlineStr">
        <is>
          <t>可直接比较</t>
        </is>
      </c>
      <c r="R266" t="inlineStr">
        <is>
          <t>采用</t>
        </is>
      </c>
      <c r="S266" t="inlineStr">
        <is>
          <t>D-A2</t>
        </is>
      </c>
      <c r="T266" t="inlineStr">
        <is>
          <t>CIP清洗电耗</t>
        </is>
      </c>
    </row>
    <row r="267">
      <c r="A267" t="inlineStr">
        <is>
          <t>CT-CLH-07</t>
        </is>
      </c>
      <c r="B267" t="inlineStr">
        <is>
          <t>流</t>
        </is>
      </c>
      <c r="C267" t="inlineStr">
        <is>
          <t>FL-CLH-07</t>
        </is>
      </c>
      <c r="D267" t="inlineStr">
        <is>
          <t>SRC-RAW</t>
        </is>
      </c>
      <c r="E267" t="inlineStr">
        <is>
          <t>PR07 Cleaning段</t>
        </is>
      </c>
      <c r="F267" t="inlineStr">
        <is>
          <t>Cleaning heat</t>
        </is>
      </c>
      <c r="G267" t="n">
        <v>417.6</v>
      </c>
      <c r="H267" t="inlineStr">
        <is>
          <t>MJ/d</t>
        </is>
      </c>
      <c r="I267" t="inlineStr">
        <is>
          <t>1天生产</t>
        </is>
      </c>
      <c r="J267" t="inlineStr">
        <is>
          <t>1天生产工况</t>
        </is>
      </c>
      <c r="K267" t="inlineStr">
        <is>
          <t>FIXED</t>
        </is>
      </c>
      <c r="Q267" t="inlineStr">
        <is>
          <t>可直接比较</t>
        </is>
      </c>
      <c r="R267" t="inlineStr">
        <is>
          <t>采用</t>
        </is>
      </c>
      <c r="S267" t="inlineStr">
        <is>
          <t>D-A2</t>
        </is>
      </c>
      <c r="T267" t="inlineStr">
        <is>
          <t>CIP清洗热耗</t>
        </is>
      </c>
    </row>
    <row r="268">
      <c r="A268" t="inlineStr">
        <is>
          <t>CT-CLW-07</t>
        </is>
      </c>
      <c r="B268" t="inlineStr">
        <is>
          <t>流</t>
        </is>
      </c>
      <c r="C268" t="inlineStr">
        <is>
          <t>FL-CLW-07</t>
        </is>
      </c>
      <c r="D268" t="inlineStr">
        <is>
          <t>SRC-RAW</t>
        </is>
      </c>
      <c r="E268" t="inlineStr">
        <is>
          <t>PR07 Cleaning段</t>
        </is>
      </c>
      <c r="F268" t="inlineStr">
        <is>
          <t>Cleaning tap water</t>
        </is>
      </c>
      <c r="G268" t="n">
        <v>7.5</v>
      </c>
      <c r="H268" t="inlineStr">
        <is>
          <t>m3/d</t>
        </is>
      </c>
      <c r="I268" t="inlineStr">
        <is>
          <t>1天生产</t>
        </is>
      </c>
      <c r="J268" t="inlineStr">
        <is>
          <t>1天生产工况</t>
        </is>
      </c>
      <c r="K268" t="inlineStr">
        <is>
          <t>FIXED</t>
        </is>
      </c>
      <c r="Q268" t="inlineStr">
        <is>
          <t>可直接比较</t>
        </is>
      </c>
      <c r="R268" t="inlineStr">
        <is>
          <t>采用</t>
        </is>
      </c>
      <c r="S268" t="inlineStr">
        <is>
          <t>D-A2</t>
        </is>
      </c>
      <c r="T268" t="inlineStr">
        <is>
          <t>CIP清洗水</t>
        </is>
      </c>
    </row>
    <row r="269">
      <c r="A269" t="inlineStr">
        <is>
          <t>CT-CLC-07A</t>
        </is>
      </c>
      <c r="B269" t="inlineStr">
        <is>
          <t>流</t>
        </is>
      </c>
      <c r="C269" t="inlineStr">
        <is>
          <t>FL-CLC-07A</t>
        </is>
      </c>
      <c r="D269" t="inlineStr">
        <is>
          <t>SRC-RAW</t>
        </is>
      </c>
      <c r="E269" t="inlineStr">
        <is>
          <t>PR07 Cleaning段</t>
        </is>
      </c>
      <c r="F269" t="inlineStr">
        <is>
          <t>NaOH</t>
        </is>
      </c>
      <c r="G269" t="n">
        <v>44</v>
      </c>
      <c r="H269" t="inlineStr">
        <is>
          <t>kg/d</t>
        </is>
      </c>
      <c r="I269" t="inlineStr">
        <is>
          <t>1天生产</t>
        </is>
      </c>
      <c r="J269" t="inlineStr">
        <is>
          <t>1天生产工况</t>
        </is>
      </c>
      <c r="K269" t="inlineStr">
        <is>
          <t>FIXED</t>
        </is>
      </c>
      <c r="Q269" t="inlineStr">
        <is>
          <t>可直接比较</t>
        </is>
      </c>
      <c r="R269" t="inlineStr">
        <is>
          <t>采用</t>
        </is>
      </c>
      <c r="S269" t="inlineStr">
        <is>
          <t>D-A2</t>
        </is>
      </c>
      <c r="T269" t="inlineStr">
        <is>
          <t>CIP清洗剂</t>
        </is>
      </c>
    </row>
    <row r="270">
      <c r="A270" t="inlineStr">
        <is>
          <t>CT-CLC-07B</t>
        </is>
      </c>
      <c r="B270" t="inlineStr">
        <is>
          <t>流</t>
        </is>
      </c>
      <c r="C270" t="inlineStr">
        <is>
          <t>FL-CLC-07B</t>
        </is>
      </c>
      <c r="D270" t="inlineStr">
        <is>
          <t>SRC-RAW</t>
        </is>
      </c>
      <c r="E270" t="inlineStr">
        <is>
          <t>PR07 Cleaning段</t>
        </is>
      </c>
      <c r="F270" t="inlineStr">
        <is>
          <t>HNO3</t>
        </is>
      </c>
      <c r="G270" t="n">
        <v>10</v>
      </c>
      <c r="H270" t="inlineStr">
        <is>
          <t>kg/d</t>
        </is>
      </c>
      <c r="I270" t="inlineStr">
        <is>
          <t>1天生产</t>
        </is>
      </c>
      <c r="J270" t="inlineStr">
        <is>
          <t>1天生产工况</t>
        </is>
      </c>
      <c r="K270" t="inlineStr">
        <is>
          <t>FIXED</t>
        </is>
      </c>
      <c r="Q270" t="inlineStr">
        <is>
          <t>可直接比较</t>
        </is>
      </c>
      <c r="R270" t="inlineStr">
        <is>
          <t>采用</t>
        </is>
      </c>
      <c r="S270" t="inlineStr">
        <is>
          <t>D-A2</t>
        </is>
      </c>
      <c r="T270" t="inlineStr">
        <is>
          <t>CIP清洗剂</t>
        </is>
      </c>
    </row>
    <row r="271">
      <c r="A271" t="inlineStr">
        <is>
          <t>CT-CLC-07C</t>
        </is>
      </c>
      <c r="B271" t="inlineStr">
        <is>
          <t>流</t>
        </is>
      </c>
      <c r="C271" t="inlineStr">
        <is>
          <t>FL-CLC-07C</t>
        </is>
      </c>
      <c r="D271" t="inlineStr">
        <is>
          <t>SRC-RAW</t>
        </is>
      </c>
      <c r="E271" t="inlineStr">
        <is>
          <t>PR07 Cleaning段</t>
        </is>
      </c>
      <c r="F271" t="inlineStr">
        <is>
          <t>NaOCl</t>
        </is>
      </c>
      <c r="G271" t="n">
        <v>0</v>
      </c>
      <c r="H271" t="inlineStr">
        <is>
          <t>kg/d</t>
        </is>
      </c>
      <c r="I271" t="inlineStr">
        <is>
          <t>1天生产</t>
        </is>
      </c>
      <c r="J271" t="inlineStr">
        <is>
          <t>1天生产工况</t>
        </is>
      </c>
      <c r="K271" t="inlineStr">
        <is>
          <t>FIXED</t>
        </is>
      </c>
      <c r="Q271" t="inlineStr">
        <is>
          <t>可直接比较</t>
        </is>
      </c>
      <c r="R271" t="inlineStr">
        <is>
          <t>采用</t>
        </is>
      </c>
      <c r="S271" t="inlineStr">
        <is>
          <t>D-A2</t>
        </is>
      </c>
      <c r="T271" t="inlineStr">
        <is>
          <t>CIP清洗剂</t>
        </is>
      </c>
    </row>
    <row r="272">
      <c r="A272" t="inlineStr">
        <is>
          <t>CT-CLC-07D</t>
        </is>
      </c>
      <c r="B272" t="inlineStr">
        <is>
          <t>流</t>
        </is>
      </c>
      <c r="C272" t="inlineStr">
        <is>
          <t>FL-CLC-07D</t>
        </is>
      </c>
      <c r="D272" t="inlineStr">
        <is>
          <t>SRC-RAW</t>
        </is>
      </c>
      <c r="E272" t="inlineStr">
        <is>
          <t>PR07 Cleaning段</t>
        </is>
      </c>
      <c r="F272" t="inlineStr">
        <is>
          <t>Phosphoc acid</t>
        </is>
      </c>
      <c r="G272" t="n">
        <v>0</v>
      </c>
      <c r="H272" t="inlineStr">
        <is>
          <t>kg/d</t>
        </is>
      </c>
      <c r="I272" t="inlineStr">
        <is>
          <t>1天生产</t>
        </is>
      </c>
      <c r="J272" t="inlineStr">
        <is>
          <t>1天生产工况</t>
        </is>
      </c>
      <c r="K272" t="inlineStr">
        <is>
          <t>FIXED</t>
        </is>
      </c>
      <c r="Q272" t="inlineStr">
        <is>
          <t>可直接比较</t>
        </is>
      </c>
      <c r="R272" t="inlineStr">
        <is>
          <t>采用</t>
        </is>
      </c>
      <c r="S272" t="inlineStr">
        <is>
          <t>D-A2</t>
        </is>
      </c>
      <c r="T272" t="inlineStr">
        <is>
          <t>CIP清洗剂</t>
        </is>
      </c>
    </row>
    <row r="273">
      <c r="A273" t="inlineStr">
        <is>
          <t>CT-CLC-07E</t>
        </is>
      </c>
      <c r="B273" t="inlineStr">
        <is>
          <t>流</t>
        </is>
      </c>
      <c r="C273" t="inlineStr">
        <is>
          <t>FL-CLC-07E</t>
        </is>
      </c>
      <c r="D273" t="inlineStr">
        <is>
          <t>SRC-RAW</t>
        </is>
      </c>
      <c r="E273" t="inlineStr">
        <is>
          <t>PR07 Cleaning段</t>
        </is>
      </c>
      <c r="F273" t="inlineStr">
        <is>
          <t>surfactant</t>
        </is>
      </c>
      <c r="G273" t="n">
        <v>0</v>
      </c>
      <c r="H273" t="inlineStr">
        <is>
          <t>kg/d</t>
        </is>
      </c>
      <c r="I273" t="inlineStr">
        <is>
          <t>1天生产</t>
        </is>
      </c>
      <c r="J273" t="inlineStr">
        <is>
          <t>1天生产工况</t>
        </is>
      </c>
      <c r="K273" t="inlineStr">
        <is>
          <t>FIXED</t>
        </is>
      </c>
      <c r="Q273" t="inlineStr">
        <is>
          <t>可直接比较</t>
        </is>
      </c>
      <c r="R273" t="inlineStr">
        <is>
          <t>采用</t>
        </is>
      </c>
      <c r="S273" t="inlineStr">
        <is>
          <t>D-A2</t>
        </is>
      </c>
      <c r="T273" t="inlineStr">
        <is>
          <t>CIP清洗剂</t>
        </is>
      </c>
    </row>
    <row r="274">
      <c r="A274" t="inlineStr">
        <is>
          <t>CT-CLC-07F</t>
        </is>
      </c>
      <c r="B274" t="inlineStr">
        <is>
          <t>流</t>
        </is>
      </c>
      <c r="C274" t="inlineStr">
        <is>
          <t>FL-CLC-07F</t>
        </is>
      </c>
      <c r="D274" t="inlineStr">
        <is>
          <t>SRC-RAW</t>
        </is>
      </c>
      <c r="E274" t="inlineStr">
        <is>
          <t>PR07 Cleaning段</t>
        </is>
      </c>
      <c r="F274" t="inlineStr">
        <is>
          <t>Other acid</t>
        </is>
      </c>
      <c r="G274" t="n">
        <v>0</v>
      </c>
      <c r="H274" t="inlineStr">
        <is>
          <t>kg/d</t>
        </is>
      </c>
      <c r="I274" t="inlineStr">
        <is>
          <t>1天生产</t>
        </is>
      </c>
      <c r="J274" t="inlineStr">
        <is>
          <t>1天生产工况</t>
        </is>
      </c>
      <c r="K274" t="inlineStr">
        <is>
          <t>FIXED</t>
        </is>
      </c>
      <c r="Q274" t="inlineStr">
        <is>
          <t>可直接比较</t>
        </is>
      </c>
      <c r="R274" t="inlineStr">
        <is>
          <t>采用</t>
        </is>
      </c>
      <c r="S274" t="inlineStr">
        <is>
          <t>D-A2</t>
        </is>
      </c>
      <c r="T274" t="inlineStr">
        <is>
          <t>CIP清洗剂</t>
        </is>
      </c>
    </row>
    <row r="275">
      <c r="A275" t="inlineStr">
        <is>
          <t>CT-CLT-07</t>
        </is>
      </c>
      <c r="B275" t="inlineStr">
        <is>
          <t>流</t>
        </is>
      </c>
      <c r="C275" t="inlineStr">
        <is>
          <t>FL-CLT-07</t>
        </is>
      </c>
      <c r="D275" t="inlineStr">
        <is>
          <t>SRC-RAW</t>
        </is>
      </c>
      <c r="E275" t="inlineStr">
        <is>
          <t>PR07 Cleaning段</t>
        </is>
      </c>
      <c r="F275" t="inlineStr">
        <is>
          <t>Tanks and pipes (stainless steel)</t>
        </is>
      </c>
      <c r="G275" t="n">
        <v>0.803636363636364</v>
      </c>
      <c r="H275" t="inlineStr">
        <is>
          <t>kg/d</t>
        </is>
      </c>
      <c r="I275" t="inlineStr">
        <is>
          <t>1天生产</t>
        </is>
      </c>
      <c r="J275" t="inlineStr">
        <is>
          <t>1天生产工况</t>
        </is>
      </c>
      <c r="K275" t="inlineStr">
        <is>
          <t>FIXED</t>
        </is>
      </c>
      <c r="Q275" t="inlineStr">
        <is>
          <t>可直接比较</t>
        </is>
      </c>
      <c r="R275" t="inlineStr">
        <is>
          <t>采用</t>
        </is>
      </c>
      <c r="S275" t="inlineStr">
        <is>
          <t>D-A2</t>
        </is>
      </c>
      <c r="T275" t="inlineStr">
        <is>
          <t>清洗回路设备材料（按天摊销）</t>
        </is>
      </c>
    </row>
    <row r="276">
      <c r="A276" t="inlineStr">
        <is>
          <t>CT-CLCOD-07</t>
        </is>
      </c>
      <c r="B276" t="inlineStr">
        <is>
          <t>流</t>
        </is>
      </c>
      <c r="C276" t="inlineStr">
        <is>
          <t>FL-CLCOD-07</t>
        </is>
      </c>
      <c r="D276" t="inlineStr">
        <is>
          <t>SRC-RAW</t>
        </is>
      </c>
      <c r="E276" t="inlineStr">
        <is>
          <t>PR07 Cleaning段</t>
        </is>
      </c>
      <c r="F276" t="inlineStr">
        <is>
          <t>Waste</t>
        </is>
      </c>
      <c r="G276" t="n">
        <v>30</v>
      </c>
      <c r="H276" t="inlineStr">
        <is>
          <t>kg_COD/d</t>
        </is>
      </c>
      <c r="I276" t="inlineStr">
        <is>
          <t>1天生产</t>
        </is>
      </c>
      <c r="J276" t="inlineStr">
        <is>
          <t>1天生产工况</t>
        </is>
      </c>
      <c r="K276" t="inlineStr">
        <is>
          <t>FIXED</t>
        </is>
      </c>
      <c r="Q276" t="inlineStr">
        <is>
          <t>可直接比较</t>
        </is>
      </c>
      <c r="R276" t="inlineStr">
        <is>
          <t>采用</t>
        </is>
      </c>
      <c r="S276" t="inlineStr">
        <is>
          <t>D-A2</t>
        </is>
      </c>
      <c r="T276" t="inlineStr">
        <is>
          <t>清洗废水COD负荷</t>
        </is>
      </c>
    </row>
    <row r="277">
      <c r="A277" t="inlineStr">
        <is>
          <t>CT-CLDM-07</t>
        </is>
      </c>
      <c r="B277" t="inlineStr">
        <is>
          <t>流</t>
        </is>
      </c>
      <c r="C277" t="inlineStr">
        <is>
          <t>FL-CLDM-07</t>
        </is>
      </c>
      <c r="D277" t="inlineStr">
        <is>
          <t>SRC-RAW</t>
        </is>
      </c>
      <c r="E277" t="inlineStr">
        <is>
          <t>PR07 Cleaning段</t>
        </is>
      </c>
      <c r="F277" t="inlineStr">
        <is>
          <t>dry matter content of waste</t>
        </is>
      </c>
      <c r="G277" t="n">
        <v>35.1</v>
      </c>
      <c r="H277" t="inlineStr">
        <is>
          <t>kg/d</t>
        </is>
      </c>
      <c r="I277" t="inlineStr">
        <is>
          <t>1天生产</t>
        </is>
      </c>
      <c r="J277" t="inlineStr">
        <is>
          <t>1天生产工况</t>
        </is>
      </c>
      <c r="K277" t="inlineStr">
        <is>
          <t>FIXED</t>
        </is>
      </c>
      <c r="Q277" t="inlineStr">
        <is>
          <t>可直接比较</t>
        </is>
      </c>
      <c r="R277" t="inlineStr">
        <is>
          <t>采用</t>
        </is>
      </c>
      <c r="S277" t="inlineStr">
        <is>
          <t>D-A2</t>
        </is>
      </c>
      <c r="T277" t="inlineStr">
        <is>
          <t>清洗废水干物质</t>
        </is>
      </c>
    </row>
    <row r="278">
      <c r="A278" t="inlineStr">
        <is>
          <t>CT-CLE-08</t>
        </is>
      </c>
      <c r="B278" t="inlineStr">
        <is>
          <t>流</t>
        </is>
      </c>
      <c r="C278" t="inlineStr">
        <is>
          <t>FL-CLE-08</t>
        </is>
      </c>
      <c r="D278" t="inlineStr">
        <is>
          <t>SRC-RAW</t>
        </is>
      </c>
      <c r="E278" t="inlineStr">
        <is>
          <t>PR08 Cleaning段</t>
        </is>
      </c>
      <c r="F278" t="inlineStr">
        <is>
          <t>Cleaning electricity</t>
        </is>
      </c>
      <c r="G278" t="n">
        <v>230</v>
      </c>
      <c r="H278" t="inlineStr">
        <is>
          <t>kWh/d</t>
        </is>
      </c>
      <c r="I278" t="inlineStr">
        <is>
          <t>1天生产</t>
        </is>
      </c>
      <c r="J278" t="inlineStr">
        <is>
          <t>1天生产工况</t>
        </is>
      </c>
      <c r="K278" t="inlineStr">
        <is>
          <t>FIXED</t>
        </is>
      </c>
      <c r="Q278" t="inlineStr">
        <is>
          <t>可直接比较</t>
        </is>
      </c>
      <c r="R278" t="inlineStr">
        <is>
          <t>采用</t>
        </is>
      </c>
      <c r="S278" t="inlineStr">
        <is>
          <t>D-A2</t>
        </is>
      </c>
      <c r="T278" t="inlineStr">
        <is>
          <t>CIP清洗电耗</t>
        </is>
      </c>
    </row>
    <row r="279">
      <c r="A279" t="inlineStr">
        <is>
          <t>CT-CLH-08</t>
        </is>
      </c>
      <c r="B279" t="inlineStr">
        <is>
          <t>流</t>
        </is>
      </c>
      <c r="C279" t="inlineStr">
        <is>
          <t>FL-CLH-08</t>
        </is>
      </c>
      <c r="D279" t="inlineStr">
        <is>
          <t>SRC-RAW</t>
        </is>
      </c>
      <c r="E279" t="inlineStr">
        <is>
          <t>PR08 Cleaning段</t>
        </is>
      </c>
      <c r="F279" t="inlineStr">
        <is>
          <t>Cleaning heat</t>
        </is>
      </c>
      <c r="G279" t="n">
        <v>1342.8</v>
      </c>
      <c r="H279" t="inlineStr">
        <is>
          <t>MJ/d</t>
        </is>
      </c>
      <c r="I279" t="inlineStr">
        <is>
          <t>1天生产</t>
        </is>
      </c>
      <c r="J279" t="inlineStr">
        <is>
          <t>1天生产工况</t>
        </is>
      </c>
      <c r="K279" t="inlineStr">
        <is>
          <t>FIXED</t>
        </is>
      </c>
      <c r="Q279" t="inlineStr">
        <is>
          <t>可直接比较</t>
        </is>
      </c>
      <c r="R279" t="inlineStr">
        <is>
          <t>采用</t>
        </is>
      </c>
      <c r="S279" t="inlineStr">
        <is>
          <t>D-A2</t>
        </is>
      </c>
      <c r="T279" t="inlineStr">
        <is>
          <t>CIP清洗热耗</t>
        </is>
      </c>
    </row>
    <row r="280">
      <c r="A280" t="inlineStr">
        <is>
          <t>CT-CLW-08</t>
        </is>
      </c>
      <c r="B280" t="inlineStr">
        <is>
          <t>流</t>
        </is>
      </c>
      <c r="C280" t="inlineStr">
        <is>
          <t>FL-CLW-08</t>
        </is>
      </c>
      <c r="D280" t="inlineStr">
        <is>
          <t>SRC-RAW</t>
        </is>
      </c>
      <c r="E280" t="inlineStr">
        <is>
          <t>PR08 Cleaning段</t>
        </is>
      </c>
      <c r="F280" t="inlineStr">
        <is>
          <t>Cleaning tap water</t>
        </is>
      </c>
      <c r="G280" t="n">
        <v>30.5</v>
      </c>
      <c r="H280" t="inlineStr">
        <is>
          <t>m3/d</t>
        </is>
      </c>
      <c r="I280" t="inlineStr">
        <is>
          <t>1天生产</t>
        </is>
      </c>
      <c r="J280" t="inlineStr">
        <is>
          <t>1天生产工况</t>
        </is>
      </c>
      <c r="K280" t="inlineStr">
        <is>
          <t>FIXED</t>
        </is>
      </c>
      <c r="Q280" t="inlineStr">
        <is>
          <t>可直接比较</t>
        </is>
      </c>
      <c r="R280" t="inlineStr">
        <is>
          <t>采用</t>
        </is>
      </c>
      <c r="S280" t="inlineStr">
        <is>
          <t>D-A2</t>
        </is>
      </c>
      <c r="T280" t="inlineStr">
        <is>
          <t>CIP清洗水</t>
        </is>
      </c>
    </row>
    <row r="281">
      <c r="A281" t="inlineStr">
        <is>
          <t>CT-CLC-08A</t>
        </is>
      </c>
      <c r="B281" t="inlineStr">
        <is>
          <t>流</t>
        </is>
      </c>
      <c r="C281" t="inlineStr">
        <is>
          <t>FL-CLC-08A</t>
        </is>
      </c>
      <c r="D281" t="inlineStr">
        <is>
          <t>SRC-RAW</t>
        </is>
      </c>
      <c r="E281" t="inlineStr">
        <is>
          <t>PR08 Cleaning段</t>
        </is>
      </c>
      <c r="F281" t="inlineStr">
        <is>
          <t>NaOH</t>
        </is>
      </c>
      <c r="G281" t="n">
        <v>24</v>
      </c>
      <c r="H281" t="inlineStr">
        <is>
          <t>kg/d</t>
        </is>
      </c>
      <c r="I281" t="inlineStr">
        <is>
          <t>1天生产</t>
        </is>
      </c>
      <c r="J281" t="inlineStr">
        <is>
          <t>1天生产工况</t>
        </is>
      </c>
      <c r="K281" t="inlineStr">
        <is>
          <t>FIXED</t>
        </is>
      </c>
      <c r="Q281" t="inlineStr">
        <is>
          <t>可直接比较</t>
        </is>
      </c>
      <c r="R281" t="inlineStr">
        <is>
          <t>采用</t>
        </is>
      </c>
      <c r="S281" t="inlineStr">
        <is>
          <t>D-A2</t>
        </is>
      </c>
      <c r="T281" t="inlineStr">
        <is>
          <t>CIP清洗剂</t>
        </is>
      </c>
    </row>
    <row r="282">
      <c r="A282" t="inlineStr">
        <is>
          <t>CT-CLC-08B</t>
        </is>
      </c>
      <c r="B282" t="inlineStr">
        <is>
          <t>流</t>
        </is>
      </c>
      <c r="C282" t="inlineStr">
        <is>
          <t>FL-CLC-08B</t>
        </is>
      </c>
      <c r="D282" t="inlineStr">
        <is>
          <t>SRC-RAW</t>
        </is>
      </c>
      <c r="E282" t="inlineStr">
        <is>
          <t>PR08 Cleaning段</t>
        </is>
      </c>
      <c r="F282" t="inlineStr">
        <is>
          <t>HNO3</t>
        </is>
      </c>
      <c r="G282" t="n">
        <v>8</v>
      </c>
      <c r="H282" t="inlineStr">
        <is>
          <t>kg/d</t>
        </is>
      </c>
      <c r="I282" t="inlineStr">
        <is>
          <t>1天生产</t>
        </is>
      </c>
      <c r="J282" t="inlineStr">
        <is>
          <t>1天生产工况</t>
        </is>
      </c>
      <c r="K282" t="inlineStr">
        <is>
          <t>FIXED</t>
        </is>
      </c>
      <c r="Q282" t="inlineStr">
        <is>
          <t>可直接比较</t>
        </is>
      </c>
      <c r="R282" t="inlineStr">
        <is>
          <t>采用</t>
        </is>
      </c>
      <c r="S282" t="inlineStr">
        <is>
          <t>D-A2</t>
        </is>
      </c>
      <c r="T282" t="inlineStr">
        <is>
          <t>CIP清洗剂</t>
        </is>
      </c>
    </row>
    <row r="283">
      <c r="A283" t="inlineStr">
        <is>
          <t>CT-CLC-08C</t>
        </is>
      </c>
      <c r="B283" t="inlineStr">
        <is>
          <t>流</t>
        </is>
      </c>
      <c r="C283" t="inlineStr">
        <is>
          <t>FL-CLC-08C</t>
        </is>
      </c>
      <c r="D283" t="inlineStr">
        <is>
          <t>SRC-RAW</t>
        </is>
      </c>
      <c r="E283" t="inlineStr">
        <is>
          <t>PR08 Cleaning段</t>
        </is>
      </c>
      <c r="F283" t="inlineStr">
        <is>
          <t>NaOCl</t>
        </is>
      </c>
      <c r="G283" t="n">
        <v>7</v>
      </c>
      <c r="H283" t="inlineStr">
        <is>
          <t>kg/d</t>
        </is>
      </c>
      <c r="I283" t="inlineStr">
        <is>
          <t>1天生产</t>
        </is>
      </c>
      <c r="J283" t="inlineStr">
        <is>
          <t>1天生产工况</t>
        </is>
      </c>
      <c r="K283" t="inlineStr">
        <is>
          <t>FIXED</t>
        </is>
      </c>
      <c r="Q283" t="inlineStr">
        <is>
          <t>可直接比较</t>
        </is>
      </c>
      <c r="R283" t="inlineStr">
        <is>
          <t>采用</t>
        </is>
      </c>
      <c r="S283" t="inlineStr">
        <is>
          <t>D-A2</t>
        </is>
      </c>
      <c r="T283" t="inlineStr">
        <is>
          <t>CIP清洗剂</t>
        </is>
      </c>
    </row>
    <row r="284">
      <c r="A284" t="inlineStr">
        <is>
          <t>CT-CLC-08D</t>
        </is>
      </c>
      <c r="B284" t="inlineStr">
        <is>
          <t>流</t>
        </is>
      </c>
      <c r="C284" t="inlineStr">
        <is>
          <t>FL-CLC-08D</t>
        </is>
      </c>
      <c r="D284" t="inlineStr">
        <is>
          <t>SRC-RAW</t>
        </is>
      </c>
      <c r="E284" t="inlineStr">
        <is>
          <t>PR08 Cleaning段</t>
        </is>
      </c>
      <c r="F284" t="inlineStr">
        <is>
          <t>Phosphoc acid</t>
        </is>
      </c>
      <c r="G284" t="n">
        <v>5</v>
      </c>
      <c r="H284" t="inlineStr">
        <is>
          <t>kg/d</t>
        </is>
      </c>
      <c r="I284" t="inlineStr">
        <is>
          <t>1天生产</t>
        </is>
      </c>
      <c r="J284" t="inlineStr">
        <is>
          <t>1天生产工况</t>
        </is>
      </c>
      <c r="K284" t="inlineStr">
        <is>
          <t>FIXED</t>
        </is>
      </c>
      <c r="Q284" t="inlineStr">
        <is>
          <t>可直接比较</t>
        </is>
      </c>
      <c r="R284" t="inlineStr">
        <is>
          <t>采用</t>
        </is>
      </c>
      <c r="S284" t="inlineStr">
        <is>
          <t>D-A2</t>
        </is>
      </c>
      <c r="T284" t="inlineStr">
        <is>
          <t>CIP清洗剂</t>
        </is>
      </c>
    </row>
    <row r="285">
      <c r="A285" t="inlineStr">
        <is>
          <t>CT-CLC-08E</t>
        </is>
      </c>
      <c r="B285" t="inlineStr">
        <is>
          <t>流</t>
        </is>
      </c>
      <c r="C285" t="inlineStr">
        <is>
          <t>FL-CLC-08E</t>
        </is>
      </c>
      <c r="D285" t="inlineStr">
        <is>
          <t>SRC-RAW</t>
        </is>
      </c>
      <c r="E285" t="inlineStr">
        <is>
          <t>PR08 Cleaning段</t>
        </is>
      </c>
      <c r="F285" t="inlineStr">
        <is>
          <t>surfactant</t>
        </is>
      </c>
      <c r="G285" t="n">
        <v>12</v>
      </c>
      <c r="H285" t="inlineStr">
        <is>
          <t>kg/d</t>
        </is>
      </c>
      <c r="I285" t="inlineStr">
        <is>
          <t>1天生产</t>
        </is>
      </c>
      <c r="J285" t="inlineStr">
        <is>
          <t>1天生产工况</t>
        </is>
      </c>
      <c r="K285" t="inlineStr">
        <is>
          <t>FIXED</t>
        </is>
      </c>
      <c r="Q285" t="inlineStr">
        <is>
          <t>可直接比较</t>
        </is>
      </c>
      <c r="R285" t="inlineStr">
        <is>
          <t>采用</t>
        </is>
      </c>
      <c r="S285" t="inlineStr">
        <is>
          <t>D-A2</t>
        </is>
      </c>
      <c r="T285" t="inlineStr">
        <is>
          <t>CIP清洗剂</t>
        </is>
      </c>
    </row>
    <row r="286">
      <c r="A286" t="inlineStr">
        <is>
          <t>CT-CLC-08F</t>
        </is>
      </c>
      <c r="B286" t="inlineStr">
        <is>
          <t>流</t>
        </is>
      </c>
      <c r="C286" t="inlineStr">
        <is>
          <t>FL-CLC-08F</t>
        </is>
      </c>
      <c r="D286" t="inlineStr">
        <is>
          <t>SRC-RAW</t>
        </is>
      </c>
      <c r="E286" t="inlineStr">
        <is>
          <t>PR08 Cleaning段</t>
        </is>
      </c>
      <c r="F286" t="inlineStr">
        <is>
          <t>Other acid</t>
        </is>
      </c>
      <c r="G286" t="n">
        <v>0</v>
      </c>
      <c r="H286" t="inlineStr">
        <is>
          <t>kg/d</t>
        </is>
      </c>
      <c r="I286" t="inlineStr">
        <is>
          <t>1天生产</t>
        </is>
      </c>
      <c r="J286" t="inlineStr">
        <is>
          <t>1天生产工况</t>
        </is>
      </c>
      <c r="K286" t="inlineStr">
        <is>
          <t>FIXED</t>
        </is>
      </c>
      <c r="Q286" t="inlineStr">
        <is>
          <t>可直接比较</t>
        </is>
      </c>
      <c r="R286" t="inlineStr">
        <is>
          <t>采用</t>
        </is>
      </c>
      <c r="S286" t="inlineStr">
        <is>
          <t>D-A2</t>
        </is>
      </c>
      <c r="T286" t="inlineStr">
        <is>
          <t>CIP清洗剂</t>
        </is>
      </c>
    </row>
    <row r="287">
      <c r="A287" t="inlineStr">
        <is>
          <t>CT-CLCOD-08</t>
        </is>
      </c>
      <c r="B287" t="inlineStr">
        <is>
          <t>流</t>
        </is>
      </c>
      <c r="C287" t="inlineStr">
        <is>
          <t>FL-CLCOD-08</t>
        </is>
      </c>
      <c r="D287" t="inlineStr">
        <is>
          <t>SRC-RAW</t>
        </is>
      </c>
      <c r="E287" t="inlineStr">
        <is>
          <t>PR08 Cleaning段</t>
        </is>
      </c>
      <c r="F287" t="inlineStr">
        <is>
          <t>Waste</t>
        </is>
      </c>
      <c r="G287" t="n">
        <v>19</v>
      </c>
      <c r="H287" t="inlineStr">
        <is>
          <t>kg_COD/d</t>
        </is>
      </c>
      <c r="I287" t="inlineStr">
        <is>
          <t>1天生产</t>
        </is>
      </c>
      <c r="J287" t="inlineStr">
        <is>
          <t>1天生产工况</t>
        </is>
      </c>
      <c r="K287" t="inlineStr">
        <is>
          <t>FIXED</t>
        </is>
      </c>
      <c r="Q287" t="inlineStr">
        <is>
          <t>可直接比较</t>
        </is>
      </c>
      <c r="R287" t="inlineStr">
        <is>
          <t>采用</t>
        </is>
      </c>
      <c r="S287" t="inlineStr">
        <is>
          <t>D-A2</t>
        </is>
      </c>
      <c r="T287" t="inlineStr">
        <is>
          <t>清洗废水COD负荷</t>
        </is>
      </c>
    </row>
    <row r="288">
      <c r="A288" t="inlineStr">
        <is>
          <t>CT-CLDM-08</t>
        </is>
      </c>
      <c r="B288" t="inlineStr">
        <is>
          <t>流</t>
        </is>
      </c>
      <c r="C288" t="inlineStr">
        <is>
          <t>FL-CLDM-08</t>
        </is>
      </c>
      <c r="D288" t="inlineStr">
        <is>
          <t>SRC-RAW</t>
        </is>
      </c>
      <c r="E288" t="inlineStr">
        <is>
          <t>PR08 Cleaning段</t>
        </is>
      </c>
      <c r="F288" t="inlineStr">
        <is>
          <t>dry matter content of waste</t>
        </is>
      </c>
      <c r="G288" t="n">
        <v>22.23</v>
      </c>
      <c r="H288" t="inlineStr">
        <is>
          <t>kg/d</t>
        </is>
      </c>
      <c r="I288" t="inlineStr">
        <is>
          <t>1天生产</t>
        </is>
      </c>
      <c r="J288" t="inlineStr">
        <is>
          <t>1天生产工况</t>
        </is>
      </c>
      <c r="K288" t="inlineStr">
        <is>
          <t>FIXED</t>
        </is>
      </c>
      <c r="Q288" t="inlineStr">
        <is>
          <t>可直接比较</t>
        </is>
      </c>
      <c r="R288" t="inlineStr">
        <is>
          <t>采用</t>
        </is>
      </c>
      <c r="S288" t="inlineStr">
        <is>
          <t>D-A2</t>
        </is>
      </c>
      <c r="T288" t="inlineStr">
        <is>
          <t>清洗废水干物质</t>
        </is>
      </c>
    </row>
    <row r="289">
      <c r="A289" t="inlineStr">
        <is>
          <t>CT-CLE-09</t>
        </is>
      </c>
      <c r="B289" t="inlineStr">
        <is>
          <t>流</t>
        </is>
      </c>
      <c r="C289" t="inlineStr">
        <is>
          <t>FL-CLE-09</t>
        </is>
      </c>
      <c r="D289" t="inlineStr">
        <is>
          <t>SRC-RAW</t>
        </is>
      </c>
      <c r="E289" t="inlineStr">
        <is>
          <t>PR09 Cleaning段</t>
        </is>
      </c>
      <c r="F289" t="inlineStr">
        <is>
          <t>Cleaning electricity</t>
        </is>
      </c>
      <c r="G289" t="n">
        <v>19</v>
      </c>
      <c r="H289" t="inlineStr">
        <is>
          <t>kWh/d</t>
        </is>
      </c>
      <c r="I289" t="inlineStr">
        <is>
          <t>1天生产</t>
        </is>
      </c>
      <c r="J289" t="inlineStr">
        <is>
          <t>1天生产工况</t>
        </is>
      </c>
      <c r="K289" t="inlineStr">
        <is>
          <t>FIXED</t>
        </is>
      </c>
      <c r="Q289" t="inlineStr">
        <is>
          <t>可直接比较</t>
        </is>
      </c>
      <c r="R289" t="inlineStr">
        <is>
          <t>采用</t>
        </is>
      </c>
      <c r="S289" t="inlineStr">
        <is>
          <t>D-A2</t>
        </is>
      </c>
      <c r="T289" t="inlineStr">
        <is>
          <t>CIP清洗电耗</t>
        </is>
      </c>
    </row>
    <row r="290">
      <c r="A290" t="inlineStr">
        <is>
          <t>CT-CLH-09</t>
        </is>
      </c>
      <c r="B290" t="inlineStr">
        <is>
          <t>流</t>
        </is>
      </c>
      <c r="C290" t="inlineStr">
        <is>
          <t>FL-CLH-09</t>
        </is>
      </c>
      <c r="D290" t="inlineStr">
        <is>
          <t>SRC-RAW</t>
        </is>
      </c>
      <c r="E290" t="inlineStr">
        <is>
          <t>PR09 Cleaning段</t>
        </is>
      </c>
      <c r="F290" t="inlineStr">
        <is>
          <t>Cleaning heat</t>
        </is>
      </c>
      <c r="G290" t="n">
        <v>417.6</v>
      </c>
      <c r="H290" t="inlineStr">
        <is>
          <t>MJ/d</t>
        </is>
      </c>
      <c r="I290" t="inlineStr">
        <is>
          <t>1天生产</t>
        </is>
      </c>
      <c r="J290" t="inlineStr">
        <is>
          <t>1天生产工况</t>
        </is>
      </c>
      <c r="K290" t="inlineStr">
        <is>
          <t>FIXED</t>
        </is>
      </c>
      <c r="Q290" t="inlineStr">
        <is>
          <t>可直接比较</t>
        </is>
      </c>
      <c r="R290" t="inlineStr">
        <is>
          <t>采用</t>
        </is>
      </c>
      <c r="S290" t="inlineStr">
        <is>
          <t>D-A2</t>
        </is>
      </c>
      <c r="T290" t="inlineStr">
        <is>
          <t>CIP清洗热耗</t>
        </is>
      </c>
    </row>
    <row r="291">
      <c r="A291" t="inlineStr">
        <is>
          <t>CT-CLW-09</t>
        </is>
      </c>
      <c r="B291" t="inlineStr">
        <is>
          <t>流</t>
        </is>
      </c>
      <c r="C291" t="inlineStr">
        <is>
          <t>FL-CLW-09</t>
        </is>
      </c>
      <c r="D291" t="inlineStr">
        <is>
          <t>SRC-RAW</t>
        </is>
      </c>
      <c r="E291" t="inlineStr">
        <is>
          <t>PR09 Cleaning段</t>
        </is>
      </c>
      <c r="F291" t="inlineStr">
        <is>
          <t>Cleaning tap water</t>
        </is>
      </c>
      <c r="G291" t="n">
        <v>4.5</v>
      </c>
      <c r="H291" t="inlineStr">
        <is>
          <t>m3/d</t>
        </is>
      </c>
      <c r="I291" t="inlineStr">
        <is>
          <t>1天生产</t>
        </is>
      </c>
      <c r="J291" t="inlineStr">
        <is>
          <t>1天生产工况</t>
        </is>
      </c>
      <c r="K291" t="inlineStr">
        <is>
          <t>FIXED</t>
        </is>
      </c>
      <c r="Q291" t="inlineStr">
        <is>
          <t>可直接比较</t>
        </is>
      </c>
      <c r="R291" t="inlineStr">
        <is>
          <t>采用</t>
        </is>
      </c>
      <c r="S291" t="inlineStr">
        <is>
          <t>D-A2</t>
        </is>
      </c>
      <c r="T291" t="inlineStr">
        <is>
          <t>CIP清洗水</t>
        </is>
      </c>
    </row>
    <row r="292">
      <c r="A292" t="inlineStr">
        <is>
          <t>CT-CLC-09A</t>
        </is>
      </c>
      <c r="B292" t="inlineStr">
        <is>
          <t>流</t>
        </is>
      </c>
      <c r="C292" t="inlineStr">
        <is>
          <t>FL-CLC-09A</t>
        </is>
      </c>
      <c r="D292" t="inlineStr">
        <is>
          <t>SRC-RAW</t>
        </is>
      </c>
      <c r="E292" t="inlineStr">
        <is>
          <t>PR09 Cleaning段</t>
        </is>
      </c>
      <c r="F292" t="inlineStr">
        <is>
          <t>NaOH</t>
        </is>
      </c>
      <c r="G292" t="n">
        <v>44</v>
      </c>
      <c r="H292" t="inlineStr">
        <is>
          <t>kg/d</t>
        </is>
      </c>
      <c r="I292" t="inlineStr">
        <is>
          <t>1天生产</t>
        </is>
      </c>
      <c r="J292" t="inlineStr">
        <is>
          <t>1天生产工况</t>
        </is>
      </c>
      <c r="K292" t="inlineStr">
        <is>
          <t>FIXED</t>
        </is>
      </c>
      <c r="Q292" t="inlineStr">
        <is>
          <t>可直接比较</t>
        </is>
      </c>
      <c r="R292" t="inlineStr">
        <is>
          <t>采用</t>
        </is>
      </c>
      <c r="S292" t="inlineStr">
        <is>
          <t>D-A2</t>
        </is>
      </c>
      <c r="T292" t="inlineStr">
        <is>
          <t>CIP清洗剂</t>
        </is>
      </c>
    </row>
    <row r="293">
      <c r="A293" t="inlineStr">
        <is>
          <t>CT-CLC-09B</t>
        </is>
      </c>
      <c r="B293" t="inlineStr">
        <is>
          <t>流</t>
        </is>
      </c>
      <c r="C293" t="inlineStr">
        <is>
          <t>FL-CLC-09B</t>
        </is>
      </c>
      <c r="D293" t="inlineStr">
        <is>
          <t>SRC-RAW</t>
        </is>
      </c>
      <c r="E293" t="inlineStr">
        <is>
          <t>PR09 Cleaning段</t>
        </is>
      </c>
      <c r="F293" t="inlineStr">
        <is>
          <t>HNO3</t>
        </is>
      </c>
      <c r="G293" t="n">
        <v>10</v>
      </c>
      <c r="H293" t="inlineStr">
        <is>
          <t>kg/d</t>
        </is>
      </c>
      <c r="I293" t="inlineStr">
        <is>
          <t>1天生产</t>
        </is>
      </c>
      <c r="J293" t="inlineStr">
        <is>
          <t>1天生产工况</t>
        </is>
      </c>
      <c r="K293" t="inlineStr">
        <is>
          <t>FIXED</t>
        </is>
      </c>
      <c r="Q293" t="inlineStr">
        <is>
          <t>可直接比较</t>
        </is>
      </c>
      <c r="R293" t="inlineStr">
        <is>
          <t>采用</t>
        </is>
      </c>
      <c r="S293" t="inlineStr">
        <is>
          <t>D-A2</t>
        </is>
      </c>
      <c r="T293" t="inlineStr">
        <is>
          <t>CIP清洗剂</t>
        </is>
      </c>
    </row>
    <row r="294">
      <c r="A294" t="inlineStr">
        <is>
          <t>CT-CLC-09C</t>
        </is>
      </c>
      <c r="B294" t="inlineStr">
        <is>
          <t>流</t>
        </is>
      </c>
      <c r="C294" t="inlineStr">
        <is>
          <t>FL-CLC-09C</t>
        </is>
      </c>
      <c r="D294" t="inlineStr">
        <is>
          <t>SRC-RAW</t>
        </is>
      </c>
      <c r="E294" t="inlineStr">
        <is>
          <t>PR09 Cleaning段</t>
        </is>
      </c>
      <c r="F294" t="inlineStr">
        <is>
          <t>NaOCl</t>
        </is>
      </c>
      <c r="G294" t="n">
        <v>0</v>
      </c>
      <c r="H294" t="inlineStr">
        <is>
          <t>kg/d</t>
        </is>
      </c>
      <c r="I294" t="inlineStr">
        <is>
          <t>1天生产</t>
        </is>
      </c>
      <c r="J294" t="inlineStr">
        <is>
          <t>1天生产工况</t>
        </is>
      </c>
      <c r="K294" t="inlineStr">
        <is>
          <t>FIXED</t>
        </is>
      </c>
      <c r="Q294" t="inlineStr">
        <is>
          <t>可直接比较</t>
        </is>
      </c>
      <c r="R294" t="inlineStr">
        <is>
          <t>采用</t>
        </is>
      </c>
      <c r="S294" t="inlineStr">
        <is>
          <t>D-A2</t>
        </is>
      </c>
      <c r="T294" t="inlineStr">
        <is>
          <t>CIP清洗剂</t>
        </is>
      </c>
    </row>
    <row r="295">
      <c r="A295" t="inlineStr">
        <is>
          <t>CT-CLC-09D</t>
        </is>
      </c>
      <c r="B295" t="inlineStr">
        <is>
          <t>流</t>
        </is>
      </c>
      <c r="C295" t="inlineStr">
        <is>
          <t>FL-CLC-09D</t>
        </is>
      </c>
      <c r="D295" t="inlineStr">
        <is>
          <t>SRC-RAW</t>
        </is>
      </c>
      <c r="E295" t="inlineStr">
        <is>
          <t>PR09 Cleaning段</t>
        </is>
      </c>
      <c r="F295" t="inlineStr">
        <is>
          <t>Phosphoc acid</t>
        </is>
      </c>
      <c r="G295" t="n">
        <v>0</v>
      </c>
      <c r="H295" t="inlineStr">
        <is>
          <t>kg/d</t>
        </is>
      </c>
      <c r="I295" t="inlineStr">
        <is>
          <t>1天生产</t>
        </is>
      </c>
      <c r="J295" t="inlineStr">
        <is>
          <t>1天生产工况</t>
        </is>
      </c>
      <c r="K295" t="inlineStr">
        <is>
          <t>FIXED</t>
        </is>
      </c>
      <c r="Q295" t="inlineStr">
        <is>
          <t>可直接比较</t>
        </is>
      </c>
      <c r="R295" t="inlineStr">
        <is>
          <t>采用</t>
        </is>
      </c>
      <c r="S295" t="inlineStr">
        <is>
          <t>D-A2</t>
        </is>
      </c>
      <c r="T295" t="inlineStr">
        <is>
          <t>CIP清洗剂</t>
        </is>
      </c>
    </row>
    <row r="296">
      <c r="A296" t="inlineStr">
        <is>
          <t>CT-CLC-09E</t>
        </is>
      </c>
      <c r="B296" t="inlineStr">
        <is>
          <t>流</t>
        </is>
      </c>
      <c r="C296" t="inlineStr">
        <is>
          <t>FL-CLC-09E</t>
        </is>
      </c>
      <c r="D296" t="inlineStr">
        <is>
          <t>SRC-RAW</t>
        </is>
      </c>
      <c r="E296" t="inlineStr">
        <is>
          <t>PR09 Cleaning段</t>
        </is>
      </c>
      <c r="F296" t="inlineStr">
        <is>
          <t>surfactant</t>
        </is>
      </c>
      <c r="G296" t="n">
        <v>0</v>
      </c>
      <c r="H296" t="inlineStr">
        <is>
          <t>kg/d</t>
        </is>
      </c>
      <c r="I296" t="inlineStr">
        <is>
          <t>1天生产</t>
        </is>
      </c>
      <c r="J296" t="inlineStr">
        <is>
          <t>1天生产工况</t>
        </is>
      </c>
      <c r="K296" t="inlineStr">
        <is>
          <t>FIXED</t>
        </is>
      </c>
      <c r="Q296" t="inlineStr">
        <is>
          <t>可直接比较</t>
        </is>
      </c>
      <c r="R296" t="inlineStr">
        <is>
          <t>采用</t>
        </is>
      </c>
      <c r="S296" t="inlineStr">
        <is>
          <t>D-A2</t>
        </is>
      </c>
      <c r="T296" t="inlineStr">
        <is>
          <t>CIP清洗剂</t>
        </is>
      </c>
    </row>
    <row r="297">
      <c r="A297" t="inlineStr">
        <is>
          <t>CT-CLC-09F</t>
        </is>
      </c>
      <c r="B297" t="inlineStr">
        <is>
          <t>流</t>
        </is>
      </c>
      <c r="C297" t="inlineStr">
        <is>
          <t>FL-CLC-09F</t>
        </is>
      </c>
      <c r="D297" t="inlineStr">
        <is>
          <t>SRC-RAW</t>
        </is>
      </c>
      <c r="E297" t="inlineStr">
        <is>
          <t>PR09 Cleaning段</t>
        </is>
      </c>
      <c r="F297" t="inlineStr">
        <is>
          <t>Other acid</t>
        </is>
      </c>
      <c r="G297" t="n">
        <v>0</v>
      </c>
      <c r="H297" t="inlineStr">
        <is>
          <t>kg/d</t>
        </is>
      </c>
      <c r="I297" t="inlineStr">
        <is>
          <t>1天生产</t>
        </is>
      </c>
      <c r="J297" t="inlineStr">
        <is>
          <t>1天生产工况</t>
        </is>
      </c>
      <c r="K297" t="inlineStr">
        <is>
          <t>FIXED</t>
        </is>
      </c>
      <c r="Q297" t="inlineStr">
        <is>
          <t>可直接比较</t>
        </is>
      </c>
      <c r="R297" t="inlineStr">
        <is>
          <t>采用</t>
        </is>
      </c>
      <c r="S297" t="inlineStr">
        <is>
          <t>D-A2</t>
        </is>
      </c>
      <c r="T297" t="inlineStr">
        <is>
          <t>CIP清洗剂</t>
        </is>
      </c>
    </row>
    <row r="298">
      <c r="A298" t="inlineStr">
        <is>
          <t>CT-CLT-09</t>
        </is>
      </c>
      <c r="B298" t="inlineStr">
        <is>
          <t>流</t>
        </is>
      </c>
      <c r="C298" t="inlineStr">
        <is>
          <t>FL-CLT-09</t>
        </is>
      </c>
      <c r="D298" t="inlineStr">
        <is>
          <t>SRC-RAW</t>
        </is>
      </c>
      <c r="E298" t="inlineStr">
        <is>
          <t>PR09 Cleaning段</t>
        </is>
      </c>
      <c r="F298" t="inlineStr">
        <is>
          <t>Tanks and pipes (stainless steel)</t>
        </is>
      </c>
      <c r="G298" t="n">
        <v>0.803636363636364</v>
      </c>
      <c r="H298" t="inlineStr">
        <is>
          <t>kg/d</t>
        </is>
      </c>
      <c r="I298" t="inlineStr">
        <is>
          <t>1天生产</t>
        </is>
      </c>
      <c r="J298" t="inlineStr">
        <is>
          <t>1天生产工况</t>
        </is>
      </c>
      <c r="K298" t="inlineStr">
        <is>
          <t>FIXED</t>
        </is>
      </c>
      <c r="Q298" t="inlineStr">
        <is>
          <t>可直接比较</t>
        </is>
      </c>
      <c r="R298" t="inlineStr">
        <is>
          <t>采用</t>
        </is>
      </c>
      <c r="S298" t="inlineStr">
        <is>
          <t>D-A2</t>
        </is>
      </c>
      <c r="T298" t="inlineStr">
        <is>
          <t>清洗回路设备材料（按天摊销）</t>
        </is>
      </c>
    </row>
    <row r="299">
      <c r="A299" t="inlineStr">
        <is>
          <t>CT-CLCOD-09</t>
        </is>
      </c>
      <c r="B299" t="inlineStr">
        <is>
          <t>流</t>
        </is>
      </c>
      <c r="C299" t="inlineStr">
        <is>
          <t>FL-CLCOD-09</t>
        </is>
      </c>
      <c r="D299" t="inlineStr">
        <is>
          <t>SRC-RAW</t>
        </is>
      </c>
      <c r="E299" t="inlineStr">
        <is>
          <t>PR09 Cleaning段</t>
        </is>
      </c>
      <c r="F299" t="inlineStr">
        <is>
          <t>Waste</t>
        </is>
      </c>
      <c r="G299" t="n">
        <v>20</v>
      </c>
      <c r="H299" t="inlineStr">
        <is>
          <t>kg_COD/d</t>
        </is>
      </c>
      <c r="I299" t="inlineStr">
        <is>
          <t>1天生产</t>
        </is>
      </c>
      <c r="J299" t="inlineStr">
        <is>
          <t>1天生产工况</t>
        </is>
      </c>
      <c r="K299" t="inlineStr">
        <is>
          <t>FIXED</t>
        </is>
      </c>
      <c r="Q299" t="inlineStr">
        <is>
          <t>可直接比较</t>
        </is>
      </c>
      <c r="R299" t="inlineStr">
        <is>
          <t>采用</t>
        </is>
      </c>
      <c r="S299" t="inlineStr">
        <is>
          <t>D-A2</t>
        </is>
      </c>
      <c r="T299" t="inlineStr">
        <is>
          <t>清洗废水COD负荷</t>
        </is>
      </c>
    </row>
    <row r="300">
      <c r="A300" t="inlineStr">
        <is>
          <t>CT-CLDM-09</t>
        </is>
      </c>
      <c r="B300" t="inlineStr">
        <is>
          <t>流</t>
        </is>
      </c>
      <c r="C300" t="inlineStr">
        <is>
          <t>FL-CLDM-09</t>
        </is>
      </c>
      <c r="D300" t="inlineStr">
        <is>
          <t>SRC-RAW</t>
        </is>
      </c>
      <c r="E300" t="inlineStr">
        <is>
          <t>PR09 Cleaning段</t>
        </is>
      </c>
      <c r="F300" t="inlineStr">
        <is>
          <t>dry matter content of waste</t>
        </is>
      </c>
      <c r="G300" t="n">
        <v>23.4</v>
      </c>
      <c r="H300" t="inlineStr">
        <is>
          <t>kg/d</t>
        </is>
      </c>
      <c r="I300" t="inlineStr">
        <is>
          <t>1天生产</t>
        </is>
      </c>
      <c r="J300" t="inlineStr">
        <is>
          <t>1天生产工况</t>
        </is>
      </c>
      <c r="K300" t="inlineStr">
        <is>
          <t>FIXED</t>
        </is>
      </c>
      <c r="Q300" t="inlineStr">
        <is>
          <t>可直接比较</t>
        </is>
      </c>
      <c r="R300" t="inlineStr">
        <is>
          <t>采用</t>
        </is>
      </c>
      <c r="S300" t="inlineStr">
        <is>
          <t>D-A2</t>
        </is>
      </c>
      <c r="T300" t="inlineStr">
        <is>
          <t>清洗废水干物质</t>
        </is>
      </c>
    </row>
    <row r="301">
      <c r="A301" t="inlineStr">
        <is>
          <t>CT-CLE-10</t>
        </is>
      </c>
      <c r="B301" t="inlineStr">
        <is>
          <t>流</t>
        </is>
      </c>
      <c r="C301" t="inlineStr">
        <is>
          <t>FL-CLE-10</t>
        </is>
      </c>
      <c r="D301" t="inlineStr">
        <is>
          <t>SRC-RAW</t>
        </is>
      </c>
      <c r="E301" t="inlineStr">
        <is>
          <t>PR10 Cleaning段</t>
        </is>
      </c>
      <c r="F301" t="inlineStr">
        <is>
          <t>Cleaning electricity</t>
        </is>
      </c>
      <c r="G301" t="n">
        <v>19</v>
      </c>
      <c r="H301" t="inlineStr">
        <is>
          <t>kWh/d</t>
        </is>
      </c>
      <c r="I301" t="inlineStr">
        <is>
          <t>1天生产</t>
        </is>
      </c>
      <c r="J301" t="inlineStr">
        <is>
          <t>1天生产工况</t>
        </is>
      </c>
      <c r="K301" t="inlineStr">
        <is>
          <t>FIXED</t>
        </is>
      </c>
      <c r="Q301" t="inlineStr">
        <is>
          <t>可直接比较</t>
        </is>
      </c>
      <c r="R301" t="inlineStr">
        <is>
          <t>采用</t>
        </is>
      </c>
      <c r="S301" t="inlineStr">
        <is>
          <t>D-A2</t>
        </is>
      </c>
      <c r="T301" t="inlineStr">
        <is>
          <t>CIP清洗电耗</t>
        </is>
      </c>
    </row>
    <row r="302">
      <c r="A302" t="inlineStr">
        <is>
          <t>CT-CLW-10</t>
        </is>
      </c>
      <c r="B302" t="inlineStr">
        <is>
          <t>流</t>
        </is>
      </c>
      <c r="C302" t="inlineStr">
        <is>
          <t>FL-CLW-10</t>
        </is>
      </c>
      <c r="D302" t="inlineStr">
        <is>
          <t>SRC-RAW</t>
        </is>
      </c>
      <c r="E302" t="inlineStr">
        <is>
          <t>PR10 Cleaning段</t>
        </is>
      </c>
      <c r="F302" t="inlineStr">
        <is>
          <t>Cleaning tap water</t>
        </is>
      </c>
      <c r="G302" t="n">
        <v>2.5</v>
      </c>
      <c r="H302" t="inlineStr">
        <is>
          <t>m3/d</t>
        </is>
      </c>
      <c r="I302" t="inlineStr">
        <is>
          <t>1天生产</t>
        </is>
      </c>
      <c r="J302" t="inlineStr">
        <is>
          <t>1天生产工况</t>
        </is>
      </c>
      <c r="K302" t="inlineStr">
        <is>
          <t>FIXED</t>
        </is>
      </c>
      <c r="Q302" t="inlineStr">
        <is>
          <t>可直接比较</t>
        </is>
      </c>
      <c r="R302" t="inlineStr">
        <is>
          <t>采用</t>
        </is>
      </c>
      <c r="S302" t="inlineStr">
        <is>
          <t>D-A2</t>
        </is>
      </c>
      <c r="T302" t="inlineStr">
        <is>
          <t>CIP清洗水</t>
        </is>
      </c>
    </row>
    <row r="303">
      <c r="A303" t="inlineStr">
        <is>
          <t>CT-CLC-10A</t>
        </is>
      </c>
      <c r="B303" t="inlineStr">
        <is>
          <t>流</t>
        </is>
      </c>
      <c r="C303" t="inlineStr">
        <is>
          <t>FL-CLC-10A</t>
        </is>
      </c>
      <c r="D303" t="inlineStr">
        <is>
          <t>SRC-RAW</t>
        </is>
      </c>
      <c r="E303" t="inlineStr">
        <is>
          <t>PR10 Cleaning段</t>
        </is>
      </c>
      <c r="F303" t="inlineStr">
        <is>
          <t>NaOH</t>
        </is>
      </c>
      <c r="G303" t="n">
        <v>44</v>
      </c>
      <c r="H303" t="inlineStr">
        <is>
          <t>kg/d</t>
        </is>
      </c>
      <c r="I303" t="inlineStr">
        <is>
          <t>1天生产</t>
        </is>
      </c>
      <c r="J303" t="inlineStr">
        <is>
          <t>1天生产工况</t>
        </is>
      </c>
      <c r="K303" t="inlineStr">
        <is>
          <t>FIXED</t>
        </is>
      </c>
      <c r="Q303" t="inlineStr">
        <is>
          <t>可直接比较</t>
        </is>
      </c>
      <c r="R303" t="inlineStr">
        <is>
          <t>采用</t>
        </is>
      </c>
      <c r="S303" t="inlineStr">
        <is>
          <t>D-A2</t>
        </is>
      </c>
      <c r="T303" t="inlineStr">
        <is>
          <t>CIP清洗剂</t>
        </is>
      </c>
    </row>
    <row r="304">
      <c r="A304" t="inlineStr">
        <is>
          <t>CT-CLC-10B</t>
        </is>
      </c>
      <c r="B304" t="inlineStr">
        <is>
          <t>流</t>
        </is>
      </c>
      <c r="C304" t="inlineStr">
        <is>
          <t>FL-CLC-10B</t>
        </is>
      </c>
      <c r="D304" t="inlineStr">
        <is>
          <t>SRC-RAW</t>
        </is>
      </c>
      <c r="E304" t="inlineStr">
        <is>
          <t>PR10 Cleaning段</t>
        </is>
      </c>
      <c r="F304" t="inlineStr">
        <is>
          <t>HNO3</t>
        </is>
      </c>
      <c r="G304" t="n">
        <v>0</v>
      </c>
      <c r="H304" t="inlineStr">
        <is>
          <t>kg/d</t>
        </is>
      </c>
      <c r="I304" t="inlineStr">
        <is>
          <t>1天生产</t>
        </is>
      </c>
      <c r="J304" t="inlineStr">
        <is>
          <t>1天生产工况</t>
        </is>
      </c>
      <c r="K304" t="inlineStr">
        <is>
          <t>FIXED</t>
        </is>
      </c>
      <c r="Q304" t="inlineStr">
        <is>
          <t>可直接比较</t>
        </is>
      </c>
      <c r="R304" t="inlineStr">
        <is>
          <t>采用</t>
        </is>
      </c>
      <c r="S304" t="inlineStr">
        <is>
          <t>D-A2</t>
        </is>
      </c>
      <c r="T304" t="inlineStr">
        <is>
          <t>CIP清洗剂</t>
        </is>
      </c>
    </row>
    <row r="305">
      <c r="A305" t="inlineStr">
        <is>
          <t>CT-CLC-10C</t>
        </is>
      </c>
      <c r="B305" t="inlineStr">
        <is>
          <t>流</t>
        </is>
      </c>
      <c r="C305" t="inlineStr">
        <is>
          <t>FL-CLC-10C</t>
        </is>
      </c>
      <c r="D305" t="inlineStr">
        <is>
          <t>SRC-RAW</t>
        </is>
      </c>
      <c r="E305" t="inlineStr">
        <is>
          <t>PR10 Cleaning段</t>
        </is>
      </c>
      <c r="F305" t="inlineStr">
        <is>
          <t>NaOCl</t>
        </is>
      </c>
      <c r="G305" t="n">
        <v>0</v>
      </c>
      <c r="H305" t="inlineStr">
        <is>
          <t>kg/d</t>
        </is>
      </c>
      <c r="I305" t="inlineStr">
        <is>
          <t>1天生产</t>
        </is>
      </c>
      <c r="J305" t="inlineStr">
        <is>
          <t>1天生产工况</t>
        </is>
      </c>
      <c r="K305" t="inlineStr">
        <is>
          <t>FIXED</t>
        </is>
      </c>
      <c r="Q305" t="inlineStr">
        <is>
          <t>可直接比较</t>
        </is>
      </c>
      <c r="R305" t="inlineStr">
        <is>
          <t>采用</t>
        </is>
      </c>
      <c r="S305" t="inlineStr">
        <is>
          <t>D-A2</t>
        </is>
      </c>
      <c r="T305" t="inlineStr">
        <is>
          <t>CIP清洗剂</t>
        </is>
      </c>
    </row>
    <row r="306">
      <c r="A306" t="inlineStr">
        <is>
          <t>CT-CLCOD-10</t>
        </is>
      </c>
      <c r="B306" t="inlineStr">
        <is>
          <t>流</t>
        </is>
      </c>
      <c r="C306" t="inlineStr">
        <is>
          <t>FL-CLCOD-10</t>
        </is>
      </c>
      <c r="D306" t="inlineStr">
        <is>
          <t>SRC-RAW</t>
        </is>
      </c>
      <c r="E306" t="inlineStr">
        <is>
          <t>PR10 Cleaning段</t>
        </is>
      </c>
      <c r="F306" t="inlineStr">
        <is>
          <t>Waste</t>
        </is>
      </c>
      <c r="G306" t="n">
        <v>9.9</v>
      </c>
      <c r="H306" t="inlineStr">
        <is>
          <t>kg_COD/d</t>
        </is>
      </c>
      <c r="I306" t="inlineStr">
        <is>
          <t>1天生产</t>
        </is>
      </c>
      <c r="J306" t="inlineStr">
        <is>
          <t>1天生产工况</t>
        </is>
      </c>
      <c r="K306" t="inlineStr">
        <is>
          <t>FIXED</t>
        </is>
      </c>
      <c r="Q306" t="inlineStr">
        <is>
          <t>可直接比较</t>
        </is>
      </c>
      <c r="R306" t="inlineStr">
        <is>
          <t>采用</t>
        </is>
      </c>
      <c r="S306" t="inlineStr">
        <is>
          <t>D-A2</t>
        </is>
      </c>
      <c r="T306" t="inlineStr">
        <is>
          <t>清洗废水COD负荷</t>
        </is>
      </c>
    </row>
    <row r="307">
      <c r="A307" t="inlineStr">
        <is>
          <t>CT-CLDM-10</t>
        </is>
      </c>
      <c r="B307" t="inlineStr">
        <is>
          <t>流</t>
        </is>
      </c>
      <c r="C307" t="inlineStr">
        <is>
          <t>FL-CLDM-10</t>
        </is>
      </c>
      <c r="D307" t="inlineStr">
        <is>
          <t>SRC-RAW</t>
        </is>
      </c>
      <c r="E307" t="inlineStr">
        <is>
          <t>PR10 Cleaning段</t>
        </is>
      </c>
      <c r="F307" t="inlineStr">
        <is>
          <t>dry matter content of waste</t>
        </is>
      </c>
      <c r="G307" t="n">
        <v>11.583</v>
      </c>
      <c r="H307" t="inlineStr">
        <is>
          <t>kg/d</t>
        </is>
      </c>
      <c r="I307" t="inlineStr">
        <is>
          <t>1天生产</t>
        </is>
      </c>
      <c r="J307" t="inlineStr">
        <is>
          <t>1天生产工况</t>
        </is>
      </c>
      <c r="K307" t="inlineStr">
        <is>
          <t>FIXED</t>
        </is>
      </c>
      <c r="Q307" t="inlineStr">
        <is>
          <t>可直接比较</t>
        </is>
      </c>
      <c r="R307" t="inlineStr">
        <is>
          <t>采用</t>
        </is>
      </c>
      <c r="S307" t="inlineStr">
        <is>
          <t>D-A2</t>
        </is>
      </c>
      <c r="T307" t="inlineStr">
        <is>
          <t>清洗废水干物质</t>
        </is>
      </c>
    </row>
    <row r="308">
      <c r="A308" t="inlineStr">
        <is>
          <t>CT-CLE-11</t>
        </is>
      </c>
      <c r="B308" t="inlineStr">
        <is>
          <t>流</t>
        </is>
      </c>
      <c r="C308" t="inlineStr">
        <is>
          <t>FL-CLE-11</t>
        </is>
      </c>
      <c r="D308" t="inlineStr">
        <is>
          <t>SRC-RAW</t>
        </is>
      </c>
      <c r="E308" t="inlineStr">
        <is>
          <t>PR11 Cleaning段</t>
        </is>
      </c>
      <c r="F308" t="inlineStr">
        <is>
          <t>Cleaning electricity</t>
        </is>
      </c>
      <c r="G308" t="n">
        <v>200</v>
      </c>
      <c r="H308" t="inlineStr">
        <is>
          <t>kWh/d</t>
        </is>
      </c>
      <c r="I308" t="inlineStr">
        <is>
          <t>1天生产</t>
        </is>
      </c>
      <c r="J308" t="inlineStr">
        <is>
          <t>1天生产工况</t>
        </is>
      </c>
      <c r="K308" t="inlineStr">
        <is>
          <t>FIXED</t>
        </is>
      </c>
      <c r="Q308" t="inlineStr">
        <is>
          <t>可直接比较</t>
        </is>
      </c>
      <c r="R308" t="inlineStr">
        <is>
          <t>采用</t>
        </is>
      </c>
      <c r="S308" t="inlineStr">
        <is>
          <t>D-A2</t>
        </is>
      </c>
      <c r="T308" t="inlineStr">
        <is>
          <t>CIP清洗电耗</t>
        </is>
      </c>
    </row>
    <row r="309">
      <c r="A309" t="inlineStr">
        <is>
          <t>CT-CLH-11</t>
        </is>
      </c>
      <c r="B309" t="inlineStr">
        <is>
          <t>流</t>
        </is>
      </c>
      <c r="C309" t="inlineStr">
        <is>
          <t>FL-CLH-11</t>
        </is>
      </c>
      <c r="D309" t="inlineStr">
        <is>
          <t>SRC-RAW</t>
        </is>
      </c>
      <c r="E309" t="inlineStr">
        <is>
          <t>PR11 Cleaning段</t>
        </is>
      </c>
      <c r="F309" t="inlineStr">
        <is>
          <t>Cleaning heat</t>
        </is>
      </c>
      <c r="G309" t="n">
        <v>1375.2</v>
      </c>
      <c r="H309" t="inlineStr">
        <is>
          <t>MJ/d</t>
        </is>
      </c>
      <c r="I309" t="inlineStr">
        <is>
          <t>1天生产</t>
        </is>
      </c>
      <c r="J309" t="inlineStr">
        <is>
          <t>1天生产工况</t>
        </is>
      </c>
      <c r="K309" t="inlineStr">
        <is>
          <t>FIXED</t>
        </is>
      </c>
      <c r="Q309" t="inlineStr">
        <is>
          <t>可直接比较</t>
        </is>
      </c>
      <c r="R309" t="inlineStr">
        <is>
          <t>采用</t>
        </is>
      </c>
      <c r="S309" t="inlineStr">
        <is>
          <t>D-A2</t>
        </is>
      </c>
      <c r="T309" t="inlineStr">
        <is>
          <t>CIP清洗热耗</t>
        </is>
      </c>
    </row>
    <row r="310">
      <c r="A310" t="inlineStr">
        <is>
          <t>CT-CLW-11</t>
        </is>
      </c>
      <c r="B310" t="inlineStr">
        <is>
          <t>流</t>
        </is>
      </c>
      <c r="C310" t="inlineStr">
        <is>
          <t>FL-CLW-11</t>
        </is>
      </c>
      <c r="D310" t="inlineStr">
        <is>
          <t>SRC-RAW</t>
        </is>
      </c>
      <c r="E310" t="inlineStr">
        <is>
          <t>PR11 Cleaning段</t>
        </is>
      </c>
      <c r="F310" t="inlineStr">
        <is>
          <t>Cleaning tap water</t>
        </is>
      </c>
      <c r="G310" t="n">
        <v>24</v>
      </c>
      <c r="H310" t="inlineStr">
        <is>
          <t>m3/d</t>
        </is>
      </c>
      <c r="I310" t="inlineStr">
        <is>
          <t>1天生产</t>
        </is>
      </c>
      <c r="J310" t="inlineStr">
        <is>
          <t>1天生产工况</t>
        </is>
      </c>
      <c r="K310" t="inlineStr">
        <is>
          <t>FIXED</t>
        </is>
      </c>
      <c r="Q310" t="inlineStr">
        <is>
          <t>可直接比较</t>
        </is>
      </c>
      <c r="R310" t="inlineStr">
        <is>
          <t>采用</t>
        </is>
      </c>
      <c r="S310" t="inlineStr">
        <is>
          <t>D-A2</t>
        </is>
      </c>
      <c r="T310" t="inlineStr">
        <is>
          <t>CIP清洗水</t>
        </is>
      </c>
    </row>
    <row r="311">
      <c r="A311" t="inlineStr">
        <is>
          <t>CT-CLC-11A</t>
        </is>
      </c>
      <c r="B311" t="inlineStr">
        <is>
          <t>流</t>
        </is>
      </c>
      <c r="C311" t="inlineStr">
        <is>
          <t>FL-CLC-11A</t>
        </is>
      </c>
      <c r="D311" t="inlineStr">
        <is>
          <t>SRC-RAW</t>
        </is>
      </c>
      <c r="E311" t="inlineStr">
        <is>
          <t>PR11 Cleaning段</t>
        </is>
      </c>
      <c r="F311" t="inlineStr">
        <is>
          <t>NaOH</t>
        </is>
      </c>
      <c r="G311" t="n">
        <v>0</v>
      </c>
      <c r="H311" t="inlineStr">
        <is>
          <t>kg/d</t>
        </is>
      </c>
      <c r="I311" t="inlineStr">
        <is>
          <t>1天生产</t>
        </is>
      </c>
      <c r="J311" t="inlineStr">
        <is>
          <t>1天生产工况</t>
        </is>
      </c>
      <c r="K311" t="inlineStr">
        <is>
          <t>FIXED</t>
        </is>
      </c>
      <c r="Q311" t="inlineStr">
        <is>
          <t>可直接比较</t>
        </is>
      </c>
      <c r="R311" t="inlineStr">
        <is>
          <t>采用</t>
        </is>
      </c>
      <c r="S311" t="inlineStr">
        <is>
          <t>D-A2</t>
        </is>
      </c>
      <c r="T311" t="inlineStr">
        <is>
          <t>CIP清洗剂</t>
        </is>
      </c>
    </row>
    <row r="312">
      <c r="A312" t="inlineStr">
        <is>
          <t>CT-CLC-11B</t>
        </is>
      </c>
      <c r="B312" t="inlineStr">
        <is>
          <t>流</t>
        </is>
      </c>
      <c r="C312" t="inlineStr">
        <is>
          <t>FL-CLC-11B</t>
        </is>
      </c>
      <c r="D312" t="inlineStr">
        <is>
          <t>SRC-RAW</t>
        </is>
      </c>
      <c r="E312" t="inlineStr">
        <is>
          <t>PR11 Cleaning段</t>
        </is>
      </c>
      <c r="F312" t="inlineStr">
        <is>
          <t>HNO3</t>
        </is>
      </c>
      <c r="G312" t="n">
        <v>0</v>
      </c>
      <c r="H312" t="inlineStr">
        <is>
          <t>kg/d</t>
        </is>
      </c>
      <c r="I312" t="inlineStr">
        <is>
          <t>1天生产</t>
        </is>
      </c>
      <c r="J312" t="inlineStr">
        <is>
          <t>1天生产工况</t>
        </is>
      </c>
      <c r="K312" t="inlineStr">
        <is>
          <t>FIXED</t>
        </is>
      </c>
      <c r="Q312" t="inlineStr">
        <is>
          <t>可直接比较</t>
        </is>
      </c>
      <c r="R312" t="inlineStr">
        <is>
          <t>采用</t>
        </is>
      </c>
      <c r="S312" t="inlineStr">
        <is>
          <t>D-A2</t>
        </is>
      </c>
      <c r="T312" t="inlineStr">
        <is>
          <t>CIP清洗剂</t>
        </is>
      </c>
    </row>
    <row r="313">
      <c r="A313" t="inlineStr">
        <is>
          <t>CT-CLC-11C</t>
        </is>
      </c>
      <c r="B313" t="inlineStr">
        <is>
          <t>流</t>
        </is>
      </c>
      <c r="C313" t="inlineStr">
        <is>
          <t>FL-CLC-11C</t>
        </is>
      </c>
      <c r="D313" t="inlineStr">
        <is>
          <t>SRC-RAW</t>
        </is>
      </c>
      <c r="E313" t="inlineStr">
        <is>
          <t>PR11 Cleaning段</t>
        </is>
      </c>
      <c r="F313" t="inlineStr">
        <is>
          <t>NaOCl</t>
        </is>
      </c>
      <c r="G313" t="n">
        <v>0</v>
      </c>
      <c r="H313" t="inlineStr">
        <is>
          <t>kg/d</t>
        </is>
      </c>
      <c r="I313" t="inlineStr">
        <is>
          <t>1天生产</t>
        </is>
      </c>
      <c r="J313" t="inlineStr">
        <is>
          <t>1天生产工况</t>
        </is>
      </c>
      <c r="K313" t="inlineStr">
        <is>
          <t>FIXED</t>
        </is>
      </c>
      <c r="Q313" t="inlineStr">
        <is>
          <t>可直接比较</t>
        </is>
      </c>
      <c r="R313" t="inlineStr">
        <is>
          <t>采用</t>
        </is>
      </c>
      <c r="S313" t="inlineStr">
        <is>
          <t>D-A2</t>
        </is>
      </c>
      <c r="T313" t="inlineStr">
        <is>
          <t>CIP清洗剂</t>
        </is>
      </c>
    </row>
    <row r="314">
      <c r="A314" t="inlineStr">
        <is>
          <t>CT-CLC-11D</t>
        </is>
      </c>
      <c r="B314" t="inlineStr">
        <is>
          <t>流</t>
        </is>
      </c>
      <c r="C314" t="inlineStr">
        <is>
          <t>FL-CLC-11D</t>
        </is>
      </c>
      <c r="D314" t="inlineStr">
        <is>
          <t>SRC-RAW</t>
        </is>
      </c>
      <c r="E314" t="inlineStr">
        <is>
          <t>PR11 Cleaning段</t>
        </is>
      </c>
      <c r="F314" t="inlineStr">
        <is>
          <t>Phosphoc acid</t>
        </is>
      </c>
      <c r="G314" t="n">
        <v>0</v>
      </c>
      <c r="H314" t="inlineStr">
        <is>
          <t>kg/d</t>
        </is>
      </c>
      <c r="I314" t="inlineStr">
        <is>
          <t>1天生产</t>
        </is>
      </c>
      <c r="J314" t="inlineStr">
        <is>
          <t>1天生产工况</t>
        </is>
      </c>
      <c r="K314" t="inlineStr">
        <is>
          <t>FIXED</t>
        </is>
      </c>
      <c r="Q314" t="inlineStr">
        <is>
          <t>可直接比较</t>
        </is>
      </c>
      <c r="R314" t="inlineStr">
        <is>
          <t>采用</t>
        </is>
      </c>
      <c r="S314" t="inlineStr">
        <is>
          <t>D-A2</t>
        </is>
      </c>
      <c r="T314" t="inlineStr">
        <is>
          <t>CIP清洗剂</t>
        </is>
      </c>
    </row>
    <row r="315">
      <c r="A315" t="inlineStr">
        <is>
          <t>CT-CLC-11E</t>
        </is>
      </c>
      <c r="B315" t="inlineStr">
        <is>
          <t>流</t>
        </is>
      </c>
      <c r="C315" t="inlineStr">
        <is>
          <t>FL-CLC-11E</t>
        </is>
      </c>
      <c r="D315" t="inlineStr">
        <is>
          <t>SRC-RAW</t>
        </is>
      </c>
      <c r="E315" t="inlineStr">
        <is>
          <t>PR11 Cleaning段</t>
        </is>
      </c>
      <c r="F315" t="inlineStr">
        <is>
          <t>surfactant</t>
        </is>
      </c>
      <c r="G315" t="n">
        <v>3</v>
      </c>
      <c r="H315" t="inlineStr">
        <is>
          <t>kg/d</t>
        </is>
      </c>
      <c r="I315" t="inlineStr">
        <is>
          <t>1天生产</t>
        </is>
      </c>
      <c r="J315" t="inlineStr">
        <is>
          <t>1天生产工况</t>
        </is>
      </c>
      <c r="K315" t="inlineStr">
        <is>
          <t>FIXED</t>
        </is>
      </c>
      <c r="Q315" t="inlineStr">
        <is>
          <t>可直接比较</t>
        </is>
      </c>
      <c r="R315" t="inlineStr">
        <is>
          <t>采用</t>
        </is>
      </c>
      <c r="S315" t="inlineStr">
        <is>
          <t>D-A2</t>
        </is>
      </c>
      <c r="T315" t="inlineStr">
        <is>
          <t>CIP清洗剂</t>
        </is>
      </c>
    </row>
    <row r="316">
      <c r="A316" t="inlineStr">
        <is>
          <t>CT-CLC-11F</t>
        </is>
      </c>
      <c r="B316" t="inlineStr">
        <is>
          <t>流</t>
        </is>
      </c>
      <c r="C316" t="inlineStr">
        <is>
          <t>FL-CLC-11F</t>
        </is>
      </c>
      <c r="D316" t="inlineStr">
        <is>
          <t>SRC-RAW</t>
        </is>
      </c>
      <c r="E316" t="inlineStr">
        <is>
          <t>PR11 Cleaning段</t>
        </is>
      </c>
      <c r="F316" t="inlineStr">
        <is>
          <t>Other acid</t>
        </is>
      </c>
      <c r="G316" t="n">
        <v>5</v>
      </c>
      <c r="H316" t="inlineStr">
        <is>
          <t>kg/d</t>
        </is>
      </c>
      <c r="I316" t="inlineStr">
        <is>
          <t>1天生产</t>
        </is>
      </c>
      <c r="J316" t="inlineStr">
        <is>
          <t>1天生产工况</t>
        </is>
      </c>
      <c r="K316" t="inlineStr">
        <is>
          <t>FIXED</t>
        </is>
      </c>
      <c r="Q316" t="inlineStr">
        <is>
          <t>可直接比较</t>
        </is>
      </c>
      <c r="R316" t="inlineStr">
        <is>
          <t>采用</t>
        </is>
      </c>
      <c r="S316" t="inlineStr">
        <is>
          <t>D-A2</t>
        </is>
      </c>
      <c r="T316" t="inlineStr">
        <is>
          <t>CIP清洗剂</t>
        </is>
      </c>
    </row>
    <row r="317">
      <c r="A317" t="inlineStr">
        <is>
          <t>CT-CLCOD-11</t>
        </is>
      </c>
      <c r="B317" t="inlineStr">
        <is>
          <t>流</t>
        </is>
      </c>
      <c r="C317" t="inlineStr">
        <is>
          <t>FL-CLCOD-11</t>
        </is>
      </c>
      <c r="D317" t="inlineStr">
        <is>
          <t>SRC-RAW</t>
        </is>
      </c>
      <c r="E317" t="inlineStr">
        <is>
          <t>PR11 Cleaning段</t>
        </is>
      </c>
      <c r="F317" t="inlineStr">
        <is>
          <t>Waste</t>
        </is>
      </c>
      <c r="G317" t="n">
        <v>4</v>
      </c>
      <c r="H317" t="inlineStr">
        <is>
          <t>kg_COD/d</t>
        </is>
      </c>
      <c r="I317" t="inlineStr">
        <is>
          <t>1天生产</t>
        </is>
      </c>
      <c r="J317" t="inlineStr">
        <is>
          <t>1天生产工况</t>
        </is>
      </c>
      <c r="K317" t="inlineStr">
        <is>
          <t>FIXED</t>
        </is>
      </c>
      <c r="Q317" t="inlineStr">
        <is>
          <t>可直接比较</t>
        </is>
      </c>
      <c r="R317" t="inlineStr">
        <is>
          <t>采用</t>
        </is>
      </c>
      <c r="S317" t="inlineStr">
        <is>
          <t>D-A2</t>
        </is>
      </c>
      <c r="T317" t="inlineStr">
        <is>
          <t>清洗废水COD负荷</t>
        </is>
      </c>
    </row>
    <row r="318">
      <c r="A318" t="inlineStr">
        <is>
          <t>CT-CLDM-11</t>
        </is>
      </c>
      <c r="B318" t="inlineStr">
        <is>
          <t>流</t>
        </is>
      </c>
      <c r="C318" t="inlineStr">
        <is>
          <t>FL-CLDM-11</t>
        </is>
      </c>
      <c r="D318" t="inlineStr">
        <is>
          <t>SRC-RAW</t>
        </is>
      </c>
      <c r="E318" t="inlineStr">
        <is>
          <t>PR11 Cleaning段</t>
        </is>
      </c>
      <c r="F318" t="inlineStr">
        <is>
          <t>dry matter content of waste</t>
        </is>
      </c>
      <c r="G318" t="n">
        <v>4.68</v>
      </c>
      <c r="H318" t="inlineStr">
        <is>
          <t>kg/d</t>
        </is>
      </c>
      <c r="I318" t="inlineStr">
        <is>
          <t>1天生产</t>
        </is>
      </c>
      <c r="J318" t="inlineStr">
        <is>
          <t>1天生产工况</t>
        </is>
      </c>
      <c r="K318" t="inlineStr">
        <is>
          <t>FIXED</t>
        </is>
      </c>
      <c r="Q318" t="inlineStr">
        <is>
          <t>可直接比较</t>
        </is>
      </c>
      <c r="R318" t="inlineStr">
        <is>
          <t>采用</t>
        </is>
      </c>
      <c r="S318" t="inlineStr">
        <is>
          <t>D-A2</t>
        </is>
      </c>
      <c r="T318" t="inlineStr">
        <is>
          <t>清洗废水干物质</t>
        </is>
      </c>
    </row>
    <row r="319">
      <c r="A319" t="inlineStr">
        <is>
          <t>CT-CLE-12</t>
        </is>
      </c>
      <c r="B319" t="inlineStr">
        <is>
          <t>流</t>
        </is>
      </c>
      <c r="C319" t="inlineStr">
        <is>
          <t>FL-CLE-12</t>
        </is>
      </c>
      <c r="D319" t="inlineStr">
        <is>
          <t>SRC-RAW</t>
        </is>
      </c>
      <c r="E319" t="inlineStr">
        <is>
          <t>PR12 Cleaning段</t>
        </is>
      </c>
      <c r="F319" t="inlineStr">
        <is>
          <t>Cleaning electricity</t>
        </is>
      </c>
      <c r="G319" t="n">
        <v>19</v>
      </c>
      <c r="H319" t="inlineStr">
        <is>
          <t>kWh/d</t>
        </is>
      </c>
      <c r="I319" t="inlineStr">
        <is>
          <t>1天生产</t>
        </is>
      </c>
      <c r="J319" t="inlineStr">
        <is>
          <t>1天生产工况</t>
        </is>
      </c>
      <c r="K319" t="inlineStr">
        <is>
          <t>FIXED</t>
        </is>
      </c>
      <c r="Q319" t="inlineStr">
        <is>
          <t>可直接比较</t>
        </is>
      </c>
      <c r="R319" t="inlineStr">
        <is>
          <t>采用</t>
        </is>
      </c>
      <c r="S319" t="inlineStr">
        <is>
          <t>D-A2</t>
        </is>
      </c>
      <c r="T319" t="inlineStr">
        <is>
          <t>CIP清洗电耗</t>
        </is>
      </c>
    </row>
    <row r="320">
      <c r="A320" t="inlineStr">
        <is>
          <t>CT-CLH-12</t>
        </is>
      </c>
      <c r="B320" t="inlineStr">
        <is>
          <t>流</t>
        </is>
      </c>
      <c r="C320" t="inlineStr">
        <is>
          <t>FL-CLH-12</t>
        </is>
      </c>
      <c r="D320" t="inlineStr">
        <is>
          <t>SRC-RAW</t>
        </is>
      </c>
      <c r="E320" t="inlineStr">
        <is>
          <t>PR12 Cleaning段</t>
        </is>
      </c>
      <c r="F320" t="inlineStr">
        <is>
          <t>Cleaning heat</t>
        </is>
      </c>
      <c r="G320" t="n">
        <v>417.6</v>
      </c>
      <c r="H320" t="inlineStr">
        <is>
          <t>MJ/d</t>
        </is>
      </c>
      <c r="I320" t="inlineStr">
        <is>
          <t>1天生产</t>
        </is>
      </c>
      <c r="J320" t="inlineStr">
        <is>
          <t>1天生产工况</t>
        </is>
      </c>
      <c r="K320" t="inlineStr">
        <is>
          <t>FIXED</t>
        </is>
      </c>
      <c r="Q320" t="inlineStr">
        <is>
          <t>可直接比较</t>
        </is>
      </c>
      <c r="R320" t="inlineStr">
        <is>
          <t>采用</t>
        </is>
      </c>
      <c r="S320" t="inlineStr">
        <is>
          <t>D-A2</t>
        </is>
      </c>
      <c r="T320" t="inlineStr">
        <is>
          <t>CIP清洗热耗</t>
        </is>
      </c>
    </row>
    <row r="321">
      <c r="A321" t="inlineStr">
        <is>
          <t>CT-CLW-12</t>
        </is>
      </c>
      <c r="B321" t="inlineStr">
        <is>
          <t>流</t>
        </is>
      </c>
      <c r="C321" t="inlineStr">
        <is>
          <t>FL-CLW-12</t>
        </is>
      </c>
      <c r="D321" t="inlineStr">
        <is>
          <t>SRC-RAW</t>
        </is>
      </c>
      <c r="E321" t="inlineStr">
        <is>
          <t>PR12 Cleaning段</t>
        </is>
      </c>
      <c r="F321" t="inlineStr">
        <is>
          <t>Cleaning tap water</t>
        </is>
      </c>
      <c r="G321" t="n">
        <v>7.5</v>
      </c>
      <c r="H321" t="inlineStr">
        <is>
          <t>m3/d</t>
        </is>
      </c>
      <c r="I321" t="inlineStr">
        <is>
          <t>1天生产</t>
        </is>
      </c>
      <c r="J321" t="inlineStr">
        <is>
          <t>1天生产工况</t>
        </is>
      </c>
      <c r="K321" t="inlineStr">
        <is>
          <t>FIXED</t>
        </is>
      </c>
      <c r="Q321" t="inlineStr">
        <is>
          <t>可直接比较</t>
        </is>
      </c>
      <c r="R321" t="inlineStr">
        <is>
          <t>采用</t>
        </is>
      </c>
      <c r="S321" t="inlineStr">
        <is>
          <t>D-A2</t>
        </is>
      </c>
      <c r="T321" t="inlineStr">
        <is>
          <t>CIP清洗水</t>
        </is>
      </c>
    </row>
    <row r="322">
      <c r="A322" t="inlineStr">
        <is>
          <t>CT-CLC-12A</t>
        </is>
      </c>
      <c r="B322" t="inlineStr">
        <is>
          <t>流</t>
        </is>
      </c>
      <c r="C322" t="inlineStr">
        <is>
          <t>FL-CLC-12A</t>
        </is>
      </c>
      <c r="D322" t="inlineStr">
        <is>
          <t>SRC-RAW</t>
        </is>
      </c>
      <c r="E322" t="inlineStr">
        <is>
          <t>PR12 Cleaning段</t>
        </is>
      </c>
      <c r="F322" t="inlineStr">
        <is>
          <t>NaOH</t>
        </is>
      </c>
      <c r="G322" t="n">
        <v>44</v>
      </c>
      <c r="H322" t="inlineStr">
        <is>
          <t>kg/d</t>
        </is>
      </c>
      <c r="I322" t="inlineStr">
        <is>
          <t>1天生产</t>
        </is>
      </c>
      <c r="J322" t="inlineStr">
        <is>
          <t>1天生产工况</t>
        </is>
      </c>
      <c r="K322" t="inlineStr">
        <is>
          <t>FIXED</t>
        </is>
      </c>
      <c r="Q322" t="inlineStr">
        <is>
          <t>可直接比较</t>
        </is>
      </c>
      <c r="R322" t="inlineStr">
        <is>
          <t>采用</t>
        </is>
      </c>
      <c r="S322" t="inlineStr">
        <is>
          <t>D-A2</t>
        </is>
      </c>
      <c r="T322" t="inlineStr">
        <is>
          <t>CIP清洗剂</t>
        </is>
      </c>
    </row>
    <row r="323">
      <c r="A323" t="inlineStr">
        <is>
          <t>CT-CLC-12B</t>
        </is>
      </c>
      <c r="B323" t="inlineStr">
        <is>
          <t>流</t>
        </is>
      </c>
      <c r="C323" t="inlineStr">
        <is>
          <t>FL-CLC-12B</t>
        </is>
      </c>
      <c r="D323" t="inlineStr">
        <is>
          <t>SRC-RAW</t>
        </is>
      </c>
      <c r="E323" t="inlineStr">
        <is>
          <t>PR12 Cleaning段</t>
        </is>
      </c>
      <c r="F323" t="inlineStr">
        <is>
          <t>HNO3</t>
        </is>
      </c>
      <c r="G323" t="n">
        <v>10</v>
      </c>
      <c r="H323" t="inlineStr">
        <is>
          <t>kg/d</t>
        </is>
      </c>
      <c r="I323" t="inlineStr">
        <is>
          <t>1天生产</t>
        </is>
      </c>
      <c r="J323" t="inlineStr">
        <is>
          <t>1天生产工况</t>
        </is>
      </c>
      <c r="K323" t="inlineStr">
        <is>
          <t>FIXED</t>
        </is>
      </c>
      <c r="Q323" t="inlineStr">
        <is>
          <t>可直接比较</t>
        </is>
      </c>
      <c r="R323" t="inlineStr">
        <is>
          <t>采用</t>
        </is>
      </c>
      <c r="S323" t="inlineStr">
        <is>
          <t>D-A2</t>
        </is>
      </c>
      <c r="T323" t="inlineStr">
        <is>
          <t>CIP清洗剂</t>
        </is>
      </c>
    </row>
    <row r="324">
      <c r="A324" t="inlineStr">
        <is>
          <t>CT-CLC-12C</t>
        </is>
      </c>
      <c r="B324" t="inlineStr">
        <is>
          <t>流</t>
        </is>
      </c>
      <c r="C324" t="inlineStr">
        <is>
          <t>FL-CLC-12C</t>
        </is>
      </c>
      <c r="D324" t="inlineStr">
        <is>
          <t>SRC-RAW</t>
        </is>
      </c>
      <c r="E324" t="inlineStr">
        <is>
          <t>PR12 Cleaning段</t>
        </is>
      </c>
      <c r="F324" t="inlineStr">
        <is>
          <t>NaOCl</t>
        </is>
      </c>
      <c r="G324" t="n">
        <v>0</v>
      </c>
      <c r="H324" t="inlineStr">
        <is>
          <t>kg/d</t>
        </is>
      </c>
      <c r="I324" t="inlineStr">
        <is>
          <t>1天生产</t>
        </is>
      </c>
      <c r="J324" t="inlineStr">
        <is>
          <t>1天生产工况</t>
        </is>
      </c>
      <c r="K324" t="inlineStr">
        <is>
          <t>FIXED</t>
        </is>
      </c>
      <c r="Q324" t="inlineStr">
        <is>
          <t>可直接比较</t>
        </is>
      </c>
      <c r="R324" t="inlineStr">
        <is>
          <t>采用</t>
        </is>
      </c>
      <c r="S324" t="inlineStr">
        <is>
          <t>D-A2</t>
        </is>
      </c>
      <c r="T324" t="inlineStr">
        <is>
          <t>CIP清洗剂</t>
        </is>
      </c>
    </row>
    <row r="325">
      <c r="A325" t="inlineStr">
        <is>
          <t>CT-CLC-12D</t>
        </is>
      </c>
      <c r="B325" t="inlineStr">
        <is>
          <t>流</t>
        </is>
      </c>
      <c r="C325" t="inlineStr">
        <is>
          <t>FL-CLC-12D</t>
        </is>
      </c>
      <c r="D325" t="inlineStr">
        <is>
          <t>SRC-RAW</t>
        </is>
      </c>
      <c r="E325" t="inlineStr">
        <is>
          <t>PR12 Cleaning段</t>
        </is>
      </c>
      <c r="F325" t="inlineStr">
        <is>
          <t>Phosphoc acid</t>
        </is>
      </c>
      <c r="G325" t="n">
        <v>0</v>
      </c>
      <c r="H325" t="inlineStr">
        <is>
          <t>kg/d</t>
        </is>
      </c>
      <c r="I325" t="inlineStr">
        <is>
          <t>1天生产</t>
        </is>
      </c>
      <c r="J325" t="inlineStr">
        <is>
          <t>1天生产工况</t>
        </is>
      </c>
      <c r="K325" t="inlineStr">
        <is>
          <t>FIXED</t>
        </is>
      </c>
      <c r="Q325" t="inlineStr">
        <is>
          <t>可直接比较</t>
        </is>
      </c>
      <c r="R325" t="inlineStr">
        <is>
          <t>采用</t>
        </is>
      </c>
      <c r="S325" t="inlineStr">
        <is>
          <t>D-A2</t>
        </is>
      </c>
      <c r="T325" t="inlineStr">
        <is>
          <t>CIP清洗剂</t>
        </is>
      </c>
    </row>
    <row r="326">
      <c r="A326" t="inlineStr">
        <is>
          <t>CT-CLC-12E</t>
        </is>
      </c>
      <c r="B326" t="inlineStr">
        <is>
          <t>流</t>
        </is>
      </c>
      <c r="C326" t="inlineStr">
        <is>
          <t>FL-CLC-12E</t>
        </is>
      </c>
      <c r="D326" t="inlineStr">
        <is>
          <t>SRC-RAW</t>
        </is>
      </c>
      <c r="E326" t="inlineStr">
        <is>
          <t>PR12 Cleaning段</t>
        </is>
      </c>
      <c r="F326" t="inlineStr">
        <is>
          <t>surfactant</t>
        </is>
      </c>
      <c r="G326" t="n">
        <v>0</v>
      </c>
      <c r="H326" t="inlineStr">
        <is>
          <t>kg/d</t>
        </is>
      </c>
      <c r="I326" t="inlineStr">
        <is>
          <t>1天生产</t>
        </is>
      </c>
      <c r="J326" t="inlineStr">
        <is>
          <t>1天生产工况</t>
        </is>
      </c>
      <c r="K326" t="inlineStr">
        <is>
          <t>FIXED</t>
        </is>
      </c>
      <c r="Q326" t="inlineStr">
        <is>
          <t>可直接比较</t>
        </is>
      </c>
      <c r="R326" t="inlineStr">
        <is>
          <t>采用</t>
        </is>
      </c>
      <c r="S326" t="inlineStr">
        <is>
          <t>D-A2</t>
        </is>
      </c>
      <c r="T326" t="inlineStr">
        <is>
          <t>CIP清洗剂</t>
        </is>
      </c>
    </row>
    <row r="327">
      <c r="A327" t="inlineStr">
        <is>
          <t>CT-CLC-12F</t>
        </is>
      </c>
      <c r="B327" t="inlineStr">
        <is>
          <t>流</t>
        </is>
      </c>
      <c r="C327" t="inlineStr">
        <is>
          <t>FL-CLC-12F</t>
        </is>
      </c>
      <c r="D327" t="inlineStr">
        <is>
          <t>SRC-RAW</t>
        </is>
      </c>
      <c r="E327" t="inlineStr">
        <is>
          <t>PR12 Cleaning段</t>
        </is>
      </c>
      <c r="F327" t="inlineStr">
        <is>
          <t>Other acid</t>
        </is>
      </c>
      <c r="G327" t="n">
        <v>0</v>
      </c>
      <c r="H327" t="inlineStr">
        <is>
          <t>kg/d</t>
        </is>
      </c>
      <c r="I327" t="inlineStr">
        <is>
          <t>1天生产</t>
        </is>
      </c>
      <c r="J327" t="inlineStr">
        <is>
          <t>1天生产工况</t>
        </is>
      </c>
      <c r="K327" t="inlineStr">
        <is>
          <t>FIXED</t>
        </is>
      </c>
      <c r="Q327" t="inlineStr">
        <is>
          <t>可直接比较</t>
        </is>
      </c>
      <c r="R327" t="inlineStr">
        <is>
          <t>采用</t>
        </is>
      </c>
      <c r="S327" t="inlineStr">
        <is>
          <t>D-A2</t>
        </is>
      </c>
      <c r="T327" t="inlineStr">
        <is>
          <t>CIP清洗剂</t>
        </is>
      </c>
    </row>
    <row r="328">
      <c r="A328" t="inlineStr">
        <is>
          <t>CT-CLT-12</t>
        </is>
      </c>
      <c r="B328" t="inlineStr">
        <is>
          <t>流</t>
        </is>
      </c>
      <c r="C328" t="inlineStr">
        <is>
          <t>FL-CLT-12</t>
        </is>
      </c>
      <c r="D328" t="inlineStr">
        <is>
          <t>SRC-RAW</t>
        </is>
      </c>
      <c r="E328" t="inlineStr">
        <is>
          <t>PR12 Cleaning段</t>
        </is>
      </c>
      <c r="F328" t="inlineStr">
        <is>
          <t>Tanks and pipes (stainless steel)</t>
        </is>
      </c>
      <c r="G328" t="n">
        <v>0.803636363636364</v>
      </c>
      <c r="H328" t="inlineStr">
        <is>
          <t>kg/d</t>
        </is>
      </c>
      <c r="I328" t="inlineStr">
        <is>
          <t>1天生产</t>
        </is>
      </c>
      <c r="J328" t="inlineStr">
        <is>
          <t>1天生产工况</t>
        </is>
      </c>
      <c r="K328" t="inlineStr">
        <is>
          <t>FIXED</t>
        </is>
      </c>
      <c r="Q328" t="inlineStr">
        <is>
          <t>可直接比较</t>
        </is>
      </c>
      <c r="R328" t="inlineStr">
        <is>
          <t>采用</t>
        </is>
      </c>
      <c r="S328" t="inlineStr">
        <is>
          <t>D-A2</t>
        </is>
      </c>
      <c r="T328" t="inlineStr">
        <is>
          <t>清洗回路设备材料（按天摊销）</t>
        </is>
      </c>
    </row>
    <row r="329">
      <c r="A329" t="inlineStr">
        <is>
          <t>CT-CLCOD-12</t>
        </is>
      </c>
      <c r="B329" t="inlineStr">
        <is>
          <t>流</t>
        </is>
      </c>
      <c r="C329" t="inlineStr">
        <is>
          <t>FL-CLCOD-12</t>
        </is>
      </c>
      <c r="D329" t="inlineStr">
        <is>
          <t>SRC-RAW</t>
        </is>
      </c>
      <c r="E329" t="inlineStr">
        <is>
          <t>PR12 Cleaning段</t>
        </is>
      </c>
      <c r="F329" t="inlineStr">
        <is>
          <t>Waste</t>
        </is>
      </c>
      <c r="G329" t="n">
        <v>29</v>
      </c>
      <c r="H329" t="inlineStr">
        <is>
          <t>kg_COD/d</t>
        </is>
      </c>
      <c r="I329" t="inlineStr">
        <is>
          <t>1天生产</t>
        </is>
      </c>
      <c r="J329" t="inlineStr">
        <is>
          <t>1天生产工况</t>
        </is>
      </c>
      <c r="K329" t="inlineStr">
        <is>
          <t>FIXED</t>
        </is>
      </c>
      <c r="Q329" t="inlineStr">
        <is>
          <t>可直接比较</t>
        </is>
      </c>
      <c r="R329" t="inlineStr">
        <is>
          <t>采用</t>
        </is>
      </c>
      <c r="S329" t="inlineStr">
        <is>
          <t>D-A2</t>
        </is>
      </c>
      <c r="T329" t="inlineStr">
        <is>
          <t>清洗废水COD负荷</t>
        </is>
      </c>
    </row>
    <row r="330">
      <c r="A330" t="inlineStr">
        <is>
          <t>CT-CLDM-12</t>
        </is>
      </c>
      <c r="B330" t="inlineStr">
        <is>
          <t>流</t>
        </is>
      </c>
      <c r="C330" t="inlineStr">
        <is>
          <t>FL-CLDM-12</t>
        </is>
      </c>
      <c r="D330" t="inlineStr">
        <is>
          <t>SRC-RAW</t>
        </is>
      </c>
      <c r="E330" t="inlineStr">
        <is>
          <t>PR12 Cleaning段</t>
        </is>
      </c>
      <c r="F330" t="inlineStr">
        <is>
          <t>dry matter content of waste</t>
        </is>
      </c>
      <c r="G330" t="n">
        <v>33.93</v>
      </c>
      <c r="H330" t="inlineStr">
        <is>
          <t>kg/d</t>
        </is>
      </c>
      <c r="I330" t="inlineStr">
        <is>
          <t>1天生产</t>
        </is>
      </c>
      <c r="J330" t="inlineStr">
        <is>
          <t>1天生产工况</t>
        </is>
      </c>
      <c r="K330" t="inlineStr">
        <is>
          <t>FIXED</t>
        </is>
      </c>
      <c r="Q330" t="inlineStr">
        <is>
          <t>可直接比较</t>
        </is>
      </c>
      <c r="R330" t="inlineStr">
        <is>
          <t>采用</t>
        </is>
      </c>
      <c r="S330" t="inlineStr">
        <is>
          <t>D-A2</t>
        </is>
      </c>
      <c r="T330" t="inlineStr">
        <is>
          <t>清洗废水干物质</t>
        </is>
      </c>
    </row>
    <row r="331">
      <c r="A331" t="inlineStr">
        <is>
          <t>CT-MCH-01A</t>
        </is>
      </c>
      <c r="B331" t="inlineStr">
        <is>
          <t>流</t>
        </is>
      </c>
      <c r="C331" t="inlineStr">
        <is>
          <t>FL-MCH-01A</t>
        </is>
      </c>
      <c r="D331" t="inlineStr">
        <is>
          <t>SRC-RAW</t>
        </is>
      </c>
      <c r="E331" t="inlineStr">
        <is>
          <t>PR01 Machines段（Heat plate exchanger）</t>
        </is>
      </c>
      <c r="F331" t="inlineStr">
        <is>
          <t>Heat plate exchanger / Structure / Stainless steel</t>
        </is>
      </c>
      <c r="G331" t="n">
        <v>0.24</v>
      </c>
      <c r="H331" t="inlineStr">
        <is>
          <t>kg/d</t>
        </is>
      </c>
      <c r="I331" t="inlineStr">
        <is>
          <t>1天生产</t>
        </is>
      </c>
      <c r="J331" t="inlineStr">
        <is>
          <t>1天生产工况</t>
        </is>
      </c>
      <c r="K331" t="inlineStr">
        <is>
          <t>FIXED</t>
        </is>
      </c>
      <c r="Q331" t="inlineStr">
        <is>
          <t>可直接比较</t>
        </is>
      </c>
      <c r="R331" t="inlineStr">
        <is>
          <t>采用</t>
        </is>
      </c>
      <c r="S331" t="inlineStr">
        <is>
          <t>D-A2</t>
        </is>
      </c>
      <c r="T331" t="inlineStr">
        <is>
          <t>资本品（设备按天摊销材料量）；2009 and 2010 measurement campaign</t>
        </is>
      </c>
    </row>
    <row r="332">
      <c r="A332" t="inlineStr">
        <is>
          <t>CT-MCH-01B</t>
        </is>
      </c>
      <c r="B332" t="inlineStr">
        <is>
          <t>流</t>
        </is>
      </c>
      <c r="C332" t="inlineStr">
        <is>
          <t>FL-MCH-01B</t>
        </is>
      </c>
      <c r="D332" t="inlineStr">
        <is>
          <t>SRC-RAW</t>
        </is>
      </c>
      <c r="E332" t="inlineStr">
        <is>
          <t>PR01 Machines段（Heat plate exchanger）</t>
        </is>
      </c>
      <c r="F332" t="inlineStr">
        <is>
          <t>Heat plate exchanger / Pipes / Stainless steel</t>
        </is>
      </c>
      <c r="G332" t="n">
        <v>0.06</v>
      </c>
      <c r="H332" t="inlineStr">
        <is>
          <t>kg/d</t>
        </is>
      </c>
      <c r="I332" t="inlineStr">
        <is>
          <t>1天生产</t>
        </is>
      </c>
      <c r="J332" t="inlineStr">
        <is>
          <t>1天生产工况</t>
        </is>
      </c>
      <c r="K332" t="inlineStr">
        <is>
          <t>FIXED</t>
        </is>
      </c>
      <c r="Q332" t="inlineStr">
        <is>
          <t>可直接比较</t>
        </is>
      </c>
      <c r="R332" t="inlineStr">
        <is>
          <t>采用</t>
        </is>
      </c>
      <c r="S332" t="inlineStr">
        <is>
          <t>D-A2</t>
        </is>
      </c>
      <c r="T332" t="inlineStr">
        <is>
          <t>资本品（设备按天摊销材料量）；2009 and 2010 measurement campaign</t>
        </is>
      </c>
    </row>
    <row r="333">
      <c r="A333" t="inlineStr">
        <is>
          <t>CT-MCH-01C</t>
        </is>
      </c>
      <c r="B333" t="inlineStr">
        <is>
          <t>流</t>
        </is>
      </c>
      <c r="C333" t="inlineStr">
        <is>
          <t>FL-MCH-01C</t>
        </is>
      </c>
      <c r="D333" t="inlineStr">
        <is>
          <t>SRC-RAW</t>
        </is>
      </c>
      <c r="E333" t="inlineStr">
        <is>
          <t>PR01 Machines段（Heat plate exchanger）</t>
        </is>
      </c>
      <c r="F333" t="inlineStr">
        <is>
          <t>Heat plate exchanger / Rings / synthetic rubber</t>
        </is>
      </c>
      <c r="G333" t="n">
        <v>0.07000000000000001</v>
      </c>
      <c r="H333" t="inlineStr">
        <is>
          <t>kg/d</t>
        </is>
      </c>
      <c r="I333" t="inlineStr">
        <is>
          <t>1天生产</t>
        </is>
      </c>
      <c r="J333" t="inlineStr">
        <is>
          <t>1天生产工况</t>
        </is>
      </c>
      <c r="K333" t="inlineStr">
        <is>
          <t>FIXED</t>
        </is>
      </c>
      <c r="Q333" t="inlineStr">
        <is>
          <t>可直接比较</t>
        </is>
      </c>
      <c r="R333" t="inlineStr">
        <is>
          <t>采用</t>
        </is>
      </c>
      <c r="S333" t="inlineStr">
        <is>
          <t>D-A2</t>
        </is>
      </c>
      <c r="T333" t="inlineStr">
        <is>
          <t>资本品（设备按天摊销材料量）；2009 and 2010 measurement campaign</t>
        </is>
      </c>
    </row>
    <row r="334">
      <c r="A334" t="inlineStr">
        <is>
          <t>CT-MCH-01D</t>
        </is>
      </c>
      <c r="B334" t="inlineStr">
        <is>
          <t>流</t>
        </is>
      </c>
      <c r="C334" t="inlineStr">
        <is>
          <t>FL-MCH-01D</t>
        </is>
      </c>
      <c r="D334" t="inlineStr">
        <is>
          <t>SRC-RAW</t>
        </is>
      </c>
      <c r="E334" t="inlineStr">
        <is>
          <t>PR01 Machines段（Tanks）</t>
        </is>
      </c>
      <c r="F334" t="inlineStr">
        <is>
          <t>Tanks / Tanks / Stainless steel</t>
        </is>
      </c>
      <c r="G334" t="n">
        <v>3.5</v>
      </c>
      <c r="H334" t="inlineStr">
        <is>
          <t>kg/d</t>
        </is>
      </c>
      <c r="I334" t="inlineStr">
        <is>
          <t>1天生产</t>
        </is>
      </c>
      <c r="J334" t="inlineStr">
        <is>
          <t>1天生产工况</t>
        </is>
      </c>
      <c r="K334" t="inlineStr">
        <is>
          <t>FIXED</t>
        </is>
      </c>
      <c r="Q334" t="inlineStr">
        <is>
          <t>可直接比较</t>
        </is>
      </c>
      <c r="R334" t="inlineStr">
        <is>
          <t>采用</t>
        </is>
      </c>
      <c r="S334" t="inlineStr">
        <is>
          <t>D-A2</t>
        </is>
      </c>
      <c r="T334" t="inlineStr">
        <is>
          <t>资本品（设备按天摊销材料量）；2009 and 2010 measurement campaign</t>
        </is>
      </c>
    </row>
    <row r="335">
      <c r="A335" t="inlineStr">
        <is>
          <t>CT-MCH-01E</t>
        </is>
      </c>
      <c r="B335" t="inlineStr">
        <is>
          <t>流</t>
        </is>
      </c>
      <c r="C335" t="inlineStr">
        <is>
          <t>FL-MCH-01E</t>
        </is>
      </c>
      <c r="D335" t="inlineStr">
        <is>
          <t>SRC-RAW</t>
        </is>
      </c>
      <c r="E335" t="inlineStr">
        <is>
          <t>PR01 Machines段（Tanks）</t>
        </is>
      </c>
      <c r="F335" t="inlineStr">
        <is>
          <t>Tanks / Pipes / Stainless steel</t>
        </is>
      </c>
      <c r="G335" t="n">
        <v>0.87</v>
      </c>
      <c r="H335" t="inlineStr">
        <is>
          <t>kg/d</t>
        </is>
      </c>
      <c r="I335" t="inlineStr">
        <is>
          <t>1天生产</t>
        </is>
      </c>
      <c r="J335" t="inlineStr">
        <is>
          <t>1天生产工况</t>
        </is>
      </c>
      <c r="K335" t="inlineStr">
        <is>
          <t>FIXED</t>
        </is>
      </c>
      <c r="Q335" t="inlineStr">
        <is>
          <t>可直接比较</t>
        </is>
      </c>
      <c r="R335" t="inlineStr">
        <is>
          <t>采用</t>
        </is>
      </c>
      <c r="S335" t="inlineStr">
        <is>
          <t>D-A2</t>
        </is>
      </c>
      <c r="T335" t="inlineStr">
        <is>
          <t>资本品（设备按天摊销材料量）；2009 and 2010 measurement campaign</t>
        </is>
      </c>
    </row>
    <row r="336">
      <c r="A336" t="inlineStr">
        <is>
          <t>CT-MCH-01F</t>
        </is>
      </c>
      <c r="B336" t="inlineStr">
        <is>
          <t>流</t>
        </is>
      </c>
      <c r="C336" t="inlineStr">
        <is>
          <t>FL-MCH-01F</t>
        </is>
      </c>
      <c r="D336" t="inlineStr">
        <is>
          <t>SRC-RAW</t>
        </is>
      </c>
      <c r="E336" t="inlineStr">
        <is>
          <t>PR01 Machines段（Pumps）</t>
        </is>
      </c>
      <c r="F336" t="inlineStr">
        <is>
          <t>Pumps / Engine / Copper</t>
        </is>
      </c>
      <c r="G336" t="n">
        <v>0.00412</v>
      </c>
      <c r="H336" t="inlineStr">
        <is>
          <t>kg/d</t>
        </is>
      </c>
      <c r="I336" t="inlineStr">
        <is>
          <t>1天生产</t>
        </is>
      </c>
      <c r="J336" t="inlineStr">
        <is>
          <t>1天生产工况</t>
        </is>
      </c>
      <c r="K336" t="inlineStr">
        <is>
          <t>FIXED</t>
        </is>
      </c>
      <c r="Q336" t="inlineStr">
        <is>
          <t>可直接比较</t>
        </is>
      </c>
      <c r="R336" t="inlineStr">
        <is>
          <t>采用</t>
        </is>
      </c>
      <c r="S336" t="inlineStr">
        <is>
          <t>D-A2</t>
        </is>
      </c>
      <c r="T336" t="inlineStr">
        <is>
          <t>资本品（设备按天摊销材料量）；Other metals are neglected</t>
        </is>
      </c>
    </row>
    <row r="337">
      <c r="A337" t="inlineStr">
        <is>
          <t>CT-MCH-01G</t>
        </is>
      </c>
      <c r="B337" t="inlineStr">
        <is>
          <t>流</t>
        </is>
      </c>
      <c r="C337" t="inlineStr">
        <is>
          <t>FL-MCH-01G</t>
        </is>
      </c>
      <c r="D337" t="inlineStr">
        <is>
          <t>SRC-RAW</t>
        </is>
      </c>
      <c r="E337" t="inlineStr">
        <is>
          <t>PR01 Machines段（Pumps）</t>
        </is>
      </c>
      <c r="F337" t="inlineStr">
        <is>
          <t>Pumps / Aluminium</t>
        </is>
      </c>
      <c r="G337" t="n">
        <v>0.008</v>
      </c>
      <c r="H337" t="inlineStr">
        <is>
          <t>kg/d</t>
        </is>
      </c>
      <c r="I337" t="inlineStr">
        <is>
          <t>1天生产</t>
        </is>
      </c>
      <c r="J337" t="inlineStr">
        <is>
          <t>1天生产工况</t>
        </is>
      </c>
      <c r="K337" t="inlineStr">
        <is>
          <t>FIXED</t>
        </is>
      </c>
      <c r="Q337" t="inlineStr">
        <is>
          <t>可直接比较</t>
        </is>
      </c>
      <c r="R337" t="inlineStr">
        <is>
          <t>采用</t>
        </is>
      </c>
      <c r="S337" t="inlineStr">
        <is>
          <t>D-A2</t>
        </is>
      </c>
      <c r="T337" t="inlineStr">
        <is>
          <t>资本品（设备按天摊销材料量）；Gésan-Guiziou et al. (2019)</t>
        </is>
      </c>
    </row>
    <row r="338">
      <c r="A338" t="inlineStr">
        <is>
          <t>CT-MCH-02A</t>
        </is>
      </c>
      <c r="B338" t="inlineStr">
        <is>
          <t>流</t>
        </is>
      </c>
      <c r="C338" t="inlineStr">
        <is>
          <t>FL-MCH-02A</t>
        </is>
      </c>
      <c r="D338" t="inlineStr">
        <is>
          <t>SRC-RAW</t>
        </is>
      </c>
      <c r="E338" t="inlineStr">
        <is>
          <t>PR02 Machines段（Cream separator）</t>
        </is>
      </c>
      <c r="F338" t="inlineStr">
        <is>
          <t>Cream separator / separator / stainless steel</t>
        </is>
      </c>
      <c r="G338" t="n">
        <v>0.31</v>
      </c>
      <c r="H338" t="inlineStr">
        <is>
          <t>kg/d</t>
        </is>
      </c>
      <c r="I338" t="inlineStr">
        <is>
          <t>1天生产</t>
        </is>
      </c>
      <c r="J338" t="inlineStr">
        <is>
          <t>1天生产工况</t>
        </is>
      </c>
      <c r="K338" t="inlineStr">
        <is>
          <t>FIXED</t>
        </is>
      </c>
      <c r="Q338" t="inlineStr">
        <is>
          <t>可直接比较</t>
        </is>
      </c>
      <c r="R338" t="inlineStr">
        <is>
          <t>采用</t>
        </is>
      </c>
      <c r="S338" t="inlineStr">
        <is>
          <t>D-A2</t>
        </is>
      </c>
      <c r="T338" t="inlineStr">
        <is>
          <t>资本品（设备按天摊销材料量）；2009 and 2010 measurement campaign</t>
        </is>
      </c>
    </row>
    <row r="339">
      <c r="A339" t="inlineStr">
        <is>
          <t>CT-MCH-02B</t>
        </is>
      </c>
      <c r="B339" t="inlineStr">
        <is>
          <t>流</t>
        </is>
      </c>
      <c r="C339" t="inlineStr">
        <is>
          <t>FL-MCH-02B</t>
        </is>
      </c>
      <c r="D339" t="inlineStr">
        <is>
          <t>SRC-RAW</t>
        </is>
      </c>
      <c r="E339" t="inlineStr">
        <is>
          <t>PR02 Machines段（Cream separator）</t>
        </is>
      </c>
      <c r="F339" t="inlineStr">
        <is>
          <t>Cream separator / bowl / stainless steel</t>
        </is>
      </c>
      <c r="G339" t="n">
        <v>0.15</v>
      </c>
      <c r="H339" t="inlineStr">
        <is>
          <t>kg/d</t>
        </is>
      </c>
      <c r="I339" t="inlineStr">
        <is>
          <t>1天生产</t>
        </is>
      </c>
      <c r="J339" t="inlineStr">
        <is>
          <t>1天生产工况</t>
        </is>
      </c>
      <c r="K339" t="inlineStr">
        <is>
          <t>FIXED</t>
        </is>
      </c>
      <c r="Q339" t="inlineStr">
        <is>
          <t>可直接比较</t>
        </is>
      </c>
      <c r="R339" t="inlineStr">
        <is>
          <t>采用</t>
        </is>
      </c>
      <c r="S339" t="inlineStr">
        <is>
          <t>D-A2</t>
        </is>
      </c>
      <c r="T339" t="inlineStr">
        <is>
          <t>资本品（设备按天摊销材料量）；2009 and 2010 measurement campaign</t>
        </is>
      </c>
    </row>
    <row r="340">
      <c r="A340" t="inlineStr">
        <is>
          <t>CT-MCH-02C</t>
        </is>
      </c>
      <c r="B340" t="inlineStr">
        <is>
          <t>流</t>
        </is>
      </c>
      <c r="C340" t="inlineStr">
        <is>
          <t>FL-MCH-02C</t>
        </is>
      </c>
      <c r="D340" t="inlineStr">
        <is>
          <t>SRC-RAW</t>
        </is>
      </c>
      <c r="E340" t="inlineStr">
        <is>
          <t>PR02 Machines段（Cream separator）</t>
        </is>
      </c>
      <c r="F340" t="inlineStr">
        <is>
          <t>Cream separator / pipes / stainless steel</t>
        </is>
      </c>
      <c r="G340" t="n">
        <v>0.14</v>
      </c>
      <c r="H340" t="inlineStr">
        <is>
          <t>kg/d</t>
        </is>
      </c>
      <c r="I340" t="inlineStr">
        <is>
          <t>1天生产</t>
        </is>
      </c>
      <c r="J340" t="inlineStr">
        <is>
          <t>1天生产工况</t>
        </is>
      </c>
      <c r="K340" t="inlineStr">
        <is>
          <t>FIXED</t>
        </is>
      </c>
      <c r="Q340" t="inlineStr">
        <is>
          <t>可直接比较</t>
        </is>
      </c>
      <c r="R340" t="inlineStr">
        <is>
          <t>采用</t>
        </is>
      </c>
      <c r="S340" t="inlineStr">
        <is>
          <t>D-A2</t>
        </is>
      </c>
      <c r="T340" t="inlineStr">
        <is>
          <t>资本品（设备按天摊销材料量）；2009 and 2010 measurement campaign</t>
        </is>
      </c>
    </row>
    <row r="341">
      <c r="A341" t="inlineStr">
        <is>
          <t>CT-MCH-02D</t>
        </is>
      </c>
      <c r="B341" t="inlineStr">
        <is>
          <t>流</t>
        </is>
      </c>
      <c r="C341" t="inlineStr">
        <is>
          <t>FL-MCH-02D</t>
        </is>
      </c>
      <c r="D341" t="inlineStr">
        <is>
          <t>SRC-RAW</t>
        </is>
      </c>
      <c r="E341" t="inlineStr">
        <is>
          <t>PR02 Machines段（Cream separator）</t>
        </is>
      </c>
      <c r="F341" t="inlineStr">
        <is>
          <t>Cream separator / engine / cast iron</t>
        </is>
      </c>
      <c r="G341" t="n">
        <v>0.12</v>
      </c>
      <c r="H341" t="inlineStr">
        <is>
          <t>kg/d</t>
        </is>
      </c>
      <c r="I341" t="inlineStr">
        <is>
          <t>1天生产</t>
        </is>
      </c>
      <c r="J341" t="inlineStr">
        <is>
          <t>1天生产工况</t>
        </is>
      </c>
      <c r="K341" t="inlineStr">
        <is>
          <t>FIXED</t>
        </is>
      </c>
      <c r="Q341" t="inlineStr">
        <is>
          <t>可直接比较</t>
        </is>
      </c>
      <c r="R341" t="inlineStr">
        <is>
          <t>采用</t>
        </is>
      </c>
      <c r="S341" t="inlineStr">
        <is>
          <t>D-A2</t>
        </is>
      </c>
      <c r="T341" t="inlineStr">
        <is>
          <t>资本品（设备按天摊销材料量）；2009 and 2010 measurement campaign</t>
        </is>
      </c>
    </row>
    <row r="342">
      <c r="A342" t="inlineStr">
        <is>
          <t>CT-MCH-02E</t>
        </is>
      </c>
      <c r="B342" t="inlineStr">
        <is>
          <t>流</t>
        </is>
      </c>
      <c r="C342" t="inlineStr">
        <is>
          <t>FL-MCH-02E</t>
        </is>
      </c>
      <c r="D342" t="inlineStr">
        <is>
          <t>SRC-RAW</t>
        </is>
      </c>
      <c r="E342" t="inlineStr">
        <is>
          <t>PR02 Machines段（Pump）</t>
        </is>
      </c>
      <c r="F342" t="inlineStr">
        <is>
          <t>Pump / engine / copper</t>
        </is>
      </c>
      <c r="G342" t="n">
        <v>0.0017</v>
      </c>
      <c r="H342" t="inlineStr">
        <is>
          <t>kg/d</t>
        </is>
      </c>
      <c r="I342" t="inlineStr">
        <is>
          <t>1天生产</t>
        </is>
      </c>
      <c r="J342" t="inlineStr">
        <is>
          <t>1天生产工况</t>
        </is>
      </c>
      <c r="K342" t="inlineStr">
        <is>
          <t>FIXED</t>
        </is>
      </c>
      <c r="Q342" t="inlineStr">
        <is>
          <t>可直接比较</t>
        </is>
      </c>
      <c r="R342" t="inlineStr">
        <is>
          <t>采用</t>
        </is>
      </c>
      <c r="S342" t="inlineStr">
        <is>
          <t>D-A2</t>
        </is>
      </c>
      <c r="T342" t="inlineStr">
        <is>
          <t>资本品（设备按天摊销材料量）；Gésan-Guiziou et al. (2019)</t>
        </is>
      </c>
    </row>
    <row r="343">
      <c r="A343" t="inlineStr">
        <is>
          <t>CT-MCH-02F</t>
        </is>
      </c>
      <c r="B343" t="inlineStr">
        <is>
          <t>流</t>
        </is>
      </c>
      <c r="C343" t="inlineStr">
        <is>
          <t>FL-MCH-02F</t>
        </is>
      </c>
      <c r="D343" t="inlineStr">
        <is>
          <t>SRC-RAW</t>
        </is>
      </c>
      <c r="E343" t="inlineStr">
        <is>
          <t>PR02 Machines段（Pump）</t>
        </is>
      </c>
      <c r="F343" t="inlineStr">
        <is>
          <t>Pump / aluminium</t>
        </is>
      </c>
      <c r="G343" t="n">
        <v>0.00329</v>
      </c>
      <c r="H343" t="inlineStr">
        <is>
          <t>kg/d</t>
        </is>
      </c>
      <c r="I343" t="inlineStr">
        <is>
          <t>1天生产</t>
        </is>
      </c>
      <c r="J343" t="inlineStr">
        <is>
          <t>1天生产工况</t>
        </is>
      </c>
      <c r="K343" t="inlineStr">
        <is>
          <t>FIXED</t>
        </is>
      </c>
      <c r="Q343" t="inlineStr">
        <is>
          <t>可直接比较</t>
        </is>
      </c>
      <c r="R343" t="inlineStr">
        <is>
          <t>采用</t>
        </is>
      </c>
      <c r="S343" t="inlineStr">
        <is>
          <t>D-A2</t>
        </is>
      </c>
      <c r="T343" t="inlineStr">
        <is>
          <t>资本品（设备按天摊销材料量）；Gésan-Guiziou et al. (2019)</t>
        </is>
      </c>
    </row>
    <row r="344">
      <c r="A344" t="inlineStr">
        <is>
          <t>CT-MCH-03A</t>
        </is>
      </c>
      <c r="B344" t="inlineStr">
        <is>
          <t>流</t>
        </is>
      </c>
      <c r="C344" t="inlineStr">
        <is>
          <t>FL-MCH-03A</t>
        </is>
      </c>
      <c r="D344" t="inlineStr">
        <is>
          <t>SRC-RAW</t>
        </is>
      </c>
      <c r="E344" t="inlineStr">
        <is>
          <t>PR03 Machines段（Plate heat exchanger）</t>
        </is>
      </c>
      <c r="F344" t="inlineStr">
        <is>
          <t>Plate heat exchanger / Structure / Stainless steel</t>
        </is>
      </c>
      <c r="G344" t="n">
        <v>0.04</v>
      </c>
      <c r="H344" t="inlineStr">
        <is>
          <t>kg/d</t>
        </is>
      </c>
      <c r="I344" t="inlineStr">
        <is>
          <t>1天生产</t>
        </is>
      </c>
      <c r="J344" t="inlineStr">
        <is>
          <t>1天生产工况</t>
        </is>
      </c>
      <c r="K344" t="inlineStr">
        <is>
          <t>FIXED</t>
        </is>
      </c>
      <c r="Q344" t="inlineStr">
        <is>
          <t>可直接比较</t>
        </is>
      </c>
      <c r="R344" t="inlineStr">
        <is>
          <t>采用</t>
        </is>
      </c>
      <c r="S344" t="inlineStr">
        <is>
          <t>D-A2</t>
        </is>
      </c>
      <c r="T344" t="inlineStr">
        <is>
          <t>资本品（设备按天摊销材料量）；2009 and 2010 measurement campaign (Gesan-Guiziou, personnal</t>
        </is>
      </c>
    </row>
    <row r="345">
      <c r="A345" t="inlineStr">
        <is>
          <t>CT-MCH-03B</t>
        </is>
      </c>
      <c r="B345" t="inlineStr">
        <is>
          <t>流</t>
        </is>
      </c>
      <c r="C345" t="inlineStr">
        <is>
          <t>FL-MCH-03B</t>
        </is>
      </c>
      <c r="D345" t="inlineStr">
        <is>
          <t>SRC-RAW</t>
        </is>
      </c>
      <c r="E345" t="inlineStr">
        <is>
          <t>PR03 Machines段（Plate heat exchanger）</t>
        </is>
      </c>
      <c r="F345" t="inlineStr">
        <is>
          <t>Plate heat exchanger / Pipes / Stainless steel</t>
        </is>
      </c>
      <c r="G345" t="n">
        <v>0.01</v>
      </c>
      <c r="H345" t="inlineStr">
        <is>
          <t>kg/d</t>
        </is>
      </c>
      <c r="I345" t="inlineStr">
        <is>
          <t>1天生产</t>
        </is>
      </c>
      <c r="J345" t="inlineStr">
        <is>
          <t>1天生产工况</t>
        </is>
      </c>
      <c r="K345" t="inlineStr">
        <is>
          <t>FIXED</t>
        </is>
      </c>
      <c r="Q345" t="inlineStr">
        <is>
          <t>可直接比较</t>
        </is>
      </c>
      <c r="R345" t="inlineStr">
        <is>
          <t>采用</t>
        </is>
      </c>
      <c r="S345" t="inlineStr">
        <is>
          <t>D-A2</t>
        </is>
      </c>
      <c r="T345" t="inlineStr">
        <is>
          <t>资本品（设备按天摊销材料量）；2009 and 2010 measurement campaign (Gesan-Guiziou, personnal</t>
        </is>
      </c>
    </row>
    <row r="346">
      <c r="A346" t="inlineStr">
        <is>
          <t>CT-MCH-03C</t>
        </is>
      </c>
      <c r="B346" t="inlineStr">
        <is>
          <t>流</t>
        </is>
      </c>
      <c r="C346" t="inlineStr">
        <is>
          <t>FL-MCH-03C</t>
        </is>
      </c>
      <c r="D346" t="inlineStr">
        <is>
          <t>SRC-RAW</t>
        </is>
      </c>
      <c r="E346" t="inlineStr">
        <is>
          <t>PR03 Machines段（Plate heat exchanger）</t>
        </is>
      </c>
      <c r="F346" t="inlineStr">
        <is>
          <t>Plate heat exchanger / Rings / synthetic rubber</t>
        </is>
      </c>
      <c r="G346" t="n">
        <v>0.01</v>
      </c>
      <c r="H346" t="inlineStr">
        <is>
          <t>kg/d</t>
        </is>
      </c>
      <c r="I346" t="inlineStr">
        <is>
          <t>1天生产</t>
        </is>
      </c>
      <c r="J346" t="inlineStr">
        <is>
          <t>1天生产工况</t>
        </is>
      </c>
      <c r="K346" t="inlineStr">
        <is>
          <t>FIXED</t>
        </is>
      </c>
      <c r="Q346" t="inlineStr">
        <is>
          <t>可直接比较</t>
        </is>
      </c>
      <c r="R346" t="inlineStr">
        <is>
          <t>采用</t>
        </is>
      </c>
      <c r="S346" t="inlineStr">
        <is>
          <t>D-A2</t>
        </is>
      </c>
      <c r="T346" t="inlineStr">
        <is>
          <t>资本品（设备按天摊销材料量）；2009 and 2010 measurement campaign (Gesan-Guiziou, personnal</t>
        </is>
      </c>
    </row>
    <row r="347">
      <c r="A347" t="inlineStr">
        <is>
          <t>CT-MCH-03D</t>
        </is>
      </c>
      <c r="B347" t="inlineStr">
        <is>
          <t>流</t>
        </is>
      </c>
      <c r="C347" t="inlineStr">
        <is>
          <t>FL-MCH-03D</t>
        </is>
      </c>
      <c r="D347" t="inlineStr">
        <is>
          <t>SRC-RAW</t>
        </is>
      </c>
      <c r="E347" t="inlineStr">
        <is>
          <t>PR03 Machines段（Tanks）</t>
        </is>
      </c>
      <c r="F347" t="inlineStr">
        <is>
          <t>Tanks / Tanks / Stainless steel</t>
        </is>
      </c>
      <c r="G347" t="n">
        <v>0.7</v>
      </c>
      <c r="H347" t="inlineStr">
        <is>
          <t>kg/d</t>
        </is>
      </c>
      <c r="I347" t="inlineStr">
        <is>
          <t>1天生产</t>
        </is>
      </c>
      <c r="J347" t="inlineStr">
        <is>
          <t>1天生产工况</t>
        </is>
      </c>
      <c r="K347" t="inlineStr">
        <is>
          <t>FIXED</t>
        </is>
      </c>
      <c r="Q347" t="inlineStr">
        <is>
          <t>可直接比较</t>
        </is>
      </c>
      <c r="R347" t="inlineStr">
        <is>
          <t>采用</t>
        </is>
      </c>
      <c r="S347" t="inlineStr">
        <is>
          <t>D-A2</t>
        </is>
      </c>
      <c r="T347" t="inlineStr">
        <is>
          <t>资本品（设备按天摊销材料量）；2009 and 2010 measurement campaign (Gesan-Guiziou, personnal</t>
        </is>
      </c>
    </row>
    <row r="348">
      <c r="A348" t="inlineStr">
        <is>
          <t>CT-MCH-03E</t>
        </is>
      </c>
      <c r="B348" t="inlineStr">
        <is>
          <t>流</t>
        </is>
      </c>
      <c r="C348" t="inlineStr">
        <is>
          <t>FL-MCH-03E</t>
        </is>
      </c>
      <c r="D348" t="inlineStr">
        <is>
          <t>SRC-RAW</t>
        </is>
      </c>
      <c r="E348" t="inlineStr">
        <is>
          <t>PR03 Machines段（Tanks）</t>
        </is>
      </c>
      <c r="F348" t="inlineStr">
        <is>
          <t>Tanks / Pipes / Stainless steel</t>
        </is>
      </c>
      <c r="G348" t="n">
        <v>0.17</v>
      </c>
      <c r="H348" t="inlineStr">
        <is>
          <t>kg/d</t>
        </is>
      </c>
      <c r="I348" t="inlineStr">
        <is>
          <t>1天生产</t>
        </is>
      </c>
      <c r="J348" t="inlineStr">
        <is>
          <t>1天生产工况</t>
        </is>
      </c>
      <c r="K348" t="inlineStr">
        <is>
          <t>FIXED</t>
        </is>
      </c>
      <c r="Q348" t="inlineStr">
        <is>
          <t>可直接比较</t>
        </is>
      </c>
      <c r="R348" t="inlineStr">
        <is>
          <t>采用</t>
        </is>
      </c>
      <c r="S348" t="inlineStr">
        <is>
          <t>D-A2</t>
        </is>
      </c>
      <c r="T348" t="inlineStr">
        <is>
          <t>资本品（设备按天摊销材料量）；2009 and 2010 measurement campaign (Gesan-Guiziou, personnal</t>
        </is>
      </c>
    </row>
    <row r="349">
      <c r="A349" t="inlineStr">
        <is>
          <t>CT-MCH-03F</t>
        </is>
      </c>
      <c r="B349" t="inlineStr">
        <is>
          <t>流</t>
        </is>
      </c>
      <c r="C349" t="inlineStr">
        <is>
          <t>FL-MCH-03F</t>
        </is>
      </c>
      <c r="D349" t="inlineStr">
        <is>
          <t>SRC-RAW</t>
        </is>
      </c>
      <c r="E349" t="inlineStr">
        <is>
          <t>PR03 Machines段（Pump）</t>
        </is>
      </c>
      <c r="F349" t="inlineStr">
        <is>
          <t>Pump / Engine / Copper</t>
        </is>
      </c>
      <c r="G349" t="n">
        <v>0.0017</v>
      </c>
      <c r="H349" t="inlineStr">
        <is>
          <t>kg/d</t>
        </is>
      </c>
      <c r="I349" t="inlineStr">
        <is>
          <t>1天生产</t>
        </is>
      </c>
      <c r="J349" t="inlineStr">
        <is>
          <t>1天生产工况</t>
        </is>
      </c>
      <c r="K349" t="inlineStr">
        <is>
          <t>FIXED</t>
        </is>
      </c>
      <c r="Q349" t="inlineStr">
        <is>
          <t>可直接比较</t>
        </is>
      </c>
      <c r="R349" t="inlineStr">
        <is>
          <t>采用</t>
        </is>
      </c>
      <c r="S349" t="inlineStr">
        <is>
          <t>D-A2</t>
        </is>
      </c>
      <c r="T349" t="inlineStr">
        <is>
          <t>资本品（设备按天摊销材料量）；2009 and 2010 measurement campaign (Gesan-Guiziou, personnal</t>
        </is>
      </c>
    </row>
    <row r="350">
      <c r="A350" t="inlineStr">
        <is>
          <t>CT-MCH-03G</t>
        </is>
      </c>
      <c r="B350" t="inlineStr">
        <is>
          <t>流</t>
        </is>
      </c>
      <c r="C350" t="inlineStr">
        <is>
          <t>FL-MCH-03G</t>
        </is>
      </c>
      <c r="D350" t="inlineStr">
        <is>
          <t>SRC-RAW</t>
        </is>
      </c>
      <c r="E350" t="inlineStr">
        <is>
          <t>PR03 Machines段（Pump）</t>
        </is>
      </c>
      <c r="F350" t="inlineStr">
        <is>
          <t>Pump / Aluminium</t>
        </is>
      </c>
      <c r="G350" t="n">
        <v>0.00329</v>
      </c>
      <c r="H350" t="inlineStr">
        <is>
          <t>kg/d</t>
        </is>
      </c>
      <c r="I350" t="inlineStr">
        <is>
          <t>1天生产</t>
        </is>
      </c>
      <c r="J350" t="inlineStr">
        <is>
          <t>1天生产工况</t>
        </is>
      </c>
      <c r="K350" t="inlineStr">
        <is>
          <t>FIXED</t>
        </is>
      </c>
      <c r="Q350" t="inlineStr">
        <is>
          <t>可直接比较</t>
        </is>
      </c>
      <c r="R350" t="inlineStr">
        <is>
          <t>采用</t>
        </is>
      </c>
      <c r="S350" t="inlineStr">
        <is>
          <t>D-A2</t>
        </is>
      </c>
      <c r="T350" t="inlineStr">
        <is>
          <t>资本品（设备按天摊销材料量）；2009 and 2010 measurement campaign (Gesan-Guiziou, personnal</t>
        </is>
      </c>
    </row>
    <row r="351">
      <c r="A351" t="inlineStr">
        <is>
          <t>CT-MCH-04A</t>
        </is>
      </c>
      <c r="B351" t="inlineStr">
        <is>
          <t>流</t>
        </is>
      </c>
      <c r="C351" t="inlineStr">
        <is>
          <t>FL-MCH-04A</t>
        </is>
      </c>
      <c r="D351" t="inlineStr">
        <is>
          <t>SRC-RAW</t>
        </is>
      </c>
      <c r="E351" t="inlineStr">
        <is>
          <t>PR04 Machines段（Plate heat exchanger）</t>
        </is>
      </c>
      <c r="F351" t="inlineStr">
        <is>
          <t>Plate heat exchanger / Structure / Stainless steel</t>
        </is>
      </c>
      <c r="G351" t="n">
        <v>0.4</v>
      </c>
      <c r="H351" t="inlineStr">
        <is>
          <t>kg/d</t>
        </is>
      </c>
      <c r="I351" t="inlineStr">
        <is>
          <t>1天生产</t>
        </is>
      </c>
      <c r="J351" t="inlineStr">
        <is>
          <t>1天生产工况</t>
        </is>
      </c>
      <c r="K351" t="inlineStr">
        <is>
          <t>FIXED</t>
        </is>
      </c>
      <c r="Q351" t="inlineStr">
        <is>
          <t>可直接比较</t>
        </is>
      </c>
      <c r="R351" t="inlineStr">
        <is>
          <t>采用</t>
        </is>
      </c>
      <c r="S351" t="inlineStr">
        <is>
          <t>D-A2</t>
        </is>
      </c>
      <c r="T351" t="inlineStr">
        <is>
          <t>资本品（设备按天摊销材料量）；2009 and 2010 measurement campaign (Gesan-Guiziou, personnal</t>
        </is>
      </c>
    </row>
    <row r="352">
      <c r="A352" t="inlineStr">
        <is>
          <t>CT-MCH-04B</t>
        </is>
      </c>
      <c r="B352" t="inlineStr">
        <is>
          <t>流</t>
        </is>
      </c>
      <c r="C352" t="inlineStr">
        <is>
          <t>FL-MCH-04B</t>
        </is>
      </c>
      <c r="D352" t="inlineStr">
        <is>
          <t>SRC-RAW</t>
        </is>
      </c>
      <c r="E352" t="inlineStr">
        <is>
          <t>PR04 Machines段（Plate heat exchanger）</t>
        </is>
      </c>
      <c r="F352" t="inlineStr">
        <is>
          <t>Plate heat exchanger / Pipes / Stainless steel</t>
        </is>
      </c>
      <c r="G352" t="n">
        <v>0.14</v>
      </c>
      <c r="H352" t="inlineStr">
        <is>
          <t>kg/d</t>
        </is>
      </c>
      <c r="I352" t="inlineStr">
        <is>
          <t>1天生产</t>
        </is>
      </c>
      <c r="J352" t="inlineStr">
        <is>
          <t>1天生产工况</t>
        </is>
      </c>
      <c r="K352" t="inlineStr">
        <is>
          <t>FIXED</t>
        </is>
      </c>
      <c r="Q352" t="inlineStr">
        <is>
          <t>可直接比较</t>
        </is>
      </c>
      <c r="R352" t="inlineStr">
        <is>
          <t>采用</t>
        </is>
      </c>
      <c r="S352" t="inlineStr">
        <is>
          <t>D-A2</t>
        </is>
      </c>
      <c r="T352" t="inlineStr">
        <is>
          <t>资本品（设备按天摊销材料量）</t>
        </is>
      </c>
    </row>
    <row r="353">
      <c r="A353" t="inlineStr">
        <is>
          <t>CT-MCH-04C</t>
        </is>
      </c>
      <c r="B353" t="inlineStr">
        <is>
          <t>流</t>
        </is>
      </c>
      <c r="C353" t="inlineStr">
        <is>
          <t>FL-MCH-04C</t>
        </is>
      </c>
      <c r="D353" t="inlineStr">
        <is>
          <t>SRC-RAW</t>
        </is>
      </c>
      <c r="E353" t="inlineStr">
        <is>
          <t>PR04 Machines段（Plate heat exchanger）</t>
        </is>
      </c>
      <c r="F353" t="inlineStr">
        <is>
          <t>Plate heat exchanger / chamber / Stainless steel</t>
        </is>
      </c>
      <c r="G353" t="n">
        <v>0.17</v>
      </c>
      <c r="H353" t="inlineStr">
        <is>
          <t>kg/d</t>
        </is>
      </c>
      <c r="I353" t="inlineStr">
        <is>
          <t>1天生产</t>
        </is>
      </c>
      <c r="J353" t="inlineStr">
        <is>
          <t>1天生产工况</t>
        </is>
      </c>
      <c r="K353" t="inlineStr">
        <is>
          <t>FIXED</t>
        </is>
      </c>
      <c r="Q353" t="inlineStr">
        <is>
          <t>可直接比较</t>
        </is>
      </c>
      <c r="R353" t="inlineStr">
        <is>
          <t>采用</t>
        </is>
      </c>
      <c r="S353" t="inlineStr">
        <is>
          <t>D-A2</t>
        </is>
      </c>
      <c r="T353" t="inlineStr">
        <is>
          <t>资本品（设备按天摊销材料量）</t>
        </is>
      </c>
    </row>
    <row r="354">
      <c r="A354" t="inlineStr">
        <is>
          <t>CT-MCH-04D</t>
        </is>
      </c>
      <c r="B354" t="inlineStr">
        <is>
          <t>流</t>
        </is>
      </c>
      <c r="C354" t="inlineStr">
        <is>
          <t>FL-MCH-04D</t>
        </is>
      </c>
      <c r="D354" t="inlineStr">
        <is>
          <t>SRC-RAW</t>
        </is>
      </c>
      <c r="E354" t="inlineStr">
        <is>
          <t>PR04 Machines段（Plate heat exchanger）</t>
        </is>
      </c>
      <c r="F354" t="inlineStr">
        <is>
          <t>Plate heat exchanger / Rings / synthetic rubber</t>
        </is>
      </c>
      <c r="G354" t="n">
        <v>0.12</v>
      </c>
      <c r="H354" t="inlineStr">
        <is>
          <t>kg/d</t>
        </is>
      </c>
      <c r="I354" t="inlineStr">
        <is>
          <t>1天生产</t>
        </is>
      </c>
      <c r="J354" t="inlineStr">
        <is>
          <t>1天生产工况</t>
        </is>
      </c>
      <c r="K354" t="inlineStr">
        <is>
          <t>FIXED</t>
        </is>
      </c>
      <c r="Q354" t="inlineStr">
        <is>
          <t>可直接比较</t>
        </is>
      </c>
      <c r="R354" t="inlineStr">
        <is>
          <t>采用</t>
        </is>
      </c>
      <c r="S354" t="inlineStr">
        <is>
          <t>D-A2</t>
        </is>
      </c>
      <c r="T354" t="inlineStr">
        <is>
          <t>资本品（设备按天摊销材料量）</t>
        </is>
      </c>
    </row>
    <row r="355">
      <c r="A355" t="inlineStr">
        <is>
          <t>CT-MCH-04E</t>
        </is>
      </c>
      <c r="B355" t="inlineStr">
        <is>
          <t>流</t>
        </is>
      </c>
      <c r="C355" t="inlineStr">
        <is>
          <t>FL-MCH-04E</t>
        </is>
      </c>
      <c r="D355" t="inlineStr">
        <is>
          <t>SRC-RAW</t>
        </is>
      </c>
      <c r="E355" t="inlineStr">
        <is>
          <t>PR04 Machines段（Tanks）</t>
        </is>
      </c>
      <c r="F355" t="inlineStr">
        <is>
          <t>Tanks / Tanks / stainless steel</t>
        </is>
      </c>
      <c r="G355" t="n">
        <v>3.5</v>
      </c>
      <c r="H355" t="inlineStr">
        <is>
          <t>kg/d</t>
        </is>
      </c>
      <c r="I355" t="inlineStr">
        <is>
          <t>1天生产</t>
        </is>
      </c>
      <c r="J355" t="inlineStr">
        <is>
          <t>1天生产工况</t>
        </is>
      </c>
      <c r="K355" t="inlineStr">
        <is>
          <t>FIXED</t>
        </is>
      </c>
      <c r="Q355" t="inlineStr">
        <is>
          <t>可直接比较</t>
        </is>
      </c>
      <c r="R355" t="inlineStr">
        <is>
          <t>采用</t>
        </is>
      </c>
      <c r="S355" t="inlineStr">
        <is>
          <t>D-A2</t>
        </is>
      </c>
      <c r="T355" t="inlineStr">
        <is>
          <t>资本品（设备按天摊销材料量）；Gésan-Guiziou et al. (2019)</t>
        </is>
      </c>
    </row>
    <row r="356">
      <c r="A356" t="inlineStr">
        <is>
          <t>CT-MCH-04F</t>
        </is>
      </c>
      <c r="B356" t="inlineStr">
        <is>
          <t>流</t>
        </is>
      </c>
      <c r="C356" t="inlineStr">
        <is>
          <t>FL-MCH-04F</t>
        </is>
      </c>
      <c r="D356" t="inlineStr">
        <is>
          <t>SRC-RAW</t>
        </is>
      </c>
      <c r="E356" t="inlineStr">
        <is>
          <t>PR04 Machines段（Tanks）</t>
        </is>
      </c>
      <c r="F356" t="inlineStr">
        <is>
          <t>Tanks / Pipes / stainless steel</t>
        </is>
      </c>
      <c r="G356" t="n">
        <v>0.87</v>
      </c>
      <c r="H356" t="inlineStr">
        <is>
          <t>kg/d</t>
        </is>
      </c>
      <c r="I356" t="inlineStr">
        <is>
          <t>1天生产</t>
        </is>
      </c>
      <c r="J356" t="inlineStr">
        <is>
          <t>1天生产工况</t>
        </is>
      </c>
      <c r="K356" t="inlineStr">
        <is>
          <t>FIXED</t>
        </is>
      </c>
      <c r="Q356" t="inlineStr">
        <is>
          <t>可直接比较</t>
        </is>
      </c>
      <c r="R356" t="inlineStr">
        <is>
          <t>采用</t>
        </is>
      </c>
      <c r="S356" t="inlineStr">
        <is>
          <t>D-A2</t>
        </is>
      </c>
      <c r="T356" t="inlineStr">
        <is>
          <t>资本品（设备按天摊销材料量）</t>
        </is>
      </c>
    </row>
    <row r="357">
      <c r="A357" t="inlineStr">
        <is>
          <t>CT-MCH-04G</t>
        </is>
      </c>
      <c r="B357" t="inlineStr">
        <is>
          <t>流</t>
        </is>
      </c>
      <c r="C357" t="inlineStr">
        <is>
          <t>FL-MCH-04G</t>
        </is>
      </c>
      <c r="D357" t="inlineStr">
        <is>
          <t>SRC-RAW</t>
        </is>
      </c>
      <c r="E357" t="inlineStr">
        <is>
          <t>PR04 Machines段（Pumps）</t>
        </is>
      </c>
      <c r="F357" t="inlineStr">
        <is>
          <t>Pumps / engine / copper</t>
        </is>
      </c>
      <c r="G357" t="n">
        <v>0.0409</v>
      </c>
      <c r="H357" t="inlineStr">
        <is>
          <t>kg/d</t>
        </is>
      </c>
      <c r="I357" t="inlineStr">
        <is>
          <t>1天生产</t>
        </is>
      </c>
      <c r="J357" t="inlineStr">
        <is>
          <t>1天生产工况</t>
        </is>
      </c>
      <c r="K357" t="inlineStr">
        <is>
          <t>FIXED</t>
        </is>
      </c>
      <c r="Q357" t="inlineStr">
        <is>
          <t>可直接比较</t>
        </is>
      </c>
      <c r="R357" t="inlineStr">
        <is>
          <t>采用</t>
        </is>
      </c>
      <c r="S357" t="inlineStr">
        <is>
          <t>D-A2</t>
        </is>
      </c>
      <c r="T357" t="inlineStr">
        <is>
          <t>资本品（设备按天摊销材料量）；Table 2  in Gésan-Guiziou et al. (2019) minus 2_skimming</t>
        </is>
      </c>
    </row>
    <row r="358">
      <c r="A358" t="inlineStr">
        <is>
          <t>CT-MCH-04H</t>
        </is>
      </c>
      <c r="B358" t="inlineStr">
        <is>
          <t>流</t>
        </is>
      </c>
      <c r="C358" t="inlineStr">
        <is>
          <t>FL-MCH-04H</t>
        </is>
      </c>
      <c r="D358" t="inlineStr">
        <is>
          <t>SRC-RAW</t>
        </is>
      </c>
      <c r="E358" t="inlineStr">
        <is>
          <t>PR04 Machines段（Pumps）</t>
        </is>
      </c>
      <c r="F358" t="inlineStr">
        <is>
          <t>Pumps / Aluminium</t>
        </is>
      </c>
      <c r="G358" t="n">
        <v>0.10671</v>
      </c>
      <c r="H358" t="inlineStr">
        <is>
          <t>kg/d</t>
        </is>
      </c>
      <c r="I358" t="inlineStr">
        <is>
          <t>1天生产</t>
        </is>
      </c>
      <c r="J358" t="inlineStr">
        <is>
          <t>1天生产工况</t>
        </is>
      </c>
      <c r="K358" t="inlineStr">
        <is>
          <t>FIXED</t>
        </is>
      </c>
      <c r="Q358" t="inlineStr">
        <is>
          <t>可直接比较</t>
        </is>
      </c>
      <c r="R358" t="inlineStr">
        <is>
          <t>采用</t>
        </is>
      </c>
      <c r="S358" t="inlineStr">
        <is>
          <t>D-A2</t>
        </is>
      </c>
      <c r="T358" t="inlineStr">
        <is>
          <t>资本品（设备按天摊销材料量）</t>
        </is>
      </c>
    </row>
    <row r="359">
      <c r="A359" t="inlineStr">
        <is>
          <t>CT-MCH-05A</t>
        </is>
      </c>
      <c r="B359" t="inlineStr">
        <is>
          <t>流</t>
        </is>
      </c>
      <c r="C359" t="inlineStr">
        <is>
          <t>FL-MCH-05A</t>
        </is>
      </c>
      <c r="D359" t="inlineStr">
        <is>
          <t>SRC-RAW</t>
        </is>
      </c>
      <c r="E359" t="inlineStr">
        <is>
          <t>PR05 Machines段（Microfiltration module）</t>
        </is>
      </c>
      <c r="F359" t="inlineStr">
        <is>
          <t>Microfiltration module / Membrane carter / stainless steel</t>
        </is>
      </c>
      <c r="G359" t="n">
        <v>1.12</v>
      </c>
      <c r="H359" t="inlineStr">
        <is>
          <t>kg/d</t>
        </is>
      </c>
      <c r="I359" t="inlineStr">
        <is>
          <t>1天生产</t>
        </is>
      </c>
      <c r="J359" t="inlineStr">
        <is>
          <t>1天生产工况</t>
        </is>
      </c>
      <c r="K359" t="inlineStr">
        <is>
          <t>FIXED</t>
        </is>
      </c>
      <c r="Q359" t="inlineStr">
        <is>
          <t>可直接比较</t>
        </is>
      </c>
      <c r="R359" t="inlineStr">
        <is>
          <t>采用</t>
        </is>
      </c>
      <c r="S359" t="inlineStr">
        <is>
          <t>D-A2</t>
        </is>
      </c>
      <c r="T359" t="inlineStr">
        <is>
          <t>资本品（设备按天摊销材料量）；2009 and 2010 measurement campaign (Gesan-Guiziou, personnal</t>
        </is>
      </c>
    </row>
    <row r="360">
      <c r="A360" t="inlineStr">
        <is>
          <t>CT-MCH-05B</t>
        </is>
      </c>
      <c r="B360" t="inlineStr">
        <is>
          <t>流</t>
        </is>
      </c>
      <c r="C360" t="inlineStr">
        <is>
          <t>FL-MCH-05B</t>
        </is>
      </c>
      <c r="D360" t="inlineStr">
        <is>
          <t>SRC-RAW</t>
        </is>
      </c>
      <c r="E360" t="inlineStr">
        <is>
          <t>PR05 Machines段（Microfiltration module）</t>
        </is>
      </c>
      <c r="F360" t="inlineStr">
        <is>
          <t>Microfiltration module / Ceramic membranes / Alumine</t>
        </is>
      </c>
      <c r="G360" t="n">
        <v>1.08</v>
      </c>
      <c r="H360" t="inlineStr">
        <is>
          <t>kg/d</t>
        </is>
      </c>
      <c r="I360" t="inlineStr">
        <is>
          <t>1天生产</t>
        </is>
      </c>
      <c r="J360" t="inlineStr">
        <is>
          <t>1天生产工况</t>
        </is>
      </c>
      <c r="K360" t="inlineStr">
        <is>
          <t>FIXED</t>
        </is>
      </c>
      <c r="Q360" t="inlineStr">
        <is>
          <t>可直接比较</t>
        </is>
      </c>
      <c r="R360" t="inlineStr">
        <is>
          <t>采用</t>
        </is>
      </c>
      <c r="S360" t="inlineStr">
        <is>
          <t>D-A2</t>
        </is>
      </c>
      <c r="T360" t="inlineStr">
        <is>
          <t>资本品（设备按天摊销材料量）</t>
        </is>
      </c>
    </row>
    <row r="361">
      <c r="A361" t="inlineStr">
        <is>
          <t>CT-MCH-05C</t>
        </is>
      </c>
      <c r="B361" t="inlineStr">
        <is>
          <t>流</t>
        </is>
      </c>
      <c r="C361" t="inlineStr">
        <is>
          <t>FL-MCH-05C</t>
        </is>
      </c>
      <c r="D361" t="inlineStr">
        <is>
          <t>SRC-RAW</t>
        </is>
      </c>
      <c r="E361" t="inlineStr">
        <is>
          <t>PR05 Machines段（Microfiltration module）</t>
        </is>
      </c>
      <c r="F361" t="inlineStr">
        <is>
          <t>Microfiltration module / Pumps / cast iron</t>
        </is>
      </c>
      <c r="G361" t="n">
        <v>0.47</v>
      </c>
      <c r="H361" t="inlineStr">
        <is>
          <t>kg/d</t>
        </is>
      </c>
      <c r="I361" t="inlineStr">
        <is>
          <t>1天生产</t>
        </is>
      </c>
      <c r="J361" t="inlineStr">
        <is>
          <t>1天生产工况</t>
        </is>
      </c>
      <c r="K361" t="inlineStr">
        <is>
          <t>FIXED</t>
        </is>
      </c>
      <c r="Q361" t="inlineStr">
        <is>
          <t>可直接比较</t>
        </is>
      </c>
      <c r="R361" t="inlineStr">
        <is>
          <t>采用</t>
        </is>
      </c>
      <c r="S361" t="inlineStr">
        <is>
          <t>D-A2</t>
        </is>
      </c>
      <c r="T361" t="inlineStr">
        <is>
          <t>资本品（设备按天摊销材料量）</t>
        </is>
      </c>
    </row>
    <row r="362">
      <c r="A362" t="inlineStr">
        <is>
          <t>CT-MCH-05D</t>
        </is>
      </c>
      <c r="B362" t="inlineStr">
        <is>
          <t>流</t>
        </is>
      </c>
      <c r="C362" t="inlineStr">
        <is>
          <t>FL-MCH-05D</t>
        </is>
      </c>
      <c r="D362" t="inlineStr">
        <is>
          <t>SRC-RAW</t>
        </is>
      </c>
      <c r="E362" t="inlineStr">
        <is>
          <t>PR05 Machines段（Microfiltration module）</t>
        </is>
      </c>
      <c r="F362" t="inlineStr">
        <is>
          <t>Microfiltration module / Aluminium</t>
        </is>
      </c>
      <c r="G362" t="n">
        <v>0.16</v>
      </c>
      <c r="H362" t="inlineStr">
        <is>
          <t>kg/d</t>
        </is>
      </c>
      <c r="I362" t="inlineStr">
        <is>
          <t>1天生产</t>
        </is>
      </c>
      <c r="J362" t="inlineStr">
        <is>
          <t>1天生产工况</t>
        </is>
      </c>
      <c r="K362" t="inlineStr">
        <is>
          <t>FIXED</t>
        </is>
      </c>
      <c r="Q362" t="inlineStr">
        <is>
          <t>可直接比较</t>
        </is>
      </c>
      <c r="R362" t="inlineStr">
        <is>
          <t>采用</t>
        </is>
      </c>
      <c r="S362" t="inlineStr">
        <is>
          <t>D-A2</t>
        </is>
      </c>
      <c r="T362" t="inlineStr">
        <is>
          <t>资本品（设备按天摊销材料量）</t>
        </is>
      </c>
    </row>
    <row r="363">
      <c r="A363" t="inlineStr">
        <is>
          <t>CT-MCH-05E</t>
        </is>
      </c>
      <c r="B363" t="inlineStr">
        <is>
          <t>流</t>
        </is>
      </c>
      <c r="C363" t="inlineStr">
        <is>
          <t>FL-MCH-05E</t>
        </is>
      </c>
      <c r="D363" t="inlineStr">
        <is>
          <t>SRC-RAW</t>
        </is>
      </c>
      <c r="E363" t="inlineStr">
        <is>
          <t>PR05 Machines段（Microfiltration module）</t>
        </is>
      </c>
      <c r="F363" t="inlineStr">
        <is>
          <t>Microfiltration module / copper</t>
        </is>
      </c>
      <c r="G363" t="n">
        <v>0.35</v>
      </c>
      <c r="H363" t="inlineStr">
        <is>
          <t>kg/d</t>
        </is>
      </c>
      <c r="I363" t="inlineStr">
        <is>
          <t>1天生产</t>
        </is>
      </c>
      <c r="J363" t="inlineStr">
        <is>
          <t>1天生产工况</t>
        </is>
      </c>
      <c r="K363" t="inlineStr">
        <is>
          <t>FIXED</t>
        </is>
      </c>
      <c r="Q363" t="inlineStr">
        <is>
          <t>可直接比较</t>
        </is>
      </c>
      <c r="R363" t="inlineStr">
        <is>
          <t>采用</t>
        </is>
      </c>
      <c r="S363" t="inlineStr">
        <is>
          <t>D-A2</t>
        </is>
      </c>
      <c r="T363" t="inlineStr">
        <is>
          <t>资本品（设备按天摊销材料量）</t>
        </is>
      </c>
    </row>
    <row r="364">
      <c r="A364" t="inlineStr">
        <is>
          <t>CT-MCH-05F</t>
        </is>
      </c>
      <c r="B364" t="inlineStr">
        <is>
          <t>流</t>
        </is>
      </c>
      <c r="C364" t="inlineStr">
        <is>
          <t>FL-MCH-05F</t>
        </is>
      </c>
      <c r="D364" t="inlineStr">
        <is>
          <t>SRC-RAW</t>
        </is>
      </c>
      <c r="E364" t="inlineStr">
        <is>
          <t>PR05 Machines段（Microfiltration module）</t>
        </is>
      </c>
      <c r="F364" t="inlineStr">
        <is>
          <t>Microfiltration module / Polypropylene</t>
        </is>
      </c>
      <c r="G364" t="n">
        <v>0.003</v>
      </c>
      <c r="H364" t="inlineStr">
        <is>
          <t>kg/d</t>
        </is>
      </c>
      <c r="I364" t="inlineStr">
        <is>
          <t>1天生产</t>
        </is>
      </c>
      <c r="J364" t="inlineStr">
        <is>
          <t>1天生产工况</t>
        </is>
      </c>
      <c r="K364" t="inlineStr">
        <is>
          <t>FIXED</t>
        </is>
      </c>
      <c r="Q364" t="inlineStr">
        <is>
          <t>可直接比较</t>
        </is>
      </c>
      <c r="R364" t="inlineStr">
        <is>
          <t>采用</t>
        </is>
      </c>
      <c r="S364" t="inlineStr">
        <is>
          <t>D-A2</t>
        </is>
      </c>
      <c r="T364" t="inlineStr">
        <is>
          <t>资本品（设备按天摊销材料量）</t>
        </is>
      </c>
    </row>
    <row r="365">
      <c r="A365" t="inlineStr">
        <is>
          <t>CT-MCH-05G</t>
        </is>
      </c>
      <c r="B365" t="inlineStr">
        <is>
          <t>流</t>
        </is>
      </c>
      <c r="C365" t="inlineStr">
        <is>
          <t>FL-MCH-05G</t>
        </is>
      </c>
      <c r="D365" t="inlineStr">
        <is>
          <t>SRC-RAW</t>
        </is>
      </c>
      <c r="E365" t="inlineStr">
        <is>
          <t>PR05 Machines段（Microfiltration module）</t>
        </is>
      </c>
      <c r="F365" t="inlineStr">
        <is>
          <t>Microfiltration module / Rings / synthetic rubber</t>
        </is>
      </c>
      <c r="G365" t="n">
        <v>0.15</v>
      </c>
      <c r="H365" t="inlineStr">
        <is>
          <t>kg/d</t>
        </is>
      </c>
      <c r="I365" t="inlineStr">
        <is>
          <t>1天生产</t>
        </is>
      </c>
      <c r="J365" t="inlineStr">
        <is>
          <t>1天生产工况</t>
        </is>
      </c>
      <c r="K365" t="inlineStr">
        <is>
          <t>FIXED</t>
        </is>
      </c>
      <c r="Q365" t="inlineStr">
        <is>
          <t>可直接比较</t>
        </is>
      </c>
      <c r="R365" t="inlineStr">
        <is>
          <t>采用</t>
        </is>
      </c>
      <c r="S365" t="inlineStr">
        <is>
          <t>D-A2</t>
        </is>
      </c>
      <c r="T365" t="inlineStr">
        <is>
          <t>资本品（设备按天摊销材料量）</t>
        </is>
      </c>
    </row>
    <row r="366">
      <c r="A366" t="inlineStr">
        <is>
          <t>CT-MCH-05H</t>
        </is>
      </c>
      <c r="B366" t="inlineStr">
        <is>
          <t>流</t>
        </is>
      </c>
      <c r="C366" t="inlineStr">
        <is>
          <t>FL-MCH-05H</t>
        </is>
      </c>
      <c r="D366" t="inlineStr">
        <is>
          <t>SRC-RAW</t>
        </is>
      </c>
      <c r="E366" t="inlineStr">
        <is>
          <t>PR05 Machines段（Microfiltration module）</t>
        </is>
      </c>
      <c r="F366" t="inlineStr">
        <is>
          <t>Microfiltration module / silicon carbide</t>
        </is>
      </c>
      <c r="G366" t="n">
        <v>0.004</v>
      </c>
      <c r="H366" t="inlineStr">
        <is>
          <t>kg/d</t>
        </is>
      </c>
      <c r="I366" t="inlineStr">
        <is>
          <t>1天生产</t>
        </is>
      </c>
      <c r="J366" t="inlineStr">
        <is>
          <t>1天生产工况</t>
        </is>
      </c>
      <c r="K366" t="inlineStr">
        <is>
          <t>FIXED</t>
        </is>
      </c>
      <c r="Q366" t="inlineStr">
        <is>
          <t>可直接比较</t>
        </is>
      </c>
      <c r="R366" t="inlineStr">
        <is>
          <t>采用</t>
        </is>
      </c>
      <c r="S366" t="inlineStr">
        <is>
          <t>D-A2</t>
        </is>
      </c>
      <c r="T366" t="inlineStr">
        <is>
          <t>资本品（设备按天摊销材料量）</t>
        </is>
      </c>
    </row>
    <row r="367">
      <c r="A367" t="inlineStr">
        <is>
          <t>CT-MCH-05I</t>
        </is>
      </c>
      <c r="B367" t="inlineStr">
        <is>
          <t>流</t>
        </is>
      </c>
      <c r="C367" t="inlineStr">
        <is>
          <t>FL-MCH-05I</t>
        </is>
      </c>
      <c r="D367" t="inlineStr">
        <is>
          <t>SRC-RAW</t>
        </is>
      </c>
      <c r="E367" t="inlineStr">
        <is>
          <t>PR05 Machines段（Microfiltration module）</t>
        </is>
      </c>
      <c r="F367" t="inlineStr">
        <is>
          <t>Microfiltration module / other parts / Silicone</t>
        </is>
      </c>
      <c r="G367" t="n">
        <v>0.011</v>
      </c>
      <c r="H367" t="inlineStr">
        <is>
          <t>kg/d</t>
        </is>
      </c>
      <c r="I367" t="inlineStr">
        <is>
          <t>1天生产</t>
        </is>
      </c>
      <c r="J367" t="inlineStr">
        <is>
          <t>1天生产工况</t>
        </is>
      </c>
      <c r="K367" t="inlineStr">
        <is>
          <t>FIXED</t>
        </is>
      </c>
      <c r="Q367" t="inlineStr">
        <is>
          <t>可直接比较</t>
        </is>
      </c>
      <c r="R367" t="inlineStr">
        <is>
          <t>采用</t>
        </is>
      </c>
      <c r="S367" t="inlineStr">
        <is>
          <t>D-A2</t>
        </is>
      </c>
      <c r="T367" t="inlineStr">
        <is>
          <t>资本品（设备按天摊销材料量）</t>
        </is>
      </c>
    </row>
    <row r="368">
      <c r="A368" t="inlineStr">
        <is>
          <t>CT-MCH-05J</t>
        </is>
      </c>
      <c r="B368" t="inlineStr">
        <is>
          <t>流</t>
        </is>
      </c>
      <c r="C368" t="inlineStr">
        <is>
          <t>FL-MCH-05J</t>
        </is>
      </c>
      <c r="D368" t="inlineStr">
        <is>
          <t>SRC-RAW</t>
        </is>
      </c>
      <c r="E368" t="inlineStr">
        <is>
          <t>PR05 Machines段（Pump to heating）</t>
        </is>
      </c>
      <c r="F368" t="inlineStr">
        <is>
          <t>Pump to heating / engine / copper</t>
        </is>
      </c>
      <c r="G368" t="n">
        <v>0.00678</v>
      </c>
      <c r="H368" t="inlineStr">
        <is>
          <t>kg/d</t>
        </is>
      </c>
      <c r="I368" t="inlineStr">
        <is>
          <t>1天生产</t>
        </is>
      </c>
      <c r="J368" t="inlineStr">
        <is>
          <t>1天生产工况</t>
        </is>
      </c>
      <c r="K368" t="inlineStr">
        <is>
          <t>FIXED</t>
        </is>
      </c>
      <c r="Q368" t="inlineStr">
        <is>
          <t>可直接比较</t>
        </is>
      </c>
      <c r="R368" t="inlineStr">
        <is>
          <t>采用</t>
        </is>
      </c>
      <c r="S368" t="inlineStr">
        <is>
          <t>D-A2</t>
        </is>
      </c>
      <c r="T368" t="inlineStr">
        <is>
          <t>资本品（设备按天摊销材料量）；Gésan-Guiziou et al. (2019)</t>
        </is>
      </c>
    </row>
    <row r="369">
      <c r="A369" t="inlineStr">
        <is>
          <t>CT-MCH-05K</t>
        </is>
      </c>
      <c r="B369" t="inlineStr">
        <is>
          <t>流</t>
        </is>
      </c>
      <c r="C369" t="inlineStr">
        <is>
          <t>FL-MCH-05K</t>
        </is>
      </c>
      <c r="D369" t="inlineStr">
        <is>
          <t>SRC-RAW</t>
        </is>
      </c>
      <c r="E369" t="inlineStr">
        <is>
          <t>PR05 Machines段（Pump to heating）</t>
        </is>
      </c>
      <c r="F369" t="inlineStr">
        <is>
          <t>Pump to heating / Aluminium</t>
        </is>
      </c>
      <c r="G369" t="n">
        <v>0.0132</v>
      </c>
      <c r="H369" t="inlineStr">
        <is>
          <t>kg/d</t>
        </is>
      </c>
      <c r="I369" t="inlineStr">
        <is>
          <t>1天生产</t>
        </is>
      </c>
      <c r="J369" t="inlineStr">
        <is>
          <t>1天生产工况</t>
        </is>
      </c>
      <c r="K369" t="inlineStr">
        <is>
          <t>FIXED</t>
        </is>
      </c>
      <c r="Q369" t="inlineStr">
        <is>
          <t>可直接比较</t>
        </is>
      </c>
      <c r="R369" t="inlineStr">
        <is>
          <t>采用</t>
        </is>
      </c>
      <c r="S369" t="inlineStr">
        <is>
          <t>D-A2</t>
        </is>
      </c>
      <c r="T369" t="inlineStr">
        <is>
          <t>资本品（设备按天摊销材料量）</t>
        </is>
      </c>
    </row>
    <row r="370">
      <c r="A370" t="inlineStr">
        <is>
          <t>CT-MCH-05L</t>
        </is>
      </c>
      <c r="B370" t="inlineStr">
        <is>
          <t>流</t>
        </is>
      </c>
      <c r="C370" t="inlineStr">
        <is>
          <t>FL-MCH-05L</t>
        </is>
      </c>
      <c r="D370" t="inlineStr">
        <is>
          <t>SRC-RAW</t>
        </is>
      </c>
      <c r="E370" t="inlineStr">
        <is>
          <t>PR05 Machines段（plate heat exchanger）</t>
        </is>
      </c>
      <c r="F370" t="inlineStr">
        <is>
          <t>plate heat exchanger / Structure / stainless steel</t>
        </is>
      </c>
      <c r="G370" t="n">
        <v>0.152</v>
      </c>
      <c r="H370" t="inlineStr">
        <is>
          <t>kg/d</t>
        </is>
      </c>
      <c r="I370" t="inlineStr">
        <is>
          <t>1天生产</t>
        </is>
      </c>
      <c r="J370" t="inlineStr">
        <is>
          <t>1天生产工况</t>
        </is>
      </c>
      <c r="K370" t="inlineStr">
        <is>
          <t>FIXED</t>
        </is>
      </c>
      <c r="Q370" t="inlineStr">
        <is>
          <t>可直接比较</t>
        </is>
      </c>
      <c r="R370" t="inlineStr">
        <is>
          <t>采用</t>
        </is>
      </c>
      <c r="S370" t="inlineStr">
        <is>
          <t>D-A2</t>
        </is>
      </c>
      <c r="T370" t="inlineStr">
        <is>
          <t>资本品（设备按天摊销材料量）；Gésan-Guiziou et al. (2019)</t>
        </is>
      </c>
    </row>
    <row r="371">
      <c r="A371" t="inlineStr">
        <is>
          <t>CT-MCH-05M</t>
        </is>
      </c>
      <c r="B371" t="inlineStr">
        <is>
          <t>流</t>
        </is>
      </c>
      <c r="C371" t="inlineStr">
        <is>
          <t>FL-MCH-05M</t>
        </is>
      </c>
      <c r="D371" t="inlineStr">
        <is>
          <t>SRC-RAW</t>
        </is>
      </c>
      <c r="E371" t="inlineStr">
        <is>
          <t>PR05 Machines段（plate heat exchanger）</t>
        </is>
      </c>
      <c r="F371" t="inlineStr">
        <is>
          <t>plate heat exchanger / rings / synthetic rubber</t>
        </is>
      </c>
      <c r="G371" t="n">
        <v>0.035</v>
      </c>
      <c r="H371" t="inlineStr">
        <is>
          <t>kg/d</t>
        </is>
      </c>
      <c r="I371" t="inlineStr">
        <is>
          <t>1天生产</t>
        </is>
      </c>
      <c r="J371" t="inlineStr">
        <is>
          <t>1天生产工况</t>
        </is>
      </c>
      <c r="K371" t="inlineStr">
        <is>
          <t>FIXED</t>
        </is>
      </c>
      <c r="Q371" t="inlineStr">
        <is>
          <t>可直接比较</t>
        </is>
      </c>
      <c r="R371" t="inlineStr">
        <is>
          <t>采用</t>
        </is>
      </c>
      <c r="S371" t="inlineStr">
        <is>
          <t>D-A2</t>
        </is>
      </c>
      <c r="T371" t="inlineStr">
        <is>
          <t>资本品（设备按天摊销材料量）</t>
        </is>
      </c>
    </row>
    <row r="372">
      <c r="A372" t="inlineStr">
        <is>
          <t>CT-MCH-06A</t>
        </is>
      </c>
      <c r="B372" t="inlineStr">
        <is>
          <t>流</t>
        </is>
      </c>
      <c r="C372" t="inlineStr">
        <is>
          <t>FL-MCH-06A</t>
        </is>
      </c>
      <c r="D372" t="inlineStr">
        <is>
          <t>SRC-RAW</t>
        </is>
      </c>
      <c r="E372" t="inlineStr">
        <is>
          <t>PR06 Machines段（Plate heat exchanger）</t>
        </is>
      </c>
      <c r="F372" t="inlineStr">
        <is>
          <t>Plate heat exchanger / Structure / stainless steel</t>
        </is>
      </c>
      <c r="G372" t="n">
        <v>0.12</v>
      </c>
      <c r="H372" t="inlineStr">
        <is>
          <t>kg/d</t>
        </is>
      </c>
      <c r="I372" t="inlineStr">
        <is>
          <t>1天生产</t>
        </is>
      </c>
      <c r="J372" t="inlineStr">
        <is>
          <t>1天生产工况</t>
        </is>
      </c>
      <c r="K372" t="inlineStr">
        <is>
          <t>FIXED</t>
        </is>
      </c>
      <c r="Q372" t="inlineStr">
        <is>
          <t>可直接比较</t>
        </is>
      </c>
      <c r="R372" t="inlineStr">
        <is>
          <t>采用</t>
        </is>
      </c>
      <c r="S372" t="inlineStr">
        <is>
          <t>D-A2</t>
        </is>
      </c>
      <c r="T372" t="inlineStr">
        <is>
          <t>资本品（设备按天摊销材料量）；2009 and 2010 measurement campaign (Gesan-Guiziou, personnal</t>
        </is>
      </c>
    </row>
    <row r="373">
      <c r="A373" t="inlineStr">
        <is>
          <t>CT-MCH-06B</t>
        </is>
      </c>
      <c r="B373" t="inlineStr">
        <is>
          <t>流</t>
        </is>
      </c>
      <c r="C373" t="inlineStr">
        <is>
          <t>FL-MCH-06B</t>
        </is>
      </c>
      <c r="D373" t="inlineStr">
        <is>
          <t>SRC-RAW</t>
        </is>
      </c>
      <c r="E373" t="inlineStr">
        <is>
          <t>PR06 Machines段（Plate heat exchanger）</t>
        </is>
      </c>
      <c r="F373" t="inlineStr">
        <is>
          <t>Plate heat exchanger / pipes / stainless steel</t>
        </is>
      </c>
      <c r="G373" t="n">
        <v>0.03</v>
      </c>
      <c r="H373" t="inlineStr">
        <is>
          <t>kg/d</t>
        </is>
      </c>
      <c r="I373" t="inlineStr">
        <is>
          <t>1天生产</t>
        </is>
      </c>
      <c r="J373" t="inlineStr">
        <is>
          <t>1天生产工况</t>
        </is>
      </c>
      <c r="K373" t="inlineStr">
        <is>
          <t>FIXED</t>
        </is>
      </c>
      <c r="Q373" t="inlineStr">
        <is>
          <t>可直接比较</t>
        </is>
      </c>
      <c r="R373" t="inlineStr">
        <is>
          <t>采用</t>
        </is>
      </c>
      <c r="S373" t="inlineStr">
        <is>
          <t>D-A2</t>
        </is>
      </c>
      <c r="T373" t="inlineStr">
        <is>
          <t>资本品（设备按天摊销材料量）；2009 and 2010 measurement campaign (Gesan-Guiziou, personnal</t>
        </is>
      </c>
    </row>
    <row r="374">
      <c r="A374" t="inlineStr">
        <is>
          <t>CT-MCH-06C</t>
        </is>
      </c>
      <c r="B374" t="inlineStr">
        <is>
          <t>流</t>
        </is>
      </c>
      <c r="C374" t="inlineStr">
        <is>
          <t>FL-MCH-06C</t>
        </is>
      </c>
      <c r="D374" t="inlineStr">
        <is>
          <t>SRC-RAW</t>
        </is>
      </c>
      <c r="E374" t="inlineStr">
        <is>
          <t>PR06 Machines段（Plate heat exchanger）</t>
        </is>
      </c>
      <c r="F374" t="inlineStr">
        <is>
          <t>Plate heat exchanger / rings / synthetic rubber</t>
        </is>
      </c>
      <c r="G374" t="n">
        <v>0.03</v>
      </c>
      <c r="H374" t="inlineStr">
        <is>
          <t>kg/d</t>
        </is>
      </c>
      <c r="I374" t="inlineStr">
        <is>
          <t>1天生产</t>
        </is>
      </c>
      <c r="J374" t="inlineStr">
        <is>
          <t>1天生产工况</t>
        </is>
      </c>
      <c r="K374" t="inlineStr">
        <is>
          <t>FIXED</t>
        </is>
      </c>
      <c r="Q374" t="inlineStr">
        <is>
          <t>可直接比较</t>
        </is>
      </c>
      <c r="R374" t="inlineStr">
        <is>
          <t>采用</t>
        </is>
      </c>
      <c r="S374" t="inlineStr">
        <is>
          <t>D-A2</t>
        </is>
      </c>
      <c r="T374" t="inlineStr">
        <is>
          <t>资本品（设备按天摊销材料量）；2009 and 2010 measurement campaign (Gesan-Guiziou, personnal</t>
        </is>
      </c>
    </row>
    <row r="375">
      <c r="A375" t="inlineStr">
        <is>
          <t>CT-MCH-06D</t>
        </is>
      </c>
      <c r="B375" t="inlineStr">
        <is>
          <t>流</t>
        </is>
      </c>
      <c r="C375" t="inlineStr">
        <is>
          <t>FL-MCH-06D</t>
        </is>
      </c>
      <c r="D375" t="inlineStr">
        <is>
          <t>SRC-RAW</t>
        </is>
      </c>
      <c r="E375" t="inlineStr">
        <is>
          <t>PR06 Machines段（Tanks）</t>
        </is>
      </c>
      <c r="F375" t="inlineStr">
        <is>
          <t>Tanks / tanks / stainless steel</t>
        </is>
      </c>
      <c r="G375" t="n">
        <v>2.08</v>
      </c>
      <c r="H375" t="inlineStr">
        <is>
          <t>kg/d</t>
        </is>
      </c>
      <c r="I375" t="inlineStr">
        <is>
          <t>1天生产</t>
        </is>
      </c>
      <c r="J375" t="inlineStr">
        <is>
          <t>1天生产工况</t>
        </is>
      </c>
      <c r="K375" t="inlineStr">
        <is>
          <t>FIXED</t>
        </is>
      </c>
      <c r="Q375" t="inlineStr">
        <is>
          <t>可直接比较</t>
        </is>
      </c>
      <c r="R375" t="inlineStr">
        <is>
          <t>采用</t>
        </is>
      </c>
      <c r="S375" t="inlineStr">
        <is>
          <t>D-A2</t>
        </is>
      </c>
      <c r="T375" t="inlineStr">
        <is>
          <t>资本品（设备按天摊销材料量）；2009 and 2010 measurement campaign (Gesan-Guiziou, personnal</t>
        </is>
      </c>
    </row>
    <row r="376">
      <c r="A376" t="inlineStr">
        <is>
          <t>CT-MCH-06E</t>
        </is>
      </c>
      <c r="B376" t="inlineStr">
        <is>
          <t>流</t>
        </is>
      </c>
      <c r="C376" t="inlineStr">
        <is>
          <t>FL-MCH-06E</t>
        </is>
      </c>
      <c r="D376" t="inlineStr">
        <is>
          <t>SRC-RAW</t>
        </is>
      </c>
      <c r="E376" t="inlineStr">
        <is>
          <t>PR06 Machines段（Tanks）</t>
        </is>
      </c>
      <c r="F376" t="inlineStr">
        <is>
          <t>Tanks / pipes / stainless steel</t>
        </is>
      </c>
      <c r="G376" t="n">
        <v>0.52</v>
      </c>
      <c r="H376" t="inlineStr">
        <is>
          <t>kg/d</t>
        </is>
      </c>
      <c r="I376" t="inlineStr">
        <is>
          <t>1天生产</t>
        </is>
      </c>
      <c r="J376" t="inlineStr">
        <is>
          <t>1天生产工况</t>
        </is>
      </c>
      <c r="K376" t="inlineStr">
        <is>
          <t>FIXED</t>
        </is>
      </c>
      <c r="Q376" t="inlineStr">
        <is>
          <t>可直接比较</t>
        </is>
      </c>
      <c r="R376" t="inlineStr">
        <is>
          <t>采用</t>
        </is>
      </c>
      <c r="S376" t="inlineStr">
        <is>
          <t>D-A2</t>
        </is>
      </c>
      <c r="T376" t="inlineStr">
        <is>
          <t>资本品（设备按天摊销材料量）；2009 and 2010 measurement campaign (Gesan-Guiziou, personnal</t>
        </is>
      </c>
    </row>
    <row r="377">
      <c r="A377" t="inlineStr">
        <is>
          <t>CT-MCH-07A</t>
        </is>
      </c>
      <c r="B377" t="inlineStr">
        <is>
          <t>流</t>
        </is>
      </c>
      <c r="C377" t="inlineStr">
        <is>
          <t>FL-MCH-07A</t>
        </is>
      </c>
      <c r="D377" t="inlineStr">
        <is>
          <t>SRC-RAW</t>
        </is>
      </c>
      <c r="E377" t="inlineStr">
        <is>
          <t>PR07 Machines段（Tanks）</t>
        </is>
      </c>
      <c r="F377" t="inlineStr">
        <is>
          <t>Tanks / tanks / stainless steel</t>
        </is>
      </c>
      <c r="G377" t="n">
        <v>1.73</v>
      </c>
      <c r="H377" t="inlineStr">
        <is>
          <t>kg/d</t>
        </is>
      </c>
      <c r="I377" t="inlineStr">
        <is>
          <t>1天生产</t>
        </is>
      </c>
      <c r="J377" t="inlineStr">
        <is>
          <t>1天生产工况</t>
        </is>
      </c>
      <c r="K377" t="inlineStr">
        <is>
          <t>FIXED</t>
        </is>
      </c>
      <c r="Q377" t="inlineStr">
        <is>
          <t>可直接比较</t>
        </is>
      </c>
      <c r="R377" t="inlineStr">
        <is>
          <t>采用</t>
        </is>
      </c>
      <c r="S377" t="inlineStr">
        <is>
          <t>D-A2</t>
        </is>
      </c>
      <c r="T377" t="inlineStr">
        <is>
          <t>资本品（设备按天摊销材料量）；2009 and 2010 measurement campaign (Gesan-Guiziou, personnal</t>
        </is>
      </c>
    </row>
    <row r="378">
      <c r="A378" t="inlineStr">
        <is>
          <t>CT-MCH-07B</t>
        </is>
      </c>
      <c r="B378" t="inlineStr">
        <is>
          <t>流</t>
        </is>
      </c>
      <c r="C378" t="inlineStr">
        <is>
          <t>FL-MCH-07B</t>
        </is>
      </c>
      <c r="D378" t="inlineStr">
        <is>
          <t>SRC-RAW</t>
        </is>
      </c>
      <c r="E378" t="inlineStr">
        <is>
          <t>PR07 Machines段（Tanks）</t>
        </is>
      </c>
      <c r="F378" t="inlineStr">
        <is>
          <t>Tanks / pipes / stainless steel</t>
        </is>
      </c>
      <c r="G378" t="n">
        <v>0.43</v>
      </c>
      <c r="H378" t="inlineStr">
        <is>
          <t>kg/d</t>
        </is>
      </c>
      <c r="I378" t="inlineStr">
        <is>
          <t>1天生产</t>
        </is>
      </c>
      <c r="J378" t="inlineStr">
        <is>
          <t>1天生产工况</t>
        </is>
      </c>
      <c r="K378" t="inlineStr">
        <is>
          <t>FIXED</t>
        </is>
      </c>
      <c r="Q378" t="inlineStr">
        <is>
          <t>可直接比较</t>
        </is>
      </c>
      <c r="R378" t="inlineStr">
        <is>
          <t>采用</t>
        </is>
      </c>
      <c r="S378" t="inlineStr">
        <is>
          <t>D-A2</t>
        </is>
      </c>
      <c r="T378" t="inlineStr">
        <is>
          <t>资本品（设备按天摊销材料量）；2009 and 2010 measurement campaign (Gesan-Guiziou, personnal</t>
        </is>
      </c>
    </row>
    <row r="379">
      <c r="A379" t="inlineStr">
        <is>
          <t>CT-MCH-07C</t>
        </is>
      </c>
      <c r="B379" t="inlineStr">
        <is>
          <t>流</t>
        </is>
      </c>
      <c r="C379" t="inlineStr">
        <is>
          <t>FL-MCH-07C</t>
        </is>
      </c>
      <c r="D379" t="inlineStr">
        <is>
          <t>SRC-RAW</t>
        </is>
      </c>
      <c r="E379" t="inlineStr">
        <is>
          <t>PR07 Machines段（Pumps）</t>
        </is>
      </c>
      <c r="F379" t="inlineStr">
        <is>
          <t>Pumps / engine / copper</t>
        </is>
      </c>
      <c r="G379" t="n">
        <v>0.00294</v>
      </c>
      <c r="H379" t="inlineStr">
        <is>
          <t>kg/d</t>
        </is>
      </c>
      <c r="I379" t="inlineStr">
        <is>
          <t>1天生产</t>
        </is>
      </c>
      <c r="J379" t="inlineStr">
        <is>
          <t>1天生产工况</t>
        </is>
      </c>
      <c r="K379" t="inlineStr">
        <is>
          <t>FIXED</t>
        </is>
      </c>
      <c r="Q379" t="inlineStr">
        <is>
          <t>可直接比较</t>
        </is>
      </c>
      <c r="R379" t="inlineStr">
        <is>
          <t>采用</t>
        </is>
      </c>
      <c r="S379" t="inlineStr">
        <is>
          <t>D-A2</t>
        </is>
      </c>
      <c r="T379" t="inlineStr">
        <is>
          <t>资本品（设备按天摊销材料量）；2009 and 2010 measurement campaign (Gesan-Guiziou, personnal</t>
        </is>
      </c>
    </row>
    <row r="380">
      <c r="A380" t="inlineStr">
        <is>
          <t>CT-MCH-07D</t>
        </is>
      </c>
      <c r="B380" t="inlineStr">
        <is>
          <t>流</t>
        </is>
      </c>
      <c r="C380" t="inlineStr">
        <is>
          <t>FL-MCH-07D</t>
        </is>
      </c>
      <c r="D380" t="inlineStr">
        <is>
          <t>SRC-RAW</t>
        </is>
      </c>
      <c r="E380" t="inlineStr">
        <is>
          <t>PR07 Machines段（Pumps）</t>
        </is>
      </c>
      <c r="F380" t="inlineStr">
        <is>
          <t>Pumps / Aluminium</t>
        </is>
      </c>
      <c r="G380" t="n">
        <v>0.00571</v>
      </c>
      <c r="H380" t="inlineStr">
        <is>
          <t>kg/d</t>
        </is>
      </c>
      <c r="I380" t="inlineStr">
        <is>
          <t>1天生产</t>
        </is>
      </c>
      <c r="J380" t="inlineStr">
        <is>
          <t>1天生产工况</t>
        </is>
      </c>
      <c r="K380" t="inlineStr">
        <is>
          <t>FIXED</t>
        </is>
      </c>
      <c r="Q380" t="inlineStr">
        <is>
          <t>可直接比较</t>
        </is>
      </c>
      <c r="R380" t="inlineStr">
        <is>
          <t>采用</t>
        </is>
      </c>
      <c r="S380" t="inlineStr">
        <is>
          <t>D-A2</t>
        </is>
      </c>
      <c r="T380" t="inlineStr">
        <is>
          <t>资本品（设备按天摊销材料量）；2009 and 2010 measurement campaign (Gesan-Guiziou, personnal</t>
        </is>
      </c>
    </row>
    <row r="381">
      <c r="A381" t="inlineStr">
        <is>
          <t>CT-MCH-08A</t>
        </is>
      </c>
      <c r="B381" t="inlineStr">
        <is>
          <t>流</t>
        </is>
      </c>
      <c r="C381" t="inlineStr">
        <is>
          <t>FL-MCH-08A</t>
        </is>
      </c>
      <c r="D381" t="inlineStr">
        <is>
          <t>SRC-RAW</t>
        </is>
      </c>
      <c r="E381" t="inlineStr">
        <is>
          <t>PR08 Machines段（Installation d'ultrafiltration）</t>
        </is>
      </c>
      <c r="F381" t="inlineStr">
        <is>
          <t>Installation d'ultrafiltration / organic membrane / Polyethersulfone</t>
        </is>
      </c>
      <c r="G381" t="n">
        <v>0.38</v>
      </c>
      <c r="H381" t="inlineStr">
        <is>
          <t>kg/d</t>
        </is>
      </c>
      <c r="I381" t="inlineStr">
        <is>
          <t>1天生产</t>
        </is>
      </c>
      <c r="J381" t="inlineStr">
        <is>
          <t>1天生产工况</t>
        </is>
      </c>
      <c r="K381" t="inlineStr">
        <is>
          <t>FIXED</t>
        </is>
      </c>
      <c r="Q381" t="inlineStr">
        <is>
          <t>可直接比较</t>
        </is>
      </c>
      <c r="R381" t="inlineStr">
        <is>
          <t>采用</t>
        </is>
      </c>
      <c r="S381" t="inlineStr">
        <is>
          <t>D-A2</t>
        </is>
      </c>
      <c r="T381" t="inlineStr">
        <is>
          <t>资本品（设备按天摊销材料量）；for ultrafiltration</t>
        </is>
      </c>
    </row>
    <row r="382">
      <c r="A382" t="inlineStr">
        <is>
          <t>CT-MCH-08B</t>
        </is>
      </c>
      <c r="B382" t="inlineStr">
        <is>
          <t>流</t>
        </is>
      </c>
      <c r="C382" t="inlineStr">
        <is>
          <t>FL-MCH-08B</t>
        </is>
      </c>
      <c r="D382" t="inlineStr">
        <is>
          <t>SRC-RAW</t>
        </is>
      </c>
      <c r="E382" t="inlineStr">
        <is>
          <t>PR08 Machines段（Installation d'ultrafiltration）</t>
        </is>
      </c>
      <c r="F382" t="inlineStr">
        <is>
          <t>Installation d'ultrafiltration / Polyamide</t>
        </is>
      </c>
      <c r="G382" t="n">
        <v>0</v>
      </c>
      <c r="H382" t="inlineStr">
        <is>
          <t>kg/d</t>
        </is>
      </c>
      <c r="I382" t="inlineStr">
        <is>
          <t>1天生产</t>
        </is>
      </c>
      <c r="J382" t="inlineStr">
        <is>
          <t>1天生产工况</t>
        </is>
      </c>
      <c r="K382" t="inlineStr">
        <is>
          <t>FIXED</t>
        </is>
      </c>
      <c r="Q382" t="inlineStr">
        <is>
          <t>可直接比较</t>
        </is>
      </c>
      <c r="R382" t="inlineStr">
        <is>
          <t>采用</t>
        </is>
      </c>
      <c r="S382" t="inlineStr">
        <is>
          <t>D-A2</t>
        </is>
      </c>
      <c r="T382" t="inlineStr">
        <is>
          <t>资本品（设备按天摊销材料量）；for reverse osmosis</t>
        </is>
      </c>
    </row>
    <row r="383">
      <c r="A383" t="inlineStr">
        <is>
          <t>CT-MCH-08C</t>
        </is>
      </c>
      <c r="B383" t="inlineStr">
        <is>
          <t>流</t>
        </is>
      </c>
      <c r="C383" t="inlineStr">
        <is>
          <t>FL-MCH-08C</t>
        </is>
      </c>
      <c r="D383" t="inlineStr">
        <is>
          <t>SRC-RAW</t>
        </is>
      </c>
      <c r="E383" t="inlineStr">
        <is>
          <t>PR08 Machines段（Installation d'ultrafiltration）</t>
        </is>
      </c>
      <c r="F383" t="inlineStr">
        <is>
          <t>Installation d'ultrafiltration / Polyester</t>
        </is>
      </c>
      <c r="G383" t="n">
        <v>0.2</v>
      </c>
      <c r="H383" t="inlineStr">
        <is>
          <t>kg/d</t>
        </is>
      </c>
      <c r="I383" t="inlineStr">
        <is>
          <t>1天生产</t>
        </is>
      </c>
      <c r="J383" t="inlineStr">
        <is>
          <t>1天生产工况</t>
        </is>
      </c>
      <c r="K383" t="inlineStr">
        <is>
          <t>FIXED</t>
        </is>
      </c>
      <c r="Q383" t="inlineStr">
        <is>
          <t>可直接比较</t>
        </is>
      </c>
      <c r="R383" t="inlineStr">
        <is>
          <t>采用</t>
        </is>
      </c>
      <c r="S383" t="inlineStr">
        <is>
          <t>D-A2</t>
        </is>
      </c>
      <c r="T383" t="inlineStr">
        <is>
          <t>资本品（设备按天摊销材料量）；membrane support</t>
        </is>
      </c>
    </row>
    <row r="384">
      <c r="A384" t="inlineStr">
        <is>
          <t>CT-MCH-08D</t>
        </is>
      </c>
      <c r="B384" t="inlineStr">
        <is>
          <t>流</t>
        </is>
      </c>
      <c r="C384" t="inlineStr">
        <is>
          <t>FL-MCH-08D</t>
        </is>
      </c>
      <c r="D384" t="inlineStr">
        <is>
          <t>SRC-RAW</t>
        </is>
      </c>
      <c r="E384" t="inlineStr">
        <is>
          <t>PR08 Machines段（Installation d'ultrafiltration）</t>
        </is>
      </c>
      <c r="F384" t="inlineStr">
        <is>
          <t>Installation d'ultrafiltration / Polypropylene</t>
        </is>
      </c>
      <c r="G384" t="n">
        <v>0.38</v>
      </c>
      <c r="H384" t="inlineStr">
        <is>
          <t>kg/d</t>
        </is>
      </c>
      <c r="I384" t="inlineStr">
        <is>
          <t>1天生产</t>
        </is>
      </c>
      <c r="J384" t="inlineStr">
        <is>
          <t>1天生产工况</t>
        </is>
      </c>
      <c r="K384" t="inlineStr">
        <is>
          <t>FIXED</t>
        </is>
      </c>
      <c r="Q384" t="inlineStr">
        <is>
          <t>可直接比较</t>
        </is>
      </c>
      <c r="R384" t="inlineStr">
        <is>
          <t>采用</t>
        </is>
      </c>
      <c r="S384" t="inlineStr">
        <is>
          <t>D-A2</t>
        </is>
      </c>
      <c r="T384" t="inlineStr">
        <is>
          <t>资本品（设备按天摊销材料量）；spacer grid</t>
        </is>
      </c>
    </row>
    <row r="385">
      <c r="A385" t="inlineStr">
        <is>
          <t>CT-MCH-08E</t>
        </is>
      </c>
      <c r="B385" t="inlineStr">
        <is>
          <t>流</t>
        </is>
      </c>
      <c r="C385" t="inlineStr">
        <is>
          <t>FL-MCH-08E</t>
        </is>
      </c>
      <c r="D385" t="inlineStr">
        <is>
          <t>SRC-RAW</t>
        </is>
      </c>
      <c r="E385" t="inlineStr">
        <is>
          <t>PR08 Machines段（Installation d'ultrafiltration）</t>
        </is>
      </c>
      <c r="F385" t="inlineStr">
        <is>
          <t>Installation d'ultrafiltration / glu</t>
        </is>
      </c>
      <c r="G385" t="n">
        <v>0.18</v>
      </c>
      <c r="H385" t="inlineStr">
        <is>
          <t>kg/d</t>
        </is>
      </c>
      <c r="I385" t="inlineStr">
        <is>
          <t>1天生产</t>
        </is>
      </c>
      <c r="J385" t="inlineStr">
        <is>
          <t>1天生产工况</t>
        </is>
      </c>
      <c r="K385" t="inlineStr">
        <is>
          <t>FIXED</t>
        </is>
      </c>
      <c r="Q385" t="inlineStr">
        <is>
          <t>可直接比较</t>
        </is>
      </c>
      <c r="R385" t="inlineStr">
        <is>
          <t>采用</t>
        </is>
      </c>
      <c r="S385" t="inlineStr">
        <is>
          <t>D-A2</t>
        </is>
      </c>
      <c r="T385" t="inlineStr">
        <is>
          <t>资本品（设备按天摊销材料量）</t>
        </is>
      </c>
    </row>
    <row r="386">
      <c r="A386" t="inlineStr">
        <is>
          <t>CT-MCH-08F</t>
        </is>
      </c>
      <c r="B386" t="inlineStr">
        <is>
          <t>流</t>
        </is>
      </c>
      <c r="C386" t="inlineStr">
        <is>
          <t>FL-MCH-08F</t>
        </is>
      </c>
      <c r="D386" t="inlineStr">
        <is>
          <t>SRC-RAW</t>
        </is>
      </c>
      <c r="E386" t="inlineStr">
        <is>
          <t>PR08 Machines段（Installation d'ultrafiltration）</t>
        </is>
      </c>
      <c r="F386" t="inlineStr">
        <is>
          <t>Installation d'ultrafiltration / PET</t>
        </is>
      </c>
      <c r="G386" t="n">
        <v>0.27</v>
      </c>
      <c r="H386" t="inlineStr">
        <is>
          <t>kg/d</t>
        </is>
      </c>
      <c r="I386" t="inlineStr">
        <is>
          <t>1天生产</t>
        </is>
      </c>
      <c r="J386" t="inlineStr">
        <is>
          <t>1天生产工况</t>
        </is>
      </c>
      <c r="K386" t="inlineStr">
        <is>
          <t>FIXED</t>
        </is>
      </c>
      <c r="Q386" t="inlineStr">
        <is>
          <t>可直接比较</t>
        </is>
      </c>
      <c r="R386" t="inlineStr">
        <is>
          <t>采用</t>
        </is>
      </c>
      <c r="S386" t="inlineStr">
        <is>
          <t>D-A2</t>
        </is>
      </c>
      <c r="T386" t="inlineStr">
        <is>
          <t>资本品（设备按天摊销材料量）</t>
        </is>
      </c>
    </row>
    <row r="387">
      <c r="A387" t="inlineStr">
        <is>
          <t>CT-MCH-08G</t>
        </is>
      </c>
      <c r="B387" t="inlineStr">
        <is>
          <t>流</t>
        </is>
      </c>
      <c r="C387" t="inlineStr">
        <is>
          <t>FL-MCH-08G</t>
        </is>
      </c>
      <c r="D387" t="inlineStr">
        <is>
          <t>SRC-RAW</t>
        </is>
      </c>
      <c r="E387" t="inlineStr">
        <is>
          <t>PR08 Machines段（Installation d'ultrafiltration）</t>
        </is>
      </c>
      <c r="F387" t="inlineStr">
        <is>
          <t>Installation d'ultrafiltration / membrane carter / stainless steel</t>
        </is>
      </c>
      <c r="G387" t="n">
        <v>0.89</v>
      </c>
      <c r="H387" t="inlineStr">
        <is>
          <t>kg/d</t>
        </is>
      </c>
      <c r="I387" t="inlineStr">
        <is>
          <t>1天生产</t>
        </is>
      </c>
      <c r="J387" t="inlineStr">
        <is>
          <t>1天生产工况</t>
        </is>
      </c>
      <c r="K387" t="inlineStr">
        <is>
          <t>FIXED</t>
        </is>
      </c>
      <c r="Q387" t="inlineStr">
        <is>
          <t>可直接比较</t>
        </is>
      </c>
      <c r="R387" t="inlineStr">
        <is>
          <t>采用</t>
        </is>
      </c>
      <c r="S387" t="inlineStr">
        <is>
          <t>D-A2</t>
        </is>
      </c>
      <c r="T387" t="inlineStr">
        <is>
          <t>资本品（设备按天摊销材料量）</t>
        </is>
      </c>
    </row>
    <row r="388">
      <c r="A388" t="inlineStr">
        <is>
          <t>CT-MCH-08H</t>
        </is>
      </c>
      <c r="B388" t="inlineStr">
        <is>
          <t>流</t>
        </is>
      </c>
      <c r="C388" t="inlineStr">
        <is>
          <t>FL-MCH-08H</t>
        </is>
      </c>
      <c r="D388" t="inlineStr">
        <is>
          <t>SRC-RAW</t>
        </is>
      </c>
      <c r="E388" t="inlineStr">
        <is>
          <t>PR08 Machines段（Installation d'ultrafiltration）</t>
        </is>
      </c>
      <c r="F388" t="inlineStr">
        <is>
          <t>Installation d'ultrafiltration / pumps / Aluminium</t>
        </is>
      </c>
      <c r="G388" t="n">
        <v>0.28</v>
      </c>
      <c r="H388" t="inlineStr">
        <is>
          <t>kg/d</t>
        </is>
      </c>
      <c r="I388" t="inlineStr">
        <is>
          <t>1天生产</t>
        </is>
      </c>
      <c r="J388" t="inlineStr">
        <is>
          <t>1天生产工况</t>
        </is>
      </c>
      <c r="K388" t="inlineStr">
        <is>
          <t>FIXED</t>
        </is>
      </c>
      <c r="Q388" t="inlineStr">
        <is>
          <t>可直接比较</t>
        </is>
      </c>
      <c r="R388" t="inlineStr">
        <is>
          <t>采用</t>
        </is>
      </c>
      <c r="S388" t="inlineStr">
        <is>
          <t>D-A2</t>
        </is>
      </c>
      <c r="T388" t="inlineStr">
        <is>
          <t>资本品（设备按天摊销材料量）</t>
        </is>
      </c>
    </row>
    <row r="389">
      <c r="A389" t="inlineStr">
        <is>
          <t>CT-MCH-08I</t>
        </is>
      </c>
      <c r="B389" t="inlineStr">
        <is>
          <t>流</t>
        </is>
      </c>
      <c r="C389" t="inlineStr">
        <is>
          <t>FL-MCH-08I</t>
        </is>
      </c>
      <c r="D389" t="inlineStr">
        <is>
          <t>SRC-RAW</t>
        </is>
      </c>
      <c r="E389" t="inlineStr">
        <is>
          <t>PR08 Machines段（Installation d'ultrafiltration）</t>
        </is>
      </c>
      <c r="F389" t="inlineStr">
        <is>
          <t>Installation d'ultrafiltration / copper</t>
        </is>
      </c>
      <c r="G389" t="n">
        <v>0.14</v>
      </c>
      <c r="H389" t="inlineStr">
        <is>
          <t>kg/d</t>
        </is>
      </c>
      <c r="I389" t="inlineStr">
        <is>
          <t>1天生产</t>
        </is>
      </c>
      <c r="J389" t="inlineStr">
        <is>
          <t>1天生产工况</t>
        </is>
      </c>
      <c r="K389" t="inlineStr">
        <is>
          <t>FIXED</t>
        </is>
      </c>
      <c r="Q389" t="inlineStr">
        <is>
          <t>可直接比较</t>
        </is>
      </c>
      <c r="R389" t="inlineStr">
        <is>
          <t>采用</t>
        </is>
      </c>
      <c r="S389" t="inlineStr">
        <is>
          <t>D-A2</t>
        </is>
      </c>
      <c r="T389" t="inlineStr">
        <is>
          <t>资本品（设备按天摊销材料量）</t>
        </is>
      </c>
    </row>
    <row r="390">
      <c r="A390" t="inlineStr">
        <is>
          <t>CT-MCH-08J</t>
        </is>
      </c>
      <c r="B390" t="inlineStr">
        <is>
          <t>流</t>
        </is>
      </c>
      <c r="C390" t="inlineStr">
        <is>
          <t>FL-MCH-08J</t>
        </is>
      </c>
      <c r="D390" t="inlineStr">
        <is>
          <t>SRC-RAW</t>
        </is>
      </c>
      <c r="E390" t="inlineStr">
        <is>
          <t>PR08 Machines段（Installation d'ultrafiltration）</t>
        </is>
      </c>
      <c r="F390" t="inlineStr">
        <is>
          <t>Installation d'ultrafiltration / Polypropylene</t>
        </is>
      </c>
      <c r="G390" t="n">
        <v>0.002</v>
      </c>
      <c r="H390" t="inlineStr">
        <is>
          <t>kg/d</t>
        </is>
      </c>
      <c r="I390" t="inlineStr">
        <is>
          <t>1天生产</t>
        </is>
      </c>
      <c r="J390" t="inlineStr">
        <is>
          <t>1天生产工况</t>
        </is>
      </c>
      <c r="K390" t="inlineStr">
        <is>
          <t>FIXED</t>
        </is>
      </c>
      <c r="Q390" t="inlineStr">
        <is>
          <t>可直接比较</t>
        </is>
      </c>
      <c r="R390" t="inlineStr">
        <is>
          <t>采用</t>
        </is>
      </c>
      <c r="S390" t="inlineStr">
        <is>
          <t>D-A2</t>
        </is>
      </c>
      <c r="T390" t="inlineStr">
        <is>
          <t>资本品（设备按天摊销材料量）</t>
        </is>
      </c>
    </row>
    <row r="391">
      <c r="A391" t="inlineStr">
        <is>
          <t>CT-MCH-08K</t>
        </is>
      </c>
      <c r="B391" t="inlineStr">
        <is>
          <t>流</t>
        </is>
      </c>
      <c r="C391" t="inlineStr">
        <is>
          <t>FL-MCH-08K</t>
        </is>
      </c>
      <c r="D391" t="inlineStr">
        <is>
          <t>SRC-RAW</t>
        </is>
      </c>
      <c r="E391" t="inlineStr">
        <is>
          <t>PR08 Machines段（Installation d'ultrafiltration）</t>
        </is>
      </c>
      <c r="F391" t="inlineStr">
        <is>
          <t>Installation d'ultrafiltration / rings / EPDM</t>
        </is>
      </c>
      <c r="G391" t="n">
        <v>0.1</v>
      </c>
      <c r="H391" t="inlineStr">
        <is>
          <t>kg/d</t>
        </is>
      </c>
      <c r="I391" t="inlineStr">
        <is>
          <t>1天生产</t>
        </is>
      </c>
      <c r="J391" t="inlineStr">
        <is>
          <t>1天生产工况</t>
        </is>
      </c>
      <c r="K391" t="inlineStr">
        <is>
          <t>FIXED</t>
        </is>
      </c>
      <c r="Q391" t="inlineStr">
        <is>
          <t>可直接比较</t>
        </is>
      </c>
      <c r="R391" t="inlineStr">
        <is>
          <t>采用</t>
        </is>
      </c>
      <c r="S391" t="inlineStr">
        <is>
          <t>D-A2</t>
        </is>
      </c>
      <c r="T391" t="inlineStr">
        <is>
          <t>资本品（设备按天摊销材料量）</t>
        </is>
      </c>
    </row>
    <row r="392">
      <c r="A392" t="inlineStr">
        <is>
          <t>CT-MCH-08L</t>
        </is>
      </c>
      <c r="B392" t="inlineStr">
        <is>
          <t>流</t>
        </is>
      </c>
      <c r="C392" t="inlineStr">
        <is>
          <t>FL-MCH-08L</t>
        </is>
      </c>
      <c r="D392" t="inlineStr">
        <is>
          <t>SRC-RAW</t>
        </is>
      </c>
      <c r="E392" t="inlineStr">
        <is>
          <t>PR08 Machines段（Installation d'ultrafiltration）</t>
        </is>
      </c>
      <c r="F392" t="inlineStr">
        <is>
          <t>Installation d'ultrafiltration / silicon carbide</t>
        </is>
      </c>
      <c r="G392" t="n">
        <v>0.002</v>
      </c>
      <c r="H392" t="inlineStr">
        <is>
          <t>kg/d</t>
        </is>
      </c>
      <c r="I392" t="inlineStr">
        <is>
          <t>1天生产</t>
        </is>
      </c>
      <c r="J392" t="inlineStr">
        <is>
          <t>1天生产工况</t>
        </is>
      </c>
      <c r="K392" t="inlineStr">
        <is>
          <t>FIXED</t>
        </is>
      </c>
      <c r="Q392" t="inlineStr">
        <is>
          <t>可直接比较</t>
        </is>
      </c>
      <c r="R392" t="inlineStr">
        <is>
          <t>采用</t>
        </is>
      </c>
      <c r="S392" t="inlineStr">
        <is>
          <t>D-A2</t>
        </is>
      </c>
      <c r="T392" t="inlineStr">
        <is>
          <t>资本品（设备按天摊销材料量）</t>
        </is>
      </c>
    </row>
    <row r="393">
      <c r="A393" t="inlineStr">
        <is>
          <t>CT-MCH-09A</t>
        </is>
      </c>
      <c r="B393" t="inlineStr">
        <is>
          <t>流</t>
        </is>
      </c>
      <c r="C393" t="inlineStr">
        <is>
          <t>FL-MCH-09A</t>
        </is>
      </c>
      <c r="D393" t="inlineStr">
        <is>
          <t>SRC-RAW</t>
        </is>
      </c>
      <c r="E393" t="inlineStr">
        <is>
          <t>PR09 Machines段（cooling and storage of UF whey concentrate）</t>
        </is>
      </c>
      <c r="F393" t="inlineStr">
        <is>
          <t>cooling and storage of UF whey concentrate / rings / synthetic rubber</t>
        </is>
      </c>
      <c r="G393" t="n">
        <v>0.006</v>
      </c>
      <c r="H393" t="inlineStr">
        <is>
          <t>kg/d</t>
        </is>
      </c>
      <c r="I393" t="inlineStr">
        <is>
          <t>1天生产</t>
        </is>
      </c>
      <c r="J393" t="inlineStr">
        <is>
          <t>1天生产工况</t>
        </is>
      </c>
      <c r="K393" t="inlineStr">
        <is>
          <t>FIXED</t>
        </is>
      </c>
      <c r="Q393" t="inlineStr">
        <is>
          <t>可直接比较</t>
        </is>
      </c>
      <c r="R393" t="inlineStr">
        <is>
          <t>采用</t>
        </is>
      </c>
      <c r="S393" t="inlineStr">
        <is>
          <t>D-A2</t>
        </is>
      </c>
      <c r="T393" t="inlineStr">
        <is>
          <t>资本品（设备按天摊销材料量）；Gésan-Guiziou et al. (2019)</t>
        </is>
      </c>
    </row>
    <row r="394">
      <c r="A394" t="inlineStr">
        <is>
          <t>CT-MCH-09B</t>
        </is>
      </c>
      <c r="B394" t="inlineStr">
        <is>
          <t>流</t>
        </is>
      </c>
      <c r="C394" t="inlineStr">
        <is>
          <t>FL-MCH-09B</t>
        </is>
      </c>
      <c r="D394" t="inlineStr">
        <is>
          <t>SRC-RAW</t>
        </is>
      </c>
      <c r="E394" t="inlineStr">
        <is>
          <t>PR09 Machines段（cooling and storage of UF whey concentrate）</t>
        </is>
      </c>
      <c r="F394" t="inlineStr">
        <is>
          <t>cooling and storage of UF whey concentrate / structure / stainless steel</t>
        </is>
      </c>
      <c r="G394" t="n">
        <v>0.385</v>
      </c>
      <c r="H394" t="inlineStr">
        <is>
          <t>kg/d</t>
        </is>
      </c>
      <c r="I394" t="inlineStr">
        <is>
          <t>1天生产</t>
        </is>
      </c>
      <c r="J394" t="inlineStr">
        <is>
          <t>1天生产工况</t>
        </is>
      </c>
      <c r="K394" t="inlineStr">
        <is>
          <t>FIXED</t>
        </is>
      </c>
      <c r="Q394" t="inlineStr">
        <is>
          <t>可直接比较</t>
        </is>
      </c>
      <c r="R394" t="inlineStr">
        <is>
          <t>采用</t>
        </is>
      </c>
      <c r="S394" t="inlineStr">
        <is>
          <t>D-A2</t>
        </is>
      </c>
      <c r="T394" t="inlineStr">
        <is>
          <t>资本品（设备按天摊销材料量）；Gésan-Guiziou et al. (2019)</t>
        </is>
      </c>
    </row>
    <row r="395">
      <c r="A395" t="inlineStr">
        <is>
          <t>CT-MCH-10A</t>
        </is>
      </c>
      <c r="B395" t="inlineStr">
        <is>
          <t>流</t>
        </is>
      </c>
      <c r="C395" t="inlineStr">
        <is>
          <t>FL-MCH-10A</t>
        </is>
      </c>
      <c r="D395" t="inlineStr">
        <is>
          <t>SRC-RAW</t>
        </is>
      </c>
      <c r="E395" t="inlineStr">
        <is>
          <t>PR10 Machines段（Transport and transfert）</t>
        </is>
      </c>
      <c r="F395" t="inlineStr">
        <is>
          <t>Transport and transfert / pumps / stainless steel</t>
        </is>
      </c>
      <c r="G395" t="n">
        <v>0.118</v>
      </c>
      <c r="H395" t="inlineStr">
        <is>
          <t>kg/d</t>
        </is>
      </c>
      <c r="I395" t="inlineStr">
        <is>
          <t>1天生产</t>
        </is>
      </c>
      <c r="J395" t="inlineStr">
        <is>
          <t>1天生产工况</t>
        </is>
      </c>
      <c r="K395" t="inlineStr">
        <is>
          <t>FIXED</t>
        </is>
      </c>
      <c r="Q395" t="inlineStr">
        <is>
          <t>可直接比较</t>
        </is>
      </c>
      <c r="R395" t="inlineStr">
        <is>
          <t>采用</t>
        </is>
      </c>
      <c r="S395" t="inlineStr">
        <is>
          <t>D-A2</t>
        </is>
      </c>
      <c r="T395" t="inlineStr">
        <is>
          <t>资本品（设备按天摊销材料量）；truck as background data (from databases)</t>
        </is>
      </c>
    </row>
    <row r="396">
      <c r="A396" t="inlineStr">
        <is>
          <t>CT-MCH-10B</t>
        </is>
      </c>
      <c r="B396" t="inlineStr">
        <is>
          <t>流</t>
        </is>
      </c>
      <c r="C396" t="inlineStr">
        <is>
          <t>FL-MCH-10B</t>
        </is>
      </c>
      <c r="D396" t="inlineStr">
        <is>
          <t>SRC-RAW</t>
        </is>
      </c>
      <c r="E396" t="inlineStr">
        <is>
          <t>PR10 Machines段（Transport and transfert）</t>
        </is>
      </c>
      <c r="F396" t="inlineStr">
        <is>
          <t>Transport and transfert / copper</t>
        </is>
      </c>
      <c r="G396" t="n">
        <v>0.00291</v>
      </c>
      <c r="H396" t="inlineStr">
        <is>
          <t>kg/d</t>
        </is>
      </c>
      <c r="I396" t="inlineStr">
        <is>
          <t>1天生产</t>
        </is>
      </c>
      <c r="J396" t="inlineStr">
        <is>
          <t>1天生产工况</t>
        </is>
      </c>
      <c r="K396" t="inlineStr">
        <is>
          <t>FIXED</t>
        </is>
      </c>
      <c r="Q396" t="inlineStr">
        <is>
          <t>可直接比较</t>
        </is>
      </c>
      <c r="R396" t="inlineStr">
        <is>
          <t>采用</t>
        </is>
      </c>
      <c r="S396" t="inlineStr">
        <is>
          <t>D-A2</t>
        </is>
      </c>
      <c r="T396" t="inlineStr">
        <is>
          <t>资本品（设备按天摊销材料量）；Gésan-Guiziou et al. (2019)</t>
        </is>
      </c>
    </row>
    <row r="397">
      <c r="A397" t="inlineStr">
        <is>
          <t>CT-MCH-10C</t>
        </is>
      </c>
      <c r="B397" t="inlineStr">
        <is>
          <t>流</t>
        </is>
      </c>
      <c r="C397" t="inlineStr">
        <is>
          <t>FL-MCH-10C</t>
        </is>
      </c>
      <c r="D397" t="inlineStr">
        <is>
          <t>SRC-RAW</t>
        </is>
      </c>
      <c r="E397" t="inlineStr">
        <is>
          <t>PR10 Machines段（Transport and transfert）</t>
        </is>
      </c>
      <c r="F397" t="inlineStr">
        <is>
          <t>Transport and transfert / Aluminium</t>
        </is>
      </c>
      <c r="G397" t="n">
        <v>0.00564</v>
      </c>
      <c r="H397" t="inlineStr">
        <is>
          <t>kg/d</t>
        </is>
      </c>
      <c r="I397" t="inlineStr">
        <is>
          <t>1天生产</t>
        </is>
      </c>
      <c r="J397" t="inlineStr">
        <is>
          <t>1天生产工况</t>
        </is>
      </c>
      <c r="K397" t="inlineStr">
        <is>
          <t>FIXED</t>
        </is>
      </c>
      <c r="Q397" t="inlineStr">
        <is>
          <t>可直接比较</t>
        </is>
      </c>
      <c r="R397" t="inlineStr">
        <is>
          <t>采用</t>
        </is>
      </c>
      <c r="S397" t="inlineStr">
        <is>
          <t>D-A2</t>
        </is>
      </c>
      <c r="T397" t="inlineStr">
        <is>
          <t>资本品（设备按天摊销材料量）；Gésan-Guiziou et al. (2019)</t>
        </is>
      </c>
    </row>
    <row r="398">
      <c r="A398" t="inlineStr">
        <is>
          <t>CT-MCH-11A</t>
        </is>
      </c>
      <c r="B398" t="inlineStr">
        <is>
          <t>流</t>
        </is>
      </c>
      <c r="C398" t="inlineStr">
        <is>
          <t>FL-MCH-11A</t>
        </is>
      </c>
      <c r="D398" t="inlineStr">
        <is>
          <t>SRC-RAW</t>
        </is>
      </c>
      <c r="E398" t="inlineStr">
        <is>
          <t>PR11 Machines段（Installation d'Osmose Inverse）</t>
        </is>
      </c>
      <c r="F398" t="inlineStr">
        <is>
          <t>Installation d'Osmose Inverse / organic membrane / Polyethersulfone</t>
        </is>
      </c>
      <c r="G398" t="n">
        <v>0</v>
      </c>
      <c r="H398" t="inlineStr">
        <is>
          <t>kg/d</t>
        </is>
      </c>
      <c r="I398" t="inlineStr">
        <is>
          <t>1天生产</t>
        </is>
      </c>
      <c r="J398" t="inlineStr">
        <is>
          <t>1天生产工况</t>
        </is>
      </c>
      <c r="K398" t="inlineStr">
        <is>
          <t>FIXED</t>
        </is>
      </c>
      <c r="Q398" t="inlineStr">
        <is>
          <t>可直接比较</t>
        </is>
      </c>
      <c r="R398" t="inlineStr">
        <is>
          <t>采用</t>
        </is>
      </c>
      <c r="S398" t="inlineStr">
        <is>
          <t>D-A2</t>
        </is>
      </c>
      <c r="T398" t="inlineStr">
        <is>
          <t>资本品（设备按天摊销材料量）；for ultrafiltration</t>
        </is>
      </c>
    </row>
    <row r="399">
      <c r="A399" t="inlineStr">
        <is>
          <t>CT-MCH-11B</t>
        </is>
      </c>
      <c r="B399" t="inlineStr">
        <is>
          <t>流</t>
        </is>
      </c>
      <c r="C399" t="inlineStr">
        <is>
          <t>FL-MCH-11B</t>
        </is>
      </c>
      <c r="D399" t="inlineStr">
        <is>
          <t>SRC-RAW</t>
        </is>
      </c>
      <c r="E399" t="inlineStr">
        <is>
          <t>PR11 Machines段（Installation d'Osmose Inverse）</t>
        </is>
      </c>
      <c r="F399" t="inlineStr">
        <is>
          <t>Installation d'Osmose Inverse / Polyamide</t>
        </is>
      </c>
      <c r="G399" t="n">
        <v>0.15</v>
      </c>
      <c r="H399" t="inlineStr">
        <is>
          <t>kg/d</t>
        </is>
      </c>
      <c r="I399" t="inlineStr">
        <is>
          <t>1天生产</t>
        </is>
      </c>
      <c r="J399" t="inlineStr">
        <is>
          <t>1天生产工况</t>
        </is>
      </c>
      <c r="K399" t="inlineStr">
        <is>
          <t>FIXED</t>
        </is>
      </c>
      <c r="Q399" t="inlineStr">
        <is>
          <t>可直接比较</t>
        </is>
      </c>
      <c r="R399" t="inlineStr">
        <is>
          <t>采用</t>
        </is>
      </c>
      <c r="S399" t="inlineStr">
        <is>
          <t>D-A2</t>
        </is>
      </c>
      <c r="T399" t="inlineStr">
        <is>
          <t>资本品（设备按天摊销材料量）；for reverse osmosis</t>
        </is>
      </c>
    </row>
    <row r="400">
      <c r="A400" t="inlineStr">
        <is>
          <t>CT-MCH-11C</t>
        </is>
      </c>
      <c r="B400" t="inlineStr">
        <is>
          <t>流</t>
        </is>
      </c>
      <c r="C400" t="inlineStr">
        <is>
          <t>FL-MCH-11C</t>
        </is>
      </c>
      <c r="D400" t="inlineStr">
        <is>
          <t>SRC-RAW</t>
        </is>
      </c>
      <c r="E400" t="inlineStr">
        <is>
          <t>PR11 Machines段（Installation d'Osmose Inverse）</t>
        </is>
      </c>
      <c r="F400" t="inlineStr">
        <is>
          <t>Installation d'Osmose Inverse / Polyester</t>
        </is>
      </c>
      <c r="G400" t="n">
        <v>0.15</v>
      </c>
      <c r="H400" t="inlineStr">
        <is>
          <t>kg/d</t>
        </is>
      </c>
      <c r="I400" t="inlineStr">
        <is>
          <t>1天生产</t>
        </is>
      </c>
      <c r="J400" t="inlineStr">
        <is>
          <t>1天生产工况</t>
        </is>
      </c>
      <c r="K400" t="inlineStr">
        <is>
          <t>FIXED</t>
        </is>
      </c>
      <c r="Q400" t="inlineStr">
        <is>
          <t>可直接比较</t>
        </is>
      </c>
      <c r="R400" t="inlineStr">
        <is>
          <t>采用</t>
        </is>
      </c>
      <c r="S400" t="inlineStr">
        <is>
          <t>D-A2</t>
        </is>
      </c>
      <c r="T400" t="inlineStr">
        <is>
          <t>资本品（设备按天摊销材料量）；membrane support</t>
        </is>
      </c>
    </row>
    <row r="401">
      <c r="A401" t="inlineStr">
        <is>
          <t>CT-MCH-11D</t>
        </is>
      </c>
      <c r="B401" t="inlineStr">
        <is>
          <t>流</t>
        </is>
      </c>
      <c r="C401" t="inlineStr">
        <is>
          <t>FL-MCH-11D</t>
        </is>
      </c>
      <c r="D401" t="inlineStr">
        <is>
          <t>SRC-RAW</t>
        </is>
      </c>
      <c r="E401" t="inlineStr">
        <is>
          <t>PR11 Machines段（Installation d'Osmose Inverse）</t>
        </is>
      </c>
      <c r="F401" t="inlineStr">
        <is>
          <t>Installation d'Osmose Inverse / Polypropylene</t>
        </is>
      </c>
      <c r="G401" t="n">
        <v>0.3</v>
      </c>
      <c r="H401" t="inlineStr">
        <is>
          <t>kg/d</t>
        </is>
      </c>
      <c r="I401" t="inlineStr">
        <is>
          <t>1天生产</t>
        </is>
      </c>
      <c r="J401" t="inlineStr">
        <is>
          <t>1天生产工况</t>
        </is>
      </c>
      <c r="K401" t="inlineStr">
        <is>
          <t>FIXED</t>
        </is>
      </c>
      <c r="Q401" t="inlineStr">
        <is>
          <t>可直接比较</t>
        </is>
      </c>
      <c r="R401" t="inlineStr">
        <is>
          <t>采用</t>
        </is>
      </c>
      <c r="S401" t="inlineStr">
        <is>
          <t>D-A2</t>
        </is>
      </c>
      <c r="T401" t="inlineStr">
        <is>
          <t>资本品（设备按天摊销材料量）；spacer grid</t>
        </is>
      </c>
    </row>
    <row r="402">
      <c r="A402" t="inlineStr">
        <is>
          <t>CT-MCH-11E</t>
        </is>
      </c>
      <c r="B402" t="inlineStr">
        <is>
          <t>流</t>
        </is>
      </c>
      <c r="C402" t="inlineStr">
        <is>
          <t>FL-MCH-11E</t>
        </is>
      </c>
      <c r="D402" t="inlineStr">
        <is>
          <t>SRC-RAW</t>
        </is>
      </c>
      <c r="E402" t="inlineStr">
        <is>
          <t>PR11 Machines段（Installation d'Osmose Inverse）</t>
        </is>
      </c>
      <c r="F402" t="inlineStr">
        <is>
          <t>Installation d'Osmose Inverse / glu</t>
        </is>
      </c>
      <c r="G402" t="n">
        <v>0.14</v>
      </c>
      <c r="H402" t="inlineStr">
        <is>
          <t>kg/d</t>
        </is>
      </c>
      <c r="I402" t="inlineStr">
        <is>
          <t>1天生产</t>
        </is>
      </c>
      <c r="J402" t="inlineStr">
        <is>
          <t>1天生产工况</t>
        </is>
      </c>
      <c r="K402" t="inlineStr">
        <is>
          <t>FIXED</t>
        </is>
      </c>
      <c r="Q402" t="inlineStr">
        <is>
          <t>可直接比较</t>
        </is>
      </c>
      <c r="R402" t="inlineStr">
        <is>
          <t>采用</t>
        </is>
      </c>
      <c r="S402" t="inlineStr">
        <is>
          <t>D-A2</t>
        </is>
      </c>
      <c r="T402" t="inlineStr">
        <is>
          <t>资本品（设备按天摊销材料量）</t>
        </is>
      </c>
    </row>
    <row r="403">
      <c r="A403" t="inlineStr">
        <is>
          <t>CT-MCH-11F</t>
        </is>
      </c>
      <c r="B403" t="inlineStr">
        <is>
          <t>流</t>
        </is>
      </c>
      <c r="C403" t="inlineStr">
        <is>
          <t>FL-MCH-11F</t>
        </is>
      </c>
      <c r="D403" t="inlineStr">
        <is>
          <t>SRC-RAW</t>
        </is>
      </c>
      <c r="E403" t="inlineStr">
        <is>
          <t>PR11 Machines段（Installation d'Osmose Inverse）</t>
        </is>
      </c>
      <c r="F403" t="inlineStr">
        <is>
          <t>Installation d'Osmose Inverse / PET</t>
        </is>
      </c>
      <c r="G403" t="n">
        <v>0.21</v>
      </c>
      <c r="H403" t="inlineStr">
        <is>
          <t>kg/d</t>
        </is>
      </c>
      <c r="I403" t="inlineStr">
        <is>
          <t>1天生产</t>
        </is>
      </c>
      <c r="J403" t="inlineStr">
        <is>
          <t>1天生产工况</t>
        </is>
      </c>
      <c r="K403" t="inlineStr">
        <is>
          <t>FIXED</t>
        </is>
      </c>
      <c r="Q403" t="inlineStr">
        <is>
          <t>可直接比较</t>
        </is>
      </c>
      <c r="R403" t="inlineStr">
        <is>
          <t>采用</t>
        </is>
      </c>
      <c r="S403" t="inlineStr">
        <is>
          <t>D-A2</t>
        </is>
      </c>
      <c r="T403" t="inlineStr">
        <is>
          <t>资本品（设备按天摊销材料量）</t>
        </is>
      </c>
    </row>
    <row r="404">
      <c r="A404" t="inlineStr">
        <is>
          <t>CT-MCH-11G</t>
        </is>
      </c>
      <c r="B404" t="inlineStr">
        <is>
          <t>流</t>
        </is>
      </c>
      <c r="C404" t="inlineStr">
        <is>
          <t>FL-MCH-11G</t>
        </is>
      </c>
      <c r="D404" t="inlineStr">
        <is>
          <t>SRC-RAW</t>
        </is>
      </c>
      <c r="E404" t="inlineStr">
        <is>
          <t>PR11 Machines段（Installation d'Osmose Inverse）</t>
        </is>
      </c>
      <c r="F404" t="inlineStr">
        <is>
          <t>Installation d'Osmose Inverse / membrane carter / stainless steel</t>
        </is>
      </c>
      <c r="G404" t="n">
        <v>0.6899999999999999</v>
      </c>
      <c r="H404" t="inlineStr">
        <is>
          <t>kg/d</t>
        </is>
      </c>
      <c r="I404" t="inlineStr">
        <is>
          <t>1天生产</t>
        </is>
      </c>
      <c r="J404" t="inlineStr">
        <is>
          <t>1天生产工况</t>
        </is>
      </c>
      <c r="K404" t="inlineStr">
        <is>
          <t>FIXED</t>
        </is>
      </c>
      <c r="Q404" t="inlineStr">
        <is>
          <t>可直接比较</t>
        </is>
      </c>
      <c r="R404" t="inlineStr">
        <is>
          <t>采用</t>
        </is>
      </c>
      <c r="S404" t="inlineStr">
        <is>
          <t>D-A2</t>
        </is>
      </c>
      <c r="T404" t="inlineStr">
        <is>
          <t>资本品（设备按天摊销材料量）</t>
        </is>
      </c>
    </row>
    <row r="405">
      <c r="A405" t="inlineStr">
        <is>
          <t>CT-MCH-11H</t>
        </is>
      </c>
      <c r="B405" t="inlineStr">
        <is>
          <t>流</t>
        </is>
      </c>
      <c r="C405" t="inlineStr">
        <is>
          <t>FL-MCH-11H</t>
        </is>
      </c>
      <c r="D405" t="inlineStr">
        <is>
          <t>SRC-RAW</t>
        </is>
      </c>
      <c r="E405" t="inlineStr">
        <is>
          <t>PR11 Machines段（Installation d'Osmose Inverse）</t>
        </is>
      </c>
      <c r="F405" t="inlineStr">
        <is>
          <t>Installation d'Osmose Inverse / pumps / Aluminium</t>
        </is>
      </c>
      <c r="G405" t="n">
        <v>0.22</v>
      </c>
      <c r="H405" t="inlineStr">
        <is>
          <t>kg/d</t>
        </is>
      </c>
      <c r="I405" t="inlineStr">
        <is>
          <t>1天生产</t>
        </is>
      </c>
      <c r="J405" t="inlineStr">
        <is>
          <t>1天生产工况</t>
        </is>
      </c>
      <c r="K405" t="inlineStr">
        <is>
          <t>FIXED</t>
        </is>
      </c>
      <c r="Q405" t="inlineStr">
        <is>
          <t>可直接比较</t>
        </is>
      </c>
      <c r="R405" t="inlineStr">
        <is>
          <t>采用</t>
        </is>
      </c>
      <c r="S405" t="inlineStr">
        <is>
          <t>D-A2</t>
        </is>
      </c>
      <c r="T405" t="inlineStr">
        <is>
          <t>资本品（设备按天摊销材料量）</t>
        </is>
      </c>
    </row>
    <row r="406">
      <c r="A406" t="inlineStr">
        <is>
          <t>CT-MCH-11I</t>
        </is>
      </c>
      <c r="B406" t="inlineStr">
        <is>
          <t>流</t>
        </is>
      </c>
      <c r="C406" t="inlineStr">
        <is>
          <t>FL-MCH-11I</t>
        </is>
      </c>
      <c r="D406" t="inlineStr">
        <is>
          <t>SRC-RAW</t>
        </is>
      </c>
      <c r="E406" t="inlineStr">
        <is>
          <t>PR11 Machines段（Installation d'Osmose Inverse）</t>
        </is>
      </c>
      <c r="F406" t="inlineStr">
        <is>
          <t>Installation d'Osmose Inverse / copper</t>
        </is>
      </c>
      <c r="G406" t="n">
        <v>0.11</v>
      </c>
      <c r="H406" t="inlineStr">
        <is>
          <t>kg/d</t>
        </is>
      </c>
      <c r="I406" t="inlineStr">
        <is>
          <t>1天生产</t>
        </is>
      </c>
      <c r="J406" t="inlineStr">
        <is>
          <t>1天生产工况</t>
        </is>
      </c>
      <c r="K406" t="inlineStr">
        <is>
          <t>FIXED</t>
        </is>
      </c>
      <c r="Q406" t="inlineStr">
        <is>
          <t>可直接比较</t>
        </is>
      </c>
      <c r="R406" t="inlineStr">
        <is>
          <t>采用</t>
        </is>
      </c>
      <c r="S406" t="inlineStr">
        <is>
          <t>D-A2</t>
        </is>
      </c>
      <c r="T406" t="inlineStr">
        <is>
          <t>资本品（设备按天摊销材料量）</t>
        </is>
      </c>
    </row>
    <row r="407">
      <c r="A407" t="inlineStr">
        <is>
          <t>CT-MCH-11J</t>
        </is>
      </c>
      <c r="B407" t="inlineStr">
        <is>
          <t>流</t>
        </is>
      </c>
      <c r="C407" t="inlineStr">
        <is>
          <t>FL-MCH-11J</t>
        </is>
      </c>
      <c r="D407" t="inlineStr">
        <is>
          <t>SRC-RAW</t>
        </is>
      </c>
      <c r="E407" t="inlineStr">
        <is>
          <t>PR11 Machines段（Installation d'Osmose Inverse）</t>
        </is>
      </c>
      <c r="F407" t="inlineStr">
        <is>
          <t>Installation d'Osmose Inverse / Polypropylene</t>
        </is>
      </c>
      <c r="G407" t="n">
        <v>0.002</v>
      </c>
      <c r="H407" t="inlineStr">
        <is>
          <t>kg/d</t>
        </is>
      </c>
      <c r="I407" t="inlineStr">
        <is>
          <t>1天生产</t>
        </is>
      </c>
      <c r="J407" t="inlineStr">
        <is>
          <t>1天生产工况</t>
        </is>
      </c>
      <c r="K407" t="inlineStr">
        <is>
          <t>FIXED</t>
        </is>
      </c>
      <c r="Q407" t="inlineStr">
        <is>
          <t>可直接比较</t>
        </is>
      </c>
      <c r="R407" t="inlineStr">
        <is>
          <t>采用</t>
        </is>
      </c>
      <c r="S407" t="inlineStr">
        <is>
          <t>D-A2</t>
        </is>
      </c>
      <c r="T407" t="inlineStr">
        <is>
          <t>资本品（设备按天摊销材料量）</t>
        </is>
      </c>
    </row>
    <row r="408">
      <c r="A408" t="inlineStr">
        <is>
          <t>CT-MCH-11K</t>
        </is>
      </c>
      <c r="B408" t="inlineStr">
        <is>
          <t>流</t>
        </is>
      </c>
      <c r="C408" t="inlineStr">
        <is>
          <t>FL-MCH-11K</t>
        </is>
      </c>
      <c r="D408" t="inlineStr">
        <is>
          <t>SRC-RAW</t>
        </is>
      </c>
      <c r="E408" t="inlineStr">
        <is>
          <t>PR11 Machines段（Installation d'Osmose Inverse）</t>
        </is>
      </c>
      <c r="F408" t="inlineStr">
        <is>
          <t>Installation d'Osmose Inverse / rings / EPDM</t>
        </is>
      </c>
      <c r="G408" t="n">
        <v>0.08</v>
      </c>
      <c r="H408" t="inlineStr">
        <is>
          <t>kg/d</t>
        </is>
      </c>
      <c r="I408" t="inlineStr">
        <is>
          <t>1天生产</t>
        </is>
      </c>
      <c r="J408" t="inlineStr">
        <is>
          <t>1天生产工况</t>
        </is>
      </c>
      <c r="K408" t="inlineStr">
        <is>
          <t>FIXED</t>
        </is>
      </c>
      <c r="Q408" t="inlineStr">
        <is>
          <t>可直接比较</t>
        </is>
      </c>
      <c r="R408" t="inlineStr">
        <is>
          <t>采用</t>
        </is>
      </c>
      <c r="S408" t="inlineStr">
        <is>
          <t>D-A2</t>
        </is>
      </c>
      <c r="T408" t="inlineStr">
        <is>
          <t>资本品（设备按天摊销材料量）</t>
        </is>
      </c>
    </row>
    <row r="409">
      <c r="A409" t="inlineStr">
        <is>
          <t>CT-MCH-11L</t>
        </is>
      </c>
      <c r="B409" t="inlineStr">
        <is>
          <t>流</t>
        </is>
      </c>
      <c r="C409" t="inlineStr">
        <is>
          <t>FL-MCH-11L</t>
        </is>
      </c>
      <c r="D409" t="inlineStr">
        <is>
          <t>SRC-RAW</t>
        </is>
      </c>
      <c r="E409" t="inlineStr">
        <is>
          <t>PR11 Machines段（Installation d'Osmose Inverse）</t>
        </is>
      </c>
      <c r="F409" t="inlineStr">
        <is>
          <t>Installation d'Osmose Inverse / silicon carbide</t>
        </is>
      </c>
      <c r="G409" t="n">
        <v>0</v>
      </c>
      <c r="H409" t="inlineStr">
        <is>
          <t>kg/d</t>
        </is>
      </c>
      <c r="I409" t="inlineStr">
        <is>
          <t>1天生产</t>
        </is>
      </c>
      <c r="J409" t="inlineStr">
        <is>
          <t>1天生产工况</t>
        </is>
      </c>
      <c r="K409" t="inlineStr">
        <is>
          <t>FIXED</t>
        </is>
      </c>
      <c r="Q409" t="inlineStr">
        <is>
          <t>可直接比较</t>
        </is>
      </c>
      <c r="R409" t="inlineStr">
        <is>
          <t>采用</t>
        </is>
      </c>
      <c r="S409" t="inlineStr">
        <is>
          <t>D-A2</t>
        </is>
      </c>
      <c r="T409" t="inlineStr">
        <is>
          <t>资本品（设备按天摊销材料量）</t>
        </is>
      </c>
    </row>
    <row r="410">
      <c r="A410" t="inlineStr">
        <is>
          <t>CT-MCH-12A</t>
        </is>
      </c>
      <c r="B410" t="inlineStr">
        <is>
          <t>流</t>
        </is>
      </c>
      <c r="C410" t="inlineStr">
        <is>
          <t>FL-MCH-12A</t>
        </is>
      </c>
      <c r="D410" t="inlineStr">
        <is>
          <t>SRC-RAW</t>
        </is>
      </c>
      <c r="E410" t="inlineStr">
        <is>
          <t>PR12 Machines段（Tank）</t>
        </is>
      </c>
      <c r="F410" t="inlineStr">
        <is>
          <t>Tank / Structure / stainless steel</t>
        </is>
      </c>
      <c r="G410" t="n">
        <v>0.92</v>
      </c>
      <c r="H410" t="inlineStr">
        <is>
          <t>kg/d</t>
        </is>
      </c>
      <c r="I410" t="inlineStr">
        <is>
          <t>1天生产</t>
        </is>
      </c>
      <c r="J410" t="inlineStr">
        <is>
          <t>1天生产工况</t>
        </is>
      </c>
      <c r="K410" t="inlineStr">
        <is>
          <t>FIXED</t>
        </is>
      </c>
      <c r="Q410" t="inlineStr">
        <is>
          <t>可直接比较</t>
        </is>
      </c>
      <c r="R410" t="inlineStr">
        <is>
          <t>采用</t>
        </is>
      </c>
      <c r="S410" t="inlineStr">
        <is>
          <t>D-A2</t>
        </is>
      </c>
      <c r="T410" t="inlineStr">
        <is>
          <t>资本品（设备按天摊销材料量）；2009 and 2010 measurement campaign (Gesan-Guiziou, personnal</t>
        </is>
      </c>
    </row>
    <row r="411">
      <c r="A411" t="inlineStr">
        <is>
          <t>CT-MCH-12B</t>
        </is>
      </c>
      <c r="B411" t="inlineStr">
        <is>
          <t>流</t>
        </is>
      </c>
      <c r="C411" t="inlineStr">
        <is>
          <t>FL-MCH-12B</t>
        </is>
      </c>
      <c r="D411" t="inlineStr">
        <is>
          <t>SRC-RAW</t>
        </is>
      </c>
      <c r="E411" t="inlineStr">
        <is>
          <t>PR12 Machines段（Tank）</t>
        </is>
      </c>
      <c r="F411" t="inlineStr">
        <is>
          <t>Tank / rings / synthetic rubber</t>
        </is>
      </c>
      <c r="G411" t="n">
        <v>0.01</v>
      </c>
      <c r="H411" t="inlineStr">
        <is>
          <t>kg/d</t>
        </is>
      </c>
      <c r="I411" t="inlineStr">
        <is>
          <t>1天生产</t>
        </is>
      </c>
      <c r="J411" t="inlineStr">
        <is>
          <t>1天生产工况</t>
        </is>
      </c>
      <c r="K411" t="inlineStr">
        <is>
          <t>FIXED</t>
        </is>
      </c>
      <c r="Q411" t="inlineStr">
        <is>
          <t>可直接比较</t>
        </is>
      </c>
      <c r="R411" t="inlineStr">
        <is>
          <t>采用</t>
        </is>
      </c>
      <c r="S411" t="inlineStr">
        <is>
          <t>D-A2</t>
        </is>
      </c>
      <c r="T411" t="inlineStr">
        <is>
          <t>资本品（设备按天摊销材料量）；2009 and 2010 measurement campaign (Gesan-Guiziou, personnal</t>
        </is>
      </c>
    </row>
    <row r="412">
      <c r="A412" t="inlineStr">
        <is>
          <t>CT-WW-20</t>
        </is>
      </c>
      <c r="B412" t="inlineStr">
        <is>
          <t>流</t>
        </is>
      </c>
      <c r="C412" t="inlineStr">
        <is>
          <t>FL-WW-20</t>
        </is>
      </c>
      <c r="D412" t="inlineStr">
        <is>
          <t>SRC-RAW</t>
        </is>
      </c>
      <c r="E412" t="inlineStr">
        <is>
          <t>20_STEP Materials段</t>
        </is>
      </c>
      <c r="F412" t="inlineStr">
        <is>
          <t>wastewater (from cleaning)</t>
        </is>
      </c>
      <c r="G412" t="n">
        <v>191.7</v>
      </c>
      <c r="H412" t="inlineStr">
        <is>
          <t>m3/d</t>
        </is>
      </c>
      <c r="I412" t="inlineStr">
        <is>
          <t>1天生产</t>
        </is>
      </c>
      <c r="J412" t="inlineStr">
        <is>
          <t>1天生产工况</t>
        </is>
      </c>
      <c r="K412" t="inlineStr">
        <is>
          <t>FIXED</t>
        </is>
      </c>
      <c r="Q412" t="inlineStr">
        <is>
          <t>可直接比较</t>
        </is>
      </c>
      <c r="R412" t="inlineStr">
        <is>
          <t>采用</t>
        </is>
      </c>
      <c r="S412" t="inlineStr">
        <is>
          <t>D-A2</t>
        </is>
      </c>
      <c r="T412" t="inlineStr">
        <is>
          <t>全链清洗废水汇总</t>
        </is>
      </c>
    </row>
    <row r="413">
      <c r="A413" t="inlineStr">
        <is>
          <t>CT-FECL</t>
        </is>
      </c>
      <c r="B413" t="inlineStr">
        <is>
          <t>流</t>
        </is>
      </c>
      <c r="C413" t="inlineStr">
        <is>
          <t>FL-FECL</t>
        </is>
      </c>
      <c r="D413" t="inlineStr">
        <is>
          <t>SRC-RAW</t>
        </is>
      </c>
      <c r="E413" t="inlineStr">
        <is>
          <t>20_STEP Materials段</t>
        </is>
      </c>
      <c r="F413" t="inlineStr">
        <is>
          <t>FeCl</t>
        </is>
      </c>
      <c r="G413" t="n">
        <v>12</v>
      </c>
      <c r="H413" t="inlineStr">
        <is>
          <t>kg/d</t>
        </is>
      </c>
      <c r="I413" t="inlineStr">
        <is>
          <t>1天生产</t>
        </is>
      </c>
      <c r="J413" t="inlineStr">
        <is>
          <t>1天生产工况</t>
        </is>
      </c>
      <c r="K413" t="inlineStr">
        <is>
          <t>FIXED</t>
        </is>
      </c>
      <c r="Q413" t="inlineStr">
        <is>
          <t>可直接比较</t>
        </is>
      </c>
      <c r="R413" t="inlineStr">
        <is>
          <t>采用</t>
        </is>
      </c>
      <c r="S413" t="inlineStr">
        <is>
          <t>D-A2</t>
        </is>
      </c>
    </row>
    <row r="414">
      <c r="A414" t="inlineStr">
        <is>
          <t>CT-TEW-20</t>
        </is>
      </c>
      <c r="B414" t="inlineStr">
        <is>
          <t>流</t>
        </is>
      </c>
      <c r="C414" t="inlineStr">
        <is>
          <t>FL-TEW-20</t>
        </is>
      </c>
      <c r="D414" t="inlineStr">
        <is>
          <t>SRC-RAW</t>
        </is>
      </c>
      <c r="E414" t="inlineStr">
        <is>
          <t>20_STEP Outputs段</t>
        </is>
      </c>
      <c r="F414" t="inlineStr">
        <is>
          <t>treated water (proxy project)</t>
        </is>
      </c>
      <c r="G414" t="n">
        <v>450</v>
      </c>
      <c r="H414" t="inlineStr">
        <is>
          <t>m3/d</t>
        </is>
      </c>
      <c r="I414" t="inlineStr">
        <is>
          <t>1天生产</t>
        </is>
      </c>
      <c r="J414" t="inlineStr">
        <is>
          <t>1天生产工况</t>
        </is>
      </c>
      <c r="K414" t="inlineStr">
        <is>
          <t>FIXED</t>
        </is>
      </c>
      <c r="Q414" t="inlineStr">
        <is>
          <t>可直接比较</t>
        </is>
      </c>
      <c r="R414" t="inlineStr">
        <is>
          <t>采用</t>
        </is>
      </c>
      <c r="S414" t="inlineStr">
        <is>
          <t>D-A2</t>
        </is>
      </c>
      <c r="T414" t="inlineStr">
        <is>
          <t>出水（proxy参考流450 m³/d，见Q-16）</t>
        </is>
      </c>
    </row>
    <row r="415">
      <c r="A415" t="inlineStr">
        <is>
          <t>CT-TSS-20</t>
        </is>
      </c>
      <c r="B415" t="inlineStr">
        <is>
          <t>流</t>
        </is>
      </c>
      <c r="C415" t="inlineStr">
        <is>
          <t>FL-TSS-20</t>
        </is>
      </c>
      <c r="D415" t="inlineStr">
        <is>
          <t>SRC-RAW</t>
        </is>
      </c>
      <c r="E415" t="inlineStr">
        <is>
          <t>20_STEP Outputs段</t>
        </is>
      </c>
      <c r="F415" t="inlineStr">
        <is>
          <t>TSS</t>
        </is>
      </c>
      <c r="G415" t="n">
        <v>15.75</v>
      </c>
      <c r="H415" t="inlineStr">
        <is>
          <t>kg/d</t>
        </is>
      </c>
      <c r="I415" t="inlineStr">
        <is>
          <t>1天生产</t>
        </is>
      </c>
      <c r="J415" t="inlineStr">
        <is>
          <t>1天生产工况</t>
        </is>
      </c>
      <c r="K415" t="inlineStr">
        <is>
          <t>FIXED</t>
        </is>
      </c>
      <c r="Q415" t="inlineStr">
        <is>
          <t>可直接比较</t>
        </is>
      </c>
      <c r="R415" t="inlineStr">
        <is>
          <t>采用</t>
        </is>
      </c>
      <c r="S415" t="inlineStr">
        <is>
          <t>D-A2</t>
        </is>
      </c>
      <c r="T415" t="inlineStr">
        <is>
          <t>出水悬浮物</t>
        </is>
      </c>
    </row>
    <row r="416">
      <c r="A416" t="inlineStr">
        <is>
          <t>CT-CODW-20</t>
        </is>
      </c>
      <c r="B416" t="inlineStr">
        <is>
          <t>流</t>
        </is>
      </c>
      <c r="C416" t="inlineStr">
        <is>
          <t>FL-CODW-20</t>
        </is>
      </c>
      <c r="D416" t="inlineStr">
        <is>
          <t>SRC-RAW</t>
        </is>
      </c>
      <c r="E416" t="inlineStr">
        <is>
          <t>20_STEP Outputs段</t>
        </is>
      </c>
      <c r="F416" t="inlineStr">
        <is>
          <t>COD</t>
        </is>
      </c>
      <c r="G416" t="n">
        <v>56.25</v>
      </c>
      <c r="H416" t="inlineStr">
        <is>
          <t>kg/d</t>
        </is>
      </c>
      <c r="I416" t="inlineStr">
        <is>
          <t>1天生产</t>
        </is>
      </c>
      <c r="J416" t="inlineStr">
        <is>
          <t>1天生产工况</t>
        </is>
      </c>
      <c r="K416" t="inlineStr">
        <is>
          <t>FIXED</t>
        </is>
      </c>
      <c r="Q416" t="inlineStr">
        <is>
          <t>可直接比较</t>
        </is>
      </c>
      <c r="R416" t="inlineStr">
        <is>
          <t>采用</t>
        </is>
      </c>
      <c r="S416" t="inlineStr">
        <is>
          <t>D-A2</t>
        </is>
      </c>
      <c r="T416" t="inlineStr">
        <is>
          <t>出水COD</t>
        </is>
      </c>
    </row>
    <row r="417">
      <c r="A417" t="inlineStr">
        <is>
          <t>CT-BOD-20</t>
        </is>
      </c>
      <c r="B417" t="inlineStr">
        <is>
          <t>流</t>
        </is>
      </c>
      <c r="C417" t="inlineStr">
        <is>
          <t>FL-BOD-20</t>
        </is>
      </c>
      <c r="D417" t="inlineStr">
        <is>
          <t>SRC-RAW</t>
        </is>
      </c>
      <c r="E417" t="inlineStr">
        <is>
          <t>20_STEP Outputs段</t>
        </is>
      </c>
      <c r="F417" t="inlineStr">
        <is>
          <t>BOD5</t>
        </is>
      </c>
      <c r="G417" t="n">
        <v>16.2</v>
      </c>
      <c r="H417" t="inlineStr">
        <is>
          <t>kg/d</t>
        </is>
      </c>
      <c r="I417" t="inlineStr">
        <is>
          <t>1天生产</t>
        </is>
      </c>
      <c r="J417" t="inlineStr">
        <is>
          <t>1天生产工况</t>
        </is>
      </c>
      <c r="K417" t="inlineStr">
        <is>
          <t>FIXED</t>
        </is>
      </c>
      <c r="Q417" t="inlineStr">
        <is>
          <t>可直接比较</t>
        </is>
      </c>
      <c r="R417" t="inlineStr">
        <is>
          <t>采用</t>
        </is>
      </c>
      <c r="S417" t="inlineStr">
        <is>
          <t>D-A2</t>
        </is>
      </c>
      <c r="T417" t="inlineStr">
        <is>
          <t>出水BOD5</t>
        </is>
      </c>
    </row>
    <row r="418">
      <c r="A418" t="inlineStr">
        <is>
          <t>CT-TN-20</t>
        </is>
      </c>
      <c r="B418" t="inlineStr">
        <is>
          <t>流</t>
        </is>
      </c>
      <c r="C418" t="inlineStr">
        <is>
          <t>FL-TN-20</t>
        </is>
      </c>
      <c r="D418" t="inlineStr">
        <is>
          <t>SRC-RAW</t>
        </is>
      </c>
      <c r="E418" t="inlineStr">
        <is>
          <t>20_STEP Outputs段</t>
        </is>
      </c>
      <c r="F418" t="inlineStr">
        <is>
          <t>TN</t>
        </is>
      </c>
      <c r="G418" t="n">
        <v>2.25</v>
      </c>
      <c r="H418" t="inlineStr">
        <is>
          <t>kg/d</t>
        </is>
      </c>
      <c r="I418" t="inlineStr">
        <is>
          <t>1天生产</t>
        </is>
      </c>
      <c r="J418" t="inlineStr">
        <is>
          <t>1天生产工况</t>
        </is>
      </c>
      <c r="K418" t="inlineStr">
        <is>
          <t>FIXED</t>
        </is>
      </c>
      <c r="Q418" t="inlineStr">
        <is>
          <t>可直接比较</t>
        </is>
      </c>
      <c r="R418" t="inlineStr">
        <is>
          <t>采用</t>
        </is>
      </c>
      <c r="S418" t="inlineStr">
        <is>
          <t>D-A2</t>
        </is>
      </c>
      <c r="T418" t="inlineStr">
        <is>
          <t>出水总氮</t>
        </is>
      </c>
    </row>
    <row r="419">
      <c r="A419" t="inlineStr">
        <is>
          <t>CT-TP-20</t>
        </is>
      </c>
      <c r="B419" t="inlineStr">
        <is>
          <t>流</t>
        </is>
      </c>
      <c r="C419" t="inlineStr">
        <is>
          <t>FL-TP-20</t>
        </is>
      </c>
      <c r="D419" t="inlineStr">
        <is>
          <t>SRC-RAW</t>
        </is>
      </c>
      <c r="E419" t="inlineStr">
        <is>
          <t>20_STEP Outputs段</t>
        </is>
      </c>
      <c r="F419" t="inlineStr">
        <is>
          <t>TP</t>
        </is>
      </c>
      <c r="G419" t="n">
        <v>0.45</v>
      </c>
      <c r="H419" t="inlineStr">
        <is>
          <t>kg/d</t>
        </is>
      </c>
      <c r="I419" t="inlineStr">
        <is>
          <t>1天生产</t>
        </is>
      </c>
      <c r="J419" t="inlineStr">
        <is>
          <t>1天生产工况</t>
        </is>
      </c>
      <c r="K419" t="inlineStr">
        <is>
          <t>FIXED</t>
        </is>
      </c>
      <c r="Q419" t="inlineStr">
        <is>
          <t>可直接比较</t>
        </is>
      </c>
      <c r="R419" t="inlineStr">
        <is>
          <t>采用</t>
        </is>
      </c>
      <c r="S419" t="inlineStr">
        <is>
          <t>D-A2</t>
        </is>
      </c>
      <c r="T419" t="inlineStr">
        <is>
          <t>出水总磷</t>
        </is>
      </c>
    </row>
    <row r="420">
      <c r="A420" t="inlineStr">
        <is>
          <t>CT-N2-20</t>
        </is>
      </c>
      <c r="B420" t="inlineStr">
        <is>
          <t>流</t>
        </is>
      </c>
      <c r="C420" t="inlineStr">
        <is>
          <t>FL-N2-20</t>
        </is>
      </c>
      <c r="D420" t="inlineStr">
        <is>
          <t>SRC-RAW</t>
        </is>
      </c>
      <c r="E420" t="inlineStr">
        <is>
          <t>20_STEP Outputs段</t>
        </is>
      </c>
      <c r="F420" t="inlineStr">
        <is>
          <t>atmospheric N2</t>
        </is>
      </c>
      <c r="G420" t="n">
        <v>5.75</v>
      </c>
      <c r="H420" t="inlineStr">
        <is>
          <t>kg/d</t>
        </is>
      </c>
      <c r="I420" t="inlineStr">
        <is>
          <t>1天生产</t>
        </is>
      </c>
      <c r="J420" t="inlineStr">
        <is>
          <t>1天生产工况</t>
        </is>
      </c>
      <c r="K420" t="inlineStr">
        <is>
          <t>FIXED</t>
        </is>
      </c>
      <c r="Q420" t="inlineStr">
        <is>
          <t>可直接比较</t>
        </is>
      </c>
      <c r="R420" t="inlineStr">
        <is>
          <t>采用</t>
        </is>
      </c>
      <c r="S420" t="inlineStr">
        <is>
          <t>D-A2</t>
        </is>
      </c>
      <c r="T420" t="inlineStr">
        <is>
          <t>排空气</t>
        </is>
      </c>
    </row>
    <row r="421">
      <c r="A421" t="inlineStr">
        <is>
          <t>CT-SLN-20</t>
        </is>
      </c>
      <c r="B421" t="inlineStr">
        <is>
          <t>流</t>
        </is>
      </c>
      <c r="C421" t="inlineStr">
        <is>
          <t>FL-SLN-20</t>
        </is>
      </c>
      <c r="D421" t="inlineStr">
        <is>
          <t>SRC-RAW</t>
        </is>
      </c>
      <c r="E421" t="inlineStr">
        <is>
          <t>20_STEP Outputs段</t>
        </is>
      </c>
      <c r="F421" t="inlineStr">
        <is>
          <t>Slurry N</t>
        </is>
      </c>
      <c r="G421" t="n">
        <v>12</v>
      </c>
      <c r="H421" t="inlineStr">
        <is>
          <t>kg/d</t>
        </is>
      </c>
      <c r="I421" t="inlineStr">
        <is>
          <t>1天生产</t>
        </is>
      </c>
      <c r="J421" t="inlineStr">
        <is>
          <t>1天生产工况</t>
        </is>
      </c>
      <c r="K421" t="inlineStr">
        <is>
          <t>FIXED</t>
        </is>
      </c>
      <c r="Q421" t="inlineStr">
        <is>
          <t>可直接比较</t>
        </is>
      </c>
      <c r="R421" t="inlineStr">
        <is>
          <t>采用</t>
        </is>
      </c>
      <c r="S421" t="inlineStr">
        <is>
          <t>D-A2</t>
        </is>
      </c>
      <c r="T421" t="inlineStr">
        <is>
          <t>污泥含氮</t>
        </is>
      </c>
    </row>
    <row r="422">
      <c r="A422" t="inlineStr">
        <is>
          <t>CT-SLP-20</t>
        </is>
      </c>
      <c r="B422" t="inlineStr">
        <is>
          <t>流</t>
        </is>
      </c>
      <c r="C422" t="inlineStr">
        <is>
          <t>FL-SLP-20</t>
        </is>
      </c>
      <c r="D422" t="inlineStr">
        <is>
          <t>SRC-RAW</t>
        </is>
      </c>
      <c r="E422" t="inlineStr">
        <is>
          <t>20_STEP Outputs段</t>
        </is>
      </c>
      <c r="F422" t="inlineStr">
        <is>
          <t>Slurry P</t>
        </is>
      </c>
      <c r="G422" t="n">
        <v>4.25</v>
      </c>
      <c r="H422" t="inlineStr">
        <is>
          <t>kg/d</t>
        </is>
      </c>
      <c r="I422" t="inlineStr">
        <is>
          <t>1天生产</t>
        </is>
      </c>
      <c r="J422" t="inlineStr">
        <is>
          <t>1天生产工况</t>
        </is>
      </c>
      <c r="K422" t="inlineStr">
        <is>
          <t>FIXED</t>
        </is>
      </c>
      <c r="Q422" t="inlineStr">
        <is>
          <t>可直接比较</t>
        </is>
      </c>
      <c r="R422" t="inlineStr">
        <is>
          <t>采用</t>
        </is>
      </c>
      <c r="S422" t="inlineStr">
        <is>
          <t>D-A2</t>
        </is>
      </c>
      <c r="T422" t="inlineStr">
        <is>
          <t>污泥含磷</t>
        </is>
      </c>
    </row>
    <row r="423">
      <c r="A423" t="inlineStr">
        <is>
          <t>CT-SLFE-20</t>
        </is>
      </c>
      <c r="B423" t="inlineStr">
        <is>
          <t>流</t>
        </is>
      </c>
      <c r="C423" t="inlineStr">
        <is>
          <t>FL-SLFE-20</t>
        </is>
      </c>
      <c r="D423" t="inlineStr">
        <is>
          <t>SRC-RAW</t>
        </is>
      </c>
      <c r="E423" t="inlineStr">
        <is>
          <t>20_STEP Outputs段</t>
        </is>
      </c>
      <c r="F423" t="inlineStr">
        <is>
          <t>Slurry Fe</t>
        </is>
      </c>
      <c r="G423" t="n">
        <v>7.34426229508197</v>
      </c>
      <c r="H423" t="inlineStr">
        <is>
          <t>kg/d</t>
        </is>
      </c>
      <c r="I423" t="inlineStr">
        <is>
          <t>1天生产</t>
        </is>
      </c>
      <c r="J423" t="inlineStr">
        <is>
          <t>1天生产工况</t>
        </is>
      </c>
      <c r="K423" t="inlineStr">
        <is>
          <t>FIXED</t>
        </is>
      </c>
      <c r="Q423" t="inlineStr">
        <is>
          <t>可直接比较</t>
        </is>
      </c>
      <c r="R423" t="inlineStr">
        <is>
          <t>采用</t>
        </is>
      </c>
      <c r="S423" t="inlineStr">
        <is>
          <t>D-A2</t>
        </is>
      </c>
      <c r="T423" t="inlineStr">
        <is>
          <t>污泥含铁</t>
        </is>
      </c>
    </row>
  </sheetData>
  <dataValidations count="2">
    <dataValidation sqref="Q5:Q200" showDropDown="0" showInputMessage="0" showErrorMessage="0" allowBlank="0" type="list">
      <formula1>"可比,条件可比,不可直接比较,待核实"</formula1>
    </dataValidation>
    <dataValidation sqref="R5:R200" showDropDown="0" showInputMessage="0" showErrorMessage="0" allowBlank="0" type="list">
      <formula1>"候选,采用,排除,待决"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0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5" customWidth="1" min="4" max="4"/>
    <col width="26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30" customWidth="1" min="11" max="11"/>
  </cols>
  <sheetData>
    <row r="1">
      <c r="A1" s="50" t="inlineStr">
        <is>
          <t>参数覆盖度矩阵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0" t="n"/>
      <c r="K1" s="50" t="n"/>
    </row>
    <row r="3">
      <c r="A3" t="inlineStr">
        <is>
          <t>每行一项操作—参数/流需求；只记录证据与可用层级，不重复填写模型数值。</t>
        </is>
      </c>
    </row>
    <row r="4">
      <c r="A4" s="49" t="inlineStr">
        <is>
          <t>覆盖ID</t>
        </is>
      </c>
      <c r="B4" s="49" t="inlineStr">
        <is>
          <t>模块/过程ID</t>
        </is>
      </c>
      <c r="C4" s="49" t="inlineStr">
        <is>
          <t>操作ID</t>
        </is>
      </c>
      <c r="D4" s="49" t="inlineStr">
        <is>
          <t>操作名称</t>
        </is>
      </c>
      <c r="E4" s="49" t="inlineStr">
        <is>
          <t>所需参数/流ID</t>
        </is>
      </c>
      <c r="F4" s="49" t="inlineStr">
        <is>
          <t>数据层级</t>
        </is>
      </c>
      <c r="G4" s="49" t="inlineStr">
        <is>
          <t>证据来源ID</t>
        </is>
      </c>
      <c r="H4" s="49" t="inlineStr">
        <is>
          <t>覆盖状态</t>
        </is>
      </c>
      <c r="I4" s="49" t="inlineStr">
        <is>
          <t>关联问题ID</t>
        </is>
      </c>
      <c r="J4" s="49" t="inlineStr">
        <is>
          <t>绘图可用层级</t>
        </is>
      </c>
      <c r="K4" s="49" t="inlineStr">
        <is>
          <t>备注</t>
        </is>
      </c>
    </row>
    <row r="5">
      <c r="A5" t="inlineStr">
        <is>
          <t>CV-01A</t>
        </is>
      </c>
      <c r="B5" t="inlineStr">
        <is>
          <t>M1</t>
        </is>
      </c>
      <c r="C5" t="inlineStr">
        <is>
          <t>PR01-OP1</t>
        </is>
      </c>
      <c r="D5" t="inlineStr">
        <is>
          <t>收奶冷却储存</t>
        </is>
      </c>
      <c r="E5" t="inlineStr">
        <is>
          <t>进/出料流量与组成</t>
        </is>
      </c>
      <c r="F5" t="inlineStr">
        <is>
          <t>操作级直接给出</t>
        </is>
      </c>
      <c r="G5" t="inlineStr">
        <is>
          <t>SRC-PDF</t>
        </is>
      </c>
      <c r="H5" t="inlineStr">
        <is>
          <t>已覆盖</t>
        </is>
      </c>
      <c r="J5" t="inlineStr">
        <is>
          <t>操作级</t>
        </is>
      </c>
      <c r="K5" t="inlineStr">
        <is>
          <t>运输1370 t·km</t>
        </is>
      </c>
    </row>
    <row r="6">
      <c r="A6" t="inlineStr">
        <is>
          <t>CV-01C</t>
        </is>
      </c>
      <c r="B6" t="inlineStr">
        <is>
          <t>M1</t>
        </is>
      </c>
      <c r="C6" t="inlineStr">
        <is>
          <t>PR01-OP1</t>
        </is>
      </c>
      <c r="D6" t="inlineStr">
        <is>
          <t>收奶冷却储存</t>
        </is>
      </c>
      <c r="E6" t="inlineStr">
        <is>
          <t>电力/蒸汽等能源消耗</t>
        </is>
      </c>
      <c r="F6" t="inlineStr">
        <is>
          <t>操作级直接给出</t>
        </is>
      </c>
      <c r="G6" t="inlineStr">
        <is>
          <t>SRC-RAW</t>
        </is>
      </c>
      <c r="H6" t="inlineStr">
        <is>
          <t>已覆盖</t>
        </is>
      </c>
      <c r="I6" t="inlineStr">
        <is>
          <t>Q-08</t>
        </is>
      </c>
      <c r="J6" t="inlineStr">
        <is>
          <t>操作级</t>
        </is>
      </c>
      <c r="K6" t="inlineStr">
        <is>
          <t>逐步电力kWh/d与燃气热MJ/d（v2补入）</t>
        </is>
      </c>
    </row>
    <row r="7">
      <c r="A7" t="inlineStr">
        <is>
          <t>CV-02A</t>
        </is>
      </c>
      <c r="B7" t="inlineStr">
        <is>
          <t>M1</t>
        </is>
      </c>
      <c r="C7" t="inlineStr">
        <is>
          <t>PR02-OP1</t>
        </is>
      </c>
      <c r="D7" t="inlineStr">
        <is>
          <t>奶脂离心分离</t>
        </is>
      </c>
      <c r="E7" t="inlineStr">
        <is>
          <t>进/出料流量与组成</t>
        </is>
      </c>
      <c r="F7" t="inlineStr">
        <is>
          <t>操作级直接给出</t>
        </is>
      </c>
      <c r="G7" t="inlineStr">
        <is>
          <t>SRC-PDF</t>
        </is>
      </c>
      <c r="H7" t="inlineStr">
        <is>
          <t>已覆盖</t>
        </is>
      </c>
      <c r="J7" t="inlineStr">
        <is>
          <t>操作级</t>
        </is>
      </c>
      <c r="K7" t="inlineStr">
        <is>
          <t>步骤框直接给出V/m/ρ/组成</t>
        </is>
      </c>
    </row>
    <row r="8">
      <c r="A8" t="inlineStr">
        <is>
          <t>CV-02C</t>
        </is>
      </c>
      <c r="B8" t="inlineStr">
        <is>
          <t>M1</t>
        </is>
      </c>
      <c r="C8" t="inlineStr">
        <is>
          <t>PR02-OP1</t>
        </is>
      </c>
      <c r="D8" t="inlineStr">
        <is>
          <t>奶脂离心分离</t>
        </is>
      </c>
      <c r="E8" t="inlineStr">
        <is>
          <t>电力/蒸汽等能源消耗</t>
        </is>
      </c>
      <c r="F8" t="inlineStr">
        <is>
          <t>操作级直接给出</t>
        </is>
      </c>
      <c r="G8" t="inlineStr">
        <is>
          <t>SRC-RAW</t>
        </is>
      </c>
      <c r="H8" t="inlineStr">
        <is>
          <t>已覆盖</t>
        </is>
      </c>
      <c r="I8" t="inlineStr">
        <is>
          <t>Q-08</t>
        </is>
      </c>
      <c r="J8" t="inlineStr">
        <is>
          <t>操作级</t>
        </is>
      </c>
      <c r="K8" t="inlineStr">
        <is>
          <t>逐步电力kWh/d与燃气热MJ/d（v2补入）</t>
        </is>
      </c>
    </row>
    <row r="9">
      <c r="A9" t="inlineStr">
        <is>
          <t>CV-03A</t>
        </is>
      </c>
      <c r="B9" t="inlineStr">
        <is>
          <t>M1</t>
        </is>
      </c>
      <c r="C9" t="inlineStr">
        <is>
          <t>PR03-OP1</t>
        </is>
      </c>
      <c r="D9" t="inlineStr">
        <is>
          <t>奶油冷却储存</t>
        </is>
      </c>
      <c r="E9" t="inlineStr">
        <is>
          <t>进/出料流量与组成</t>
        </is>
      </c>
      <c r="F9" t="inlineStr">
        <is>
          <t>操作级直接给出</t>
        </is>
      </c>
      <c r="G9" t="inlineStr">
        <is>
          <t>SRC-PDF</t>
        </is>
      </c>
      <c r="H9" t="inlineStr">
        <is>
          <t>已覆盖</t>
        </is>
      </c>
      <c r="J9" t="inlineStr">
        <is>
          <t>操作级</t>
        </is>
      </c>
      <c r="K9" t="inlineStr">
        <is>
          <t>步骤框直接给出V/m/ρ/组成</t>
        </is>
      </c>
    </row>
    <row r="10">
      <c r="A10" t="inlineStr">
        <is>
          <t>CV-03C</t>
        </is>
      </c>
      <c r="B10" t="inlineStr">
        <is>
          <t>M1</t>
        </is>
      </c>
      <c r="C10" t="inlineStr">
        <is>
          <t>PR03-OP1</t>
        </is>
      </c>
      <c r="D10" t="inlineStr">
        <is>
          <t>奶油冷却储存</t>
        </is>
      </c>
      <c r="E10" t="inlineStr">
        <is>
          <t>电力/蒸汽等能源消耗</t>
        </is>
      </c>
      <c r="F10" t="inlineStr">
        <is>
          <t>操作级直接给出</t>
        </is>
      </c>
      <c r="G10" t="inlineStr">
        <is>
          <t>SRC-RAW</t>
        </is>
      </c>
      <c r="H10" t="inlineStr">
        <is>
          <t>已覆盖</t>
        </is>
      </c>
      <c r="I10" t="inlineStr">
        <is>
          <t>Q-08</t>
        </is>
      </c>
      <c r="J10" t="inlineStr">
        <is>
          <t>操作级</t>
        </is>
      </c>
      <c r="K10" t="inlineStr">
        <is>
          <t>逐步电力kWh/d与燃气热MJ/d（v2补入）</t>
        </is>
      </c>
    </row>
    <row r="11">
      <c r="A11" t="inlineStr">
        <is>
          <t>CV-04A</t>
        </is>
      </c>
      <c r="B11" t="inlineStr">
        <is>
          <t>M1</t>
        </is>
      </c>
      <c r="C11" t="inlineStr">
        <is>
          <t>PR04-OP1</t>
        </is>
      </c>
      <c r="D11" t="inlineStr">
        <is>
          <t>脱脂奶巴氏杀菌冷却储存</t>
        </is>
      </c>
      <c r="E11" t="inlineStr">
        <is>
          <t>进/出料流量与组成</t>
        </is>
      </c>
      <c r="F11" t="inlineStr">
        <is>
          <t>操作级直接给出</t>
        </is>
      </c>
      <c r="G11" t="inlineStr">
        <is>
          <t>SRC-PDF</t>
        </is>
      </c>
      <c r="H11" t="inlineStr">
        <is>
          <t>已覆盖</t>
        </is>
      </c>
      <c r="J11" t="inlineStr">
        <is>
          <t>操作级</t>
        </is>
      </c>
      <c r="K11" t="inlineStr">
        <is>
          <t>步骤框直接给出V/m/ρ/组成</t>
        </is>
      </c>
    </row>
    <row r="12">
      <c r="A12" t="inlineStr">
        <is>
          <t>CV-04C</t>
        </is>
      </c>
      <c r="B12" t="inlineStr">
        <is>
          <t>M1</t>
        </is>
      </c>
      <c r="C12" t="inlineStr">
        <is>
          <t>PR04-OP1</t>
        </is>
      </c>
      <c r="D12" t="inlineStr">
        <is>
          <t>脱脂奶巴氏杀菌冷却储存</t>
        </is>
      </c>
      <c r="E12" t="inlineStr">
        <is>
          <t>电力/蒸汽等能源消耗</t>
        </is>
      </c>
      <c r="F12" t="inlineStr">
        <is>
          <t>操作级直接给出</t>
        </is>
      </c>
      <c r="G12" t="inlineStr">
        <is>
          <t>SRC-RAW</t>
        </is>
      </c>
      <c r="H12" t="inlineStr">
        <is>
          <t>已覆盖</t>
        </is>
      </c>
      <c r="I12" t="inlineStr">
        <is>
          <t>Q-08</t>
        </is>
      </c>
      <c r="J12" t="inlineStr">
        <is>
          <t>操作级</t>
        </is>
      </c>
      <c r="K12" t="inlineStr">
        <is>
          <t>逐步电力kWh/d与燃气热MJ/d（v2补入）</t>
        </is>
      </c>
    </row>
    <row r="13">
      <c r="A13" t="inlineStr">
        <is>
          <t>CV-05A</t>
        </is>
      </c>
      <c r="B13" t="inlineStr">
        <is>
          <t>M2</t>
        </is>
      </c>
      <c r="C13" t="inlineStr">
        <is>
          <t>PR05-OP1</t>
        </is>
      </c>
      <c r="D13" t="inlineStr">
        <is>
          <t>牛奶蛋白微滤分级</t>
        </is>
      </c>
      <c r="E13" t="inlineStr">
        <is>
          <t>进/出料流量与组成</t>
        </is>
      </c>
      <c r="F13" t="inlineStr">
        <is>
          <t>操作级直接给出</t>
        </is>
      </c>
      <c r="G13" t="inlineStr">
        <is>
          <t>SRC-PDF</t>
        </is>
      </c>
      <c r="H13" t="inlineStr">
        <is>
          <t>已覆盖</t>
        </is>
      </c>
      <c r="J13" t="inlineStr">
        <is>
          <t>操作级</t>
        </is>
      </c>
      <c r="K13" t="inlineStr">
        <is>
          <t>步骤框直接给出V/m/ρ/组成</t>
        </is>
      </c>
    </row>
    <row r="14">
      <c r="A14" t="inlineStr">
        <is>
          <t>CV-05C</t>
        </is>
      </c>
      <c r="B14" t="inlineStr">
        <is>
          <t>M2</t>
        </is>
      </c>
      <c r="C14" t="inlineStr">
        <is>
          <t>PR05-OP1</t>
        </is>
      </c>
      <c r="D14" t="inlineStr">
        <is>
          <t>牛奶蛋白微滤分级</t>
        </is>
      </c>
      <c r="E14" t="inlineStr">
        <is>
          <t>电力/蒸汽等能源消耗</t>
        </is>
      </c>
      <c r="F14" t="inlineStr">
        <is>
          <t>操作级直接给出</t>
        </is>
      </c>
      <c r="G14" t="inlineStr">
        <is>
          <t>SRC-RAW</t>
        </is>
      </c>
      <c r="H14" t="inlineStr">
        <is>
          <t>已覆盖</t>
        </is>
      </c>
      <c r="I14" t="inlineStr">
        <is>
          <t>Q-08</t>
        </is>
      </c>
      <c r="J14" t="inlineStr">
        <is>
          <t>操作级</t>
        </is>
      </c>
      <c r="K14" t="inlineStr">
        <is>
          <t>逐步电力kWh/d与燃气热MJ/d（v2补入）</t>
        </is>
      </c>
    </row>
    <row r="15">
      <c r="A15" t="inlineStr">
        <is>
          <t>CV-06A</t>
        </is>
      </c>
      <c r="B15" t="inlineStr">
        <is>
          <t>M2</t>
        </is>
      </c>
      <c r="C15" t="inlineStr">
        <is>
          <t>PR06-OP1</t>
        </is>
      </c>
      <c r="D15" t="inlineStr">
        <is>
          <t>胶束酪蛋白冷却储存</t>
        </is>
      </c>
      <c r="E15" t="inlineStr">
        <is>
          <t>进/出料流量与组成</t>
        </is>
      </c>
      <c r="F15" t="inlineStr">
        <is>
          <t>操作级直接给出</t>
        </is>
      </c>
      <c r="G15" t="inlineStr">
        <is>
          <t>SRC-PDF</t>
        </is>
      </c>
      <c r="H15" t="inlineStr">
        <is>
          <t>已覆盖</t>
        </is>
      </c>
      <c r="J15" t="inlineStr">
        <is>
          <t>操作级</t>
        </is>
      </c>
      <c r="K15" t="inlineStr">
        <is>
          <t>步骤框直接给出V/m/ρ/组成</t>
        </is>
      </c>
    </row>
    <row r="16">
      <c r="A16" t="inlineStr">
        <is>
          <t>CV-06C</t>
        </is>
      </c>
      <c r="B16" t="inlineStr">
        <is>
          <t>M2</t>
        </is>
      </c>
      <c r="C16" t="inlineStr">
        <is>
          <t>PR06-OP1</t>
        </is>
      </c>
      <c r="D16" t="inlineStr">
        <is>
          <t>胶束酪蛋白冷却储存</t>
        </is>
      </c>
      <c r="E16" t="inlineStr">
        <is>
          <t>电力/蒸汽等能源消耗</t>
        </is>
      </c>
      <c r="F16" t="inlineStr">
        <is>
          <t>操作级直接给出</t>
        </is>
      </c>
      <c r="G16" t="inlineStr">
        <is>
          <t>SRC-RAW</t>
        </is>
      </c>
      <c r="H16" t="inlineStr">
        <is>
          <t>已覆盖</t>
        </is>
      </c>
      <c r="I16" t="inlineStr">
        <is>
          <t>Q-08</t>
        </is>
      </c>
      <c r="J16" t="inlineStr">
        <is>
          <t>操作级</t>
        </is>
      </c>
      <c r="K16" t="inlineStr">
        <is>
          <t>逐步电力kWh/d与燃气热MJ/d（v2补入）</t>
        </is>
      </c>
    </row>
    <row r="17">
      <c r="A17" t="inlineStr">
        <is>
          <t>CV-07A</t>
        </is>
      </c>
      <c r="B17" t="inlineStr">
        <is>
          <t>M2</t>
        </is>
      </c>
      <c r="C17" t="inlineStr">
        <is>
          <t>PR07-OP1</t>
        </is>
      </c>
      <c r="D17" t="inlineStr">
        <is>
          <t>乳清冷却储存</t>
        </is>
      </c>
      <c r="E17" t="inlineStr">
        <is>
          <t>进/出料流量与组成</t>
        </is>
      </c>
      <c r="F17" t="inlineStr">
        <is>
          <t>操作级直接给出</t>
        </is>
      </c>
      <c r="G17" t="inlineStr">
        <is>
          <t>SRC-PDF</t>
        </is>
      </c>
      <c r="H17" t="inlineStr">
        <is>
          <t>已覆盖</t>
        </is>
      </c>
      <c r="J17" t="inlineStr">
        <is>
          <t>操作级</t>
        </is>
      </c>
      <c r="K17" t="inlineStr">
        <is>
          <t>步骤框直接给出V/m/ρ/组成</t>
        </is>
      </c>
    </row>
    <row r="18">
      <c r="A18" t="inlineStr">
        <is>
          <t>CV-07C</t>
        </is>
      </c>
      <c r="B18" t="inlineStr">
        <is>
          <t>M2</t>
        </is>
      </c>
      <c r="C18" t="inlineStr">
        <is>
          <t>PR07-OP1</t>
        </is>
      </c>
      <c r="D18" t="inlineStr">
        <is>
          <t>乳清冷却储存</t>
        </is>
      </c>
      <c r="E18" t="inlineStr">
        <is>
          <t>电力/蒸汽等能源消耗</t>
        </is>
      </c>
      <c r="F18" t="inlineStr">
        <is>
          <t>操作级直接给出</t>
        </is>
      </c>
      <c r="G18" t="inlineStr">
        <is>
          <t>SRC-RAW</t>
        </is>
      </c>
      <c r="H18" t="inlineStr">
        <is>
          <t>已覆盖</t>
        </is>
      </c>
      <c r="I18" t="inlineStr">
        <is>
          <t>Q-08</t>
        </is>
      </c>
      <c r="J18" t="inlineStr">
        <is>
          <t>操作级</t>
        </is>
      </c>
      <c r="K18" t="inlineStr">
        <is>
          <t>逐步电力kWh/d与燃气热MJ/d（v2补入）</t>
        </is>
      </c>
    </row>
    <row r="19">
      <c r="A19" t="inlineStr">
        <is>
          <t>CV-08A</t>
        </is>
      </c>
      <c r="B19" t="inlineStr">
        <is>
          <t>M3</t>
        </is>
      </c>
      <c r="C19" t="inlineStr">
        <is>
          <t>PR08-OP1</t>
        </is>
      </c>
      <c r="D19" t="inlineStr">
        <is>
          <t>乳清蛋白超滤浓缩透析</t>
        </is>
      </c>
      <c r="E19" t="inlineStr">
        <is>
          <t>进/出料流量与组成</t>
        </is>
      </c>
      <c r="F19" t="inlineStr">
        <is>
          <t>操作级直接给出</t>
        </is>
      </c>
      <c r="G19" t="inlineStr">
        <is>
          <t>SRC-PDF</t>
        </is>
      </c>
      <c r="H19" t="inlineStr">
        <is>
          <t>已覆盖</t>
        </is>
      </c>
      <c r="J19" t="inlineStr">
        <is>
          <t>操作级</t>
        </is>
      </c>
      <c r="K19" t="inlineStr">
        <is>
          <t>步骤框直接给出V/m/ρ/组成</t>
        </is>
      </c>
    </row>
    <row r="20">
      <c r="A20" t="inlineStr">
        <is>
          <t>CV-08B</t>
        </is>
      </c>
      <c r="B20" t="inlineStr">
        <is>
          <t>M3</t>
        </is>
      </c>
      <c r="C20" t="inlineStr">
        <is>
          <t>PR08-OP1</t>
        </is>
      </c>
      <c r="D20" t="inlineStr">
        <is>
          <t>乳清蛋白超滤浓缩透析</t>
        </is>
      </c>
      <c r="E20" t="inlineStr">
        <is>
          <t>工艺水输入量</t>
        </is>
      </c>
      <c r="F20" t="inlineStr">
        <is>
          <t>操作级直接给出</t>
        </is>
      </c>
      <c r="G20" t="inlineStr">
        <is>
          <t>SRC-PDF</t>
        </is>
      </c>
      <c r="H20" t="inlineStr">
        <is>
          <t>已覆盖</t>
        </is>
      </c>
      <c r="J20" t="inlineStr">
        <is>
          <t>操作级</t>
        </is>
      </c>
    </row>
    <row r="21">
      <c r="A21" t="inlineStr">
        <is>
          <t>CV-08C</t>
        </is>
      </c>
      <c r="B21" t="inlineStr">
        <is>
          <t>M3</t>
        </is>
      </c>
      <c r="C21" t="inlineStr">
        <is>
          <t>PR08-OP1</t>
        </is>
      </c>
      <c r="D21" t="inlineStr">
        <is>
          <t>乳清蛋白超滤浓缩透析</t>
        </is>
      </c>
      <c r="E21" t="inlineStr">
        <is>
          <t>电力/蒸汽等能源消耗</t>
        </is>
      </c>
      <c r="F21" t="inlineStr">
        <is>
          <t>操作级直接给出</t>
        </is>
      </c>
      <c r="G21" t="inlineStr">
        <is>
          <t>SRC-RAW</t>
        </is>
      </c>
      <c r="H21" t="inlineStr">
        <is>
          <t>已覆盖</t>
        </is>
      </c>
      <c r="I21" t="inlineStr">
        <is>
          <t>Q-08</t>
        </is>
      </c>
      <c r="J21" t="inlineStr">
        <is>
          <t>操作级</t>
        </is>
      </c>
      <c r="K21" t="inlineStr">
        <is>
          <t>逐步电力kWh/d与燃气热MJ/d（v2补入）</t>
        </is>
      </c>
    </row>
    <row r="22">
      <c r="A22" t="inlineStr">
        <is>
          <t>CV-09A</t>
        </is>
      </c>
      <c r="B22" t="inlineStr">
        <is>
          <t>M3</t>
        </is>
      </c>
      <c r="C22" t="inlineStr">
        <is>
          <t>PR09-OP1</t>
        </is>
      </c>
      <c r="D22" t="inlineStr">
        <is>
          <t>WPI冷却</t>
        </is>
      </c>
      <c r="E22" t="inlineStr">
        <is>
          <t>进/出料流量与组成</t>
        </is>
      </c>
      <c r="F22" t="inlineStr">
        <is>
          <t>操作级直接给出</t>
        </is>
      </c>
      <c r="G22" t="inlineStr">
        <is>
          <t>SRC-PDF</t>
        </is>
      </c>
      <c r="H22" t="inlineStr">
        <is>
          <t>已覆盖</t>
        </is>
      </c>
      <c r="J22" t="inlineStr">
        <is>
          <t>操作级</t>
        </is>
      </c>
      <c r="K22" t="inlineStr">
        <is>
          <t>步骤框直接给出V/m/ρ/组成</t>
        </is>
      </c>
    </row>
    <row r="23">
      <c r="A23" t="inlineStr">
        <is>
          <t>CV-09C</t>
        </is>
      </c>
      <c r="B23" t="inlineStr">
        <is>
          <t>M3</t>
        </is>
      </c>
      <c r="C23" t="inlineStr">
        <is>
          <t>PR09-OP1</t>
        </is>
      </c>
      <c r="D23" t="inlineStr">
        <is>
          <t>WPI冷却</t>
        </is>
      </c>
      <c r="E23" t="inlineStr">
        <is>
          <t>电力/蒸汽等能源消耗</t>
        </is>
      </c>
      <c r="F23" t="inlineStr">
        <is>
          <t>操作级直接给出</t>
        </is>
      </c>
      <c r="G23" t="inlineStr">
        <is>
          <t>SRC-RAW</t>
        </is>
      </c>
      <c r="H23" t="inlineStr">
        <is>
          <t>已覆盖</t>
        </is>
      </c>
      <c r="I23" t="inlineStr">
        <is>
          <t>Q-08</t>
        </is>
      </c>
      <c r="J23" t="inlineStr">
        <is>
          <t>操作级</t>
        </is>
      </c>
      <c r="K23" t="inlineStr">
        <is>
          <t>逐步电力kWh/d与燃气热MJ/d（v2补入）</t>
        </is>
      </c>
    </row>
    <row r="24">
      <c r="A24" t="inlineStr">
        <is>
          <t>CV-10A</t>
        </is>
      </c>
      <c r="B24" t="inlineStr">
        <is>
          <t>M3</t>
        </is>
      </c>
      <c r="C24" t="inlineStr">
        <is>
          <t>PR10-OP1</t>
        </is>
      </c>
      <c r="D24" t="inlineStr">
        <is>
          <t>WPI冷藏运输储存</t>
        </is>
      </c>
      <c r="E24" t="inlineStr">
        <is>
          <t>进/出料流量与组成</t>
        </is>
      </c>
      <c r="F24" t="inlineStr">
        <is>
          <t>操作级直接给出</t>
        </is>
      </c>
      <c r="G24" t="inlineStr">
        <is>
          <t>SRC-PDF</t>
        </is>
      </c>
      <c r="H24" t="inlineStr">
        <is>
          <t>已覆盖</t>
        </is>
      </c>
      <c r="J24" t="inlineStr">
        <is>
          <t>操作级</t>
        </is>
      </c>
      <c r="K24" t="inlineStr">
        <is>
          <t>步骤框直接给出V/m/ρ/组成</t>
        </is>
      </c>
    </row>
    <row r="25">
      <c r="A25" t="inlineStr">
        <is>
          <t>CV-10C</t>
        </is>
      </c>
      <c r="B25" t="inlineStr">
        <is>
          <t>M3</t>
        </is>
      </c>
      <c r="C25" t="inlineStr">
        <is>
          <t>PR10-OP1</t>
        </is>
      </c>
      <c r="D25" t="inlineStr">
        <is>
          <t>WPI冷藏运输储存</t>
        </is>
      </c>
      <c r="E25" t="inlineStr">
        <is>
          <t>电力/蒸汽等能源消耗</t>
        </is>
      </c>
      <c r="F25" t="inlineStr">
        <is>
          <t>操作级直接给出</t>
        </is>
      </c>
      <c r="G25" t="inlineStr">
        <is>
          <t>SRC-RAW</t>
        </is>
      </c>
      <c r="H25" t="inlineStr">
        <is>
          <t>已覆盖</t>
        </is>
      </c>
      <c r="I25" t="inlineStr">
        <is>
          <t>Q-08</t>
        </is>
      </c>
      <c r="J25" t="inlineStr">
        <is>
          <t>操作级</t>
        </is>
      </c>
      <c r="K25" t="inlineStr">
        <is>
          <t>逐步电力kWh/d与燃气热MJ/d（v2补入）</t>
        </is>
      </c>
    </row>
    <row r="26">
      <c r="A26" t="inlineStr">
        <is>
          <t>CV-11A</t>
        </is>
      </c>
      <c r="B26" t="inlineStr">
        <is>
          <t>M4</t>
        </is>
      </c>
      <c r="C26" t="inlineStr">
        <is>
          <t>PR11-OP1</t>
        </is>
      </c>
      <c r="D26" t="inlineStr">
        <is>
          <t>乳糖反渗透浓缩</t>
        </is>
      </c>
      <c r="E26" t="inlineStr">
        <is>
          <t>进/出料流量与组成</t>
        </is>
      </c>
      <c r="F26" t="inlineStr">
        <is>
          <t>操作级直接给出</t>
        </is>
      </c>
      <c r="G26" t="inlineStr">
        <is>
          <t>SRC-PDF</t>
        </is>
      </c>
      <c r="H26" t="inlineStr">
        <is>
          <t>已覆盖</t>
        </is>
      </c>
      <c r="J26" t="inlineStr">
        <is>
          <t>操作级</t>
        </is>
      </c>
      <c r="K26" t="inlineStr">
        <is>
          <t>步骤框直接给出V/m/ρ/组成</t>
        </is>
      </c>
    </row>
    <row r="27">
      <c r="A27" t="inlineStr">
        <is>
          <t>CV-11C</t>
        </is>
      </c>
      <c r="B27" t="inlineStr">
        <is>
          <t>M4</t>
        </is>
      </c>
      <c r="C27" t="inlineStr">
        <is>
          <t>PR11-OP1</t>
        </is>
      </c>
      <c r="D27" t="inlineStr">
        <is>
          <t>乳糖反渗透浓缩</t>
        </is>
      </c>
      <c r="E27" t="inlineStr">
        <is>
          <t>电力/蒸汽等能源消耗</t>
        </is>
      </c>
      <c r="F27" t="inlineStr">
        <is>
          <t>操作级直接给出</t>
        </is>
      </c>
      <c r="G27" t="inlineStr">
        <is>
          <t>SRC-RAW</t>
        </is>
      </c>
      <c r="H27" t="inlineStr">
        <is>
          <t>已覆盖</t>
        </is>
      </c>
      <c r="I27" t="inlineStr">
        <is>
          <t>Q-08</t>
        </is>
      </c>
      <c r="J27" t="inlineStr">
        <is>
          <t>操作级</t>
        </is>
      </c>
      <c r="K27" t="inlineStr">
        <is>
          <t>逐步电力kWh/d与燃气热MJ/d（v2补入）</t>
        </is>
      </c>
    </row>
    <row r="28">
      <c r="A28" t="inlineStr">
        <is>
          <t>CV-12A</t>
        </is>
      </c>
      <c r="B28" t="inlineStr">
        <is>
          <t>M4</t>
        </is>
      </c>
      <c r="C28" t="inlineStr">
        <is>
          <t>PR12-OP1</t>
        </is>
      </c>
      <c r="D28" t="inlineStr">
        <is>
          <t>浓缩乳糖冷却储存</t>
        </is>
      </c>
      <c r="E28" t="inlineStr">
        <is>
          <t>进/出料流量与组成</t>
        </is>
      </c>
      <c r="F28" t="inlineStr">
        <is>
          <t>操作级直接给出</t>
        </is>
      </c>
      <c r="G28" t="inlineStr">
        <is>
          <t>SRC-PDF</t>
        </is>
      </c>
      <c r="H28" t="inlineStr">
        <is>
          <t>已覆盖</t>
        </is>
      </c>
      <c r="J28" t="inlineStr">
        <is>
          <t>操作级</t>
        </is>
      </c>
      <c r="K28" t="inlineStr">
        <is>
          <t>步骤框直接给出V/m/ρ/组成</t>
        </is>
      </c>
    </row>
    <row r="29">
      <c r="A29" t="inlineStr">
        <is>
          <t>CV-12C</t>
        </is>
      </c>
      <c r="B29" t="inlineStr">
        <is>
          <t>M4</t>
        </is>
      </c>
      <c r="C29" t="inlineStr">
        <is>
          <t>PR12-OP1</t>
        </is>
      </c>
      <c r="D29" t="inlineStr">
        <is>
          <t>浓缩乳糖冷却储存</t>
        </is>
      </c>
      <c r="E29" t="inlineStr">
        <is>
          <t>电力/蒸汽等能源消耗</t>
        </is>
      </c>
      <c r="F29" t="inlineStr">
        <is>
          <t>操作级直接给出</t>
        </is>
      </c>
      <c r="G29" t="inlineStr">
        <is>
          <t>SRC-RAW</t>
        </is>
      </c>
      <c r="H29" t="inlineStr">
        <is>
          <t>已覆盖</t>
        </is>
      </c>
      <c r="I29" t="inlineStr">
        <is>
          <t>Q-08</t>
        </is>
      </c>
      <c r="J29" t="inlineStr">
        <is>
          <t>操作级</t>
        </is>
      </c>
      <c r="K29" t="inlineStr">
        <is>
          <t>逐步电力kWh/d与燃气热MJ/d（v2补入）</t>
        </is>
      </c>
    </row>
    <row r="30">
      <c r="A30" t="inlineStr">
        <is>
          <t>CV-10B</t>
        </is>
      </c>
      <c r="B30" t="inlineStr">
        <is>
          <t>M3</t>
        </is>
      </c>
      <c r="C30" t="inlineStr">
        <is>
          <t>PR10-OP1</t>
        </is>
      </c>
      <c r="D30" t="inlineStr">
        <is>
          <t>10</t>
        </is>
      </c>
      <c r="E30" t="inlineStr">
        <is>
          <t>运输燃料/车型</t>
        </is>
      </c>
      <c r="F30" t="inlineStr">
        <is>
          <t>操作级直接给出</t>
        </is>
      </c>
      <c r="G30" t="inlineStr">
        <is>
          <t>SRC-RAW</t>
        </is>
      </c>
      <c r="H30" t="inlineStr">
        <is>
          <t>已覆盖</t>
        </is>
      </c>
      <c r="I30" t="inlineStr">
        <is>
          <t>Q-08</t>
        </is>
      </c>
      <c r="J30" t="inlineStr">
        <is>
          <t>操作级</t>
        </is>
      </c>
      <c r="K30" t="inlineStr">
        <is>
          <t>仅给4°C、100km</t>
        </is>
      </c>
    </row>
    <row r="31">
      <c r="A31" t="inlineStr">
        <is>
          <t>CV-15E</t>
        </is>
      </c>
      <c r="B31" t="inlineStr">
        <is>
          <t>PR01</t>
        </is>
      </c>
      <c r="C31" t="inlineStr">
        <is>
          <t>ALL-OPS</t>
        </is>
      </c>
      <c r="D31" t="inlineStr">
        <is>
          <t>全部操作</t>
        </is>
      </c>
      <c r="E31" t="inlineStr">
        <is>
          <t>电力/蒸汽/CIP等横向参数</t>
        </is>
      </c>
      <c r="F31" t="inlineStr">
        <is>
          <t>缺失</t>
        </is>
      </c>
      <c r="H31" t="inlineStr">
        <is>
          <t>未覆盖</t>
        </is>
      </c>
      <c r="I31" t="inlineStr">
        <is>
          <t>Q-08</t>
        </is>
      </c>
      <c r="J31" t="inlineStr">
        <is>
          <t>不可画</t>
        </is>
      </c>
      <c r="K31" t="inlineStr">
        <is>
          <t>跨操作共性缺口，按操作索引见各CV-nnC</t>
        </is>
      </c>
    </row>
    <row r="33">
      <c r="A33" t="inlineStr">
        <is>
          <t>CV-20A</t>
        </is>
      </c>
      <c r="B33" t="inlineStr">
        <is>
          <t>M5</t>
        </is>
      </c>
      <c r="C33" t="inlineStr">
        <is>
          <t>PR20-OP1</t>
        </is>
      </c>
      <c r="D33" t="inlineStr">
        <is>
          <t>清洗废水处理</t>
        </is>
      </c>
      <c r="E33" t="inlineStr">
        <is>
          <t>进出水与污染物负荷</t>
        </is>
      </c>
      <c r="F33" t="inlineStr">
        <is>
          <t>操作级直接给出</t>
        </is>
      </c>
      <c r="G33" t="inlineStr">
        <is>
          <t>SRC-RAW</t>
        </is>
      </c>
      <c r="H33" t="inlineStr">
        <is>
          <t>已覆盖</t>
        </is>
      </c>
      <c r="I33" t="inlineStr">
        <is>
          <t>Q-15</t>
        </is>
      </c>
      <c r="J33" t="inlineStr">
        <is>
          <t>操作级</t>
        </is>
      </c>
      <c r="K33" t="inlineStr">
        <is>
          <t>进水191.7 m³/d；出水proxy 450 m³/d；TSS/COD/BOD/TN/TP/N2/污泥</t>
        </is>
      </c>
    </row>
    <row r="34">
      <c r="A34" t="inlineStr">
        <is>
          <t>CV-20B</t>
        </is>
      </c>
      <c r="B34" t="inlineStr">
        <is>
          <t>M5</t>
        </is>
      </c>
      <c r="C34" t="inlineStr">
        <is>
          <t>PR20-OP1</t>
        </is>
      </c>
      <c r="D34" t="inlineStr">
        <is>
          <t>清洗废水处理</t>
        </is>
      </c>
      <c r="E34" t="inlineStr">
        <is>
          <t>电力与污泥运输</t>
        </is>
      </c>
      <c r="F34" t="inlineStr">
        <is>
          <t>操作级直接给出</t>
        </is>
      </c>
      <c r="G34" t="inlineStr">
        <is>
          <t>SRC-RAW</t>
        </is>
      </c>
      <c r="H34" t="inlineStr">
        <is>
          <t>已覆盖</t>
        </is>
      </c>
      <c r="J34" t="inlineStr">
        <is>
          <t>操作级</t>
        </is>
      </c>
      <c r="K34" t="inlineStr">
        <is>
          <t>5,050.7 kWh/d；45.6 t·km</t>
        </is>
      </c>
    </row>
    <row r="35">
      <c r="A35" t="inlineStr">
        <is>
          <t>CV-MCH</t>
        </is>
      </c>
      <c r="B35" t="inlineStr">
        <is>
          <t>PR01</t>
        </is>
      </c>
      <c r="C35" t="inlineStr">
        <is>
          <t>ALL-OPS</t>
        </is>
      </c>
      <c r="D35" t="inlineStr">
        <is>
          <t>全部操作</t>
        </is>
      </c>
      <c r="E35" t="inlineStr">
        <is>
          <t>机器设备材料（资本品）</t>
        </is>
      </c>
      <c r="F35" t="inlineStr">
        <is>
          <t>操作级直接给出</t>
        </is>
      </c>
      <c r="G35" t="inlineStr">
        <is>
          <t>SRC-RAW</t>
        </is>
      </c>
      <c r="H35" t="inlineStr">
        <is>
          <t>已覆盖</t>
        </is>
      </c>
      <c r="J35" t="inlineStr">
        <is>
          <t>操作级</t>
        </is>
      </c>
      <c r="K35" t="inlineStr">
        <is>
          <t>Machines段设备/部件级128条已入库（用户2026-09-28决定纳入）；8条无数据行（Glycerin×4等）登记缺口</t>
        </is>
      </c>
    </row>
    <row r="38">
      <c r="A38" t="inlineStr">
        <is>
          <t>CV-01-SUM</t>
        </is>
      </c>
      <c r="B38" t="inlineStr">
        <is>
          <t>PR01</t>
        </is>
      </c>
      <c r="C38" t="inlineStr">
        <is>
          <t>PR01（操作级汇总行）</t>
        </is>
      </c>
      <c r="D38" t="inlineStr">
        <is>
          <t>操作级汇总</t>
        </is>
      </c>
      <c r="E38" t="inlineStr">
        <is>
          <t>全部数据层级</t>
        </is>
      </c>
      <c r="F38" t="inlineStr">
        <is>
          <t>操作级直接给出</t>
        </is>
      </c>
      <c r="G38" t="inlineStr">
        <is>
          <t>SRC-RAW</t>
        </is>
      </c>
      <c r="H38" t="inlineStr">
        <is>
          <t>已覆盖</t>
        </is>
      </c>
      <c r="J38" t="inlineStr">
        <is>
          <t>操作级</t>
        </is>
      </c>
      <c r="K38" t="inlineStr">
        <is>
          <t>冻结校验过程覆盖行；绘图编译器按模块行取值</t>
        </is>
      </c>
    </row>
    <row r="39">
      <c r="A39" t="inlineStr">
        <is>
          <t>CV-02-SUM</t>
        </is>
      </c>
      <c r="B39" t="inlineStr">
        <is>
          <t>PR02</t>
        </is>
      </c>
      <c r="C39" t="inlineStr">
        <is>
          <t>PR02（操作级汇总行）</t>
        </is>
      </c>
      <c r="D39" t="inlineStr">
        <is>
          <t>操作级汇总</t>
        </is>
      </c>
      <c r="E39" t="inlineStr">
        <is>
          <t>全部数据层级</t>
        </is>
      </c>
      <c r="F39" t="inlineStr">
        <is>
          <t>操作级直接给出</t>
        </is>
      </c>
      <c r="G39" t="inlineStr">
        <is>
          <t>SRC-RAW</t>
        </is>
      </c>
      <c r="H39" t="inlineStr">
        <is>
          <t>已覆盖</t>
        </is>
      </c>
      <c r="J39" t="inlineStr">
        <is>
          <t>操作级</t>
        </is>
      </c>
      <c r="K39" t="inlineStr">
        <is>
          <t>冻结校验过程覆盖行；绘图编译器按模块行取值</t>
        </is>
      </c>
    </row>
    <row r="40">
      <c r="A40" t="inlineStr">
        <is>
          <t>CV-03-SUM</t>
        </is>
      </c>
      <c r="B40" t="inlineStr">
        <is>
          <t>PR03</t>
        </is>
      </c>
      <c r="C40" t="inlineStr">
        <is>
          <t>PR03（操作级汇总行）</t>
        </is>
      </c>
      <c r="D40" t="inlineStr">
        <is>
          <t>操作级汇总</t>
        </is>
      </c>
      <c r="E40" t="inlineStr">
        <is>
          <t>全部数据层级</t>
        </is>
      </c>
      <c r="F40" t="inlineStr">
        <is>
          <t>操作级直接给出</t>
        </is>
      </c>
      <c r="G40" t="inlineStr">
        <is>
          <t>SRC-RAW</t>
        </is>
      </c>
      <c r="H40" t="inlineStr">
        <is>
          <t>已覆盖</t>
        </is>
      </c>
      <c r="J40" t="inlineStr">
        <is>
          <t>操作级</t>
        </is>
      </c>
      <c r="K40" t="inlineStr">
        <is>
          <t>冻结校验过程覆盖行；绘图编译器按模块行取值</t>
        </is>
      </c>
    </row>
    <row r="41">
      <c r="A41" t="inlineStr">
        <is>
          <t>CV-04-SUM</t>
        </is>
      </c>
      <c r="B41" t="inlineStr">
        <is>
          <t>PR04</t>
        </is>
      </c>
      <c r="C41" t="inlineStr">
        <is>
          <t>PR04（操作级汇总行）</t>
        </is>
      </c>
      <c r="D41" t="inlineStr">
        <is>
          <t>操作级汇总</t>
        </is>
      </c>
      <c r="E41" t="inlineStr">
        <is>
          <t>全部数据层级</t>
        </is>
      </c>
      <c r="F41" t="inlineStr">
        <is>
          <t>操作级直接给出</t>
        </is>
      </c>
      <c r="G41" t="inlineStr">
        <is>
          <t>SRC-RAW</t>
        </is>
      </c>
      <c r="H41" t="inlineStr">
        <is>
          <t>已覆盖</t>
        </is>
      </c>
      <c r="J41" t="inlineStr">
        <is>
          <t>操作级</t>
        </is>
      </c>
      <c r="K41" t="inlineStr">
        <is>
          <t>冻结校验过程覆盖行；绘图编译器按模块行取值</t>
        </is>
      </c>
    </row>
    <row r="42">
      <c r="A42" t="inlineStr">
        <is>
          <t>CV-05-SUM</t>
        </is>
      </c>
      <c r="B42" t="inlineStr">
        <is>
          <t>PR05</t>
        </is>
      </c>
      <c r="C42" t="inlineStr">
        <is>
          <t>PR05（操作级汇总行）</t>
        </is>
      </c>
      <c r="D42" t="inlineStr">
        <is>
          <t>操作级汇总</t>
        </is>
      </c>
      <c r="E42" t="inlineStr">
        <is>
          <t>全部数据层级</t>
        </is>
      </c>
      <c r="F42" t="inlineStr">
        <is>
          <t>操作级直接给出</t>
        </is>
      </c>
      <c r="G42" t="inlineStr">
        <is>
          <t>SRC-RAW</t>
        </is>
      </c>
      <c r="H42" t="inlineStr">
        <is>
          <t>已覆盖</t>
        </is>
      </c>
      <c r="J42" t="inlineStr">
        <is>
          <t>操作级</t>
        </is>
      </c>
      <c r="K42" t="inlineStr">
        <is>
          <t>冻结校验过程覆盖行；绘图编译器按模块行取值</t>
        </is>
      </c>
    </row>
    <row r="43">
      <c r="A43" t="inlineStr">
        <is>
          <t>CV-06-SUM</t>
        </is>
      </c>
      <c r="B43" t="inlineStr">
        <is>
          <t>PR06</t>
        </is>
      </c>
      <c r="C43" t="inlineStr">
        <is>
          <t>PR06（操作级汇总行）</t>
        </is>
      </c>
      <c r="D43" t="inlineStr">
        <is>
          <t>操作级汇总</t>
        </is>
      </c>
      <c r="E43" t="inlineStr">
        <is>
          <t>全部数据层级</t>
        </is>
      </c>
      <c r="F43" t="inlineStr">
        <is>
          <t>操作级直接给出</t>
        </is>
      </c>
      <c r="G43" t="inlineStr">
        <is>
          <t>SRC-RAW</t>
        </is>
      </c>
      <c r="H43" t="inlineStr">
        <is>
          <t>已覆盖</t>
        </is>
      </c>
      <c r="J43" t="inlineStr">
        <is>
          <t>操作级</t>
        </is>
      </c>
      <c r="K43" t="inlineStr">
        <is>
          <t>冻结校验过程覆盖行；绘图编译器按模块行取值</t>
        </is>
      </c>
    </row>
    <row r="44">
      <c r="A44" t="inlineStr">
        <is>
          <t>CV-07-SUM</t>
        </is>
      </c>
      <c r="B44" t="inlineStr">
        <is>
          <t>PR07</t>
        </is>
      </c>
      <c r="C44" t="inlineStr">
        <is>
          <t>PR07（操作级汇总行）</t>
        </is>
      </c>
      <c r="D44" t="inlineStr">
        <is>
          <t>操作级汇总</t>
        </is>
      </c>
      <c r="E44" t="inlineStr">
        <is>
          <t>全部数据层级</t>
        </is>
      </c>
      <c r="F44" t="inlineStr">
        <is>
          <t>操作级直接给出</t>
        </is>
      </c>
      <c r="G44" t="inlineStr">
        <is>
          <t>SRC-RAW</t>
        </is>
      </c>
      <c r="H44" t="inlineStr">
        <is>
          <t>已覆盖</t>
        </is>
      </c>
      <c r="J44" t="inlineStr">
        <is>
          <t>操作级</t>
        </is>
      </c>
      <c r="K44" t="inlineStr">
        <is>
          <t>冻结校验过程覆盖行；绘图编译器按模块行取值</t>
        </is>
      </c>
    </row>
    <row r="45">
      <c r="A45" t="inlineStr">
        <is>
          <t>CV-08-SUM</t>
        </is>
      </c>
      <c r="B45" t="inlineStr">
        <is>
          <t>PR08</t>
        </is>
      </c>
      <c r="C45" t="inlineStr">
        <is>
          <t>PR08（操作级汇总行）</t>
        </is>
      </c>
      <c r="D45" t="inlineStr">
        <is>
          <t>操作级汇总</t>
        </is>
      </c>
      <c r="E45" t="inlineStr">
        <is>
          <t>全部数据层级</t>
        </is>
      </c>
      <c r="F45" t="inlineStr">
        <is>
          <t>操作级直接给出</t>
        </is>
      </c>
      <c r="G45" t="inlineStr">
        <is>
          <t>SRC-RAW</t>
        </is>
      </c>
      <c r="H45" t="inlineStr">
        <is>
          <t>已覆盖</t>
        </is>
      </c>
      <c r="J45" t="inlineStr">
        <is>
          <t>操作级</t>
        </is>
      </c>
      <c r="K45" t="inlineStr">
        <is>
          <t>冻结校验过程覆盖行；绘图编译器按模块行取值</t>
        </is>
      </c>
    </row>
    <row r="46">
      <c r="A46" t="inlineStr">
        <is>
          <t>CV-09-SUM</t>
        </is>
      </c>
      <c r="B46" t="inlineStr">
        <is>
          <t>PR09</t>
        </is>
      </c>
      <c r="C46" t="inlineStr">
        <is>
          <t>PR09（操作级汇总行）</t>
        </is>
      </c>
      <c r="D46" t="inlineStr">
        <is>
          <t>操作级汇总</t>
        </is>
      </c>
      <c r="E46" t="inlineStr">
        <is>
          <t>全部数据层级</t>
        </is>
      </c>
      <c r="F46" t="inlineStr">
        <is>
          <t>操作级直接给出</t>
        </is>
      </c>
      <c r="G46" t="inlineStr">
        <is>
          <t>SRC-RAW</t>
        </is>
      </c>
      <c r="H46" t="inlineStr">
        <is>
          <t>已覆盖</t>
        </is>
      </c>
      <c r="J46" t="inlineStr">
        <is>
          <t>操作级</t>
        </is>
      </c>
      <c r="K46" t="inlineStr">
        <is>
          <t>冻结校验过程覆盖行；绘图编译器按模块行取值</t>
        </is>
      </c>
    </row>
    <row r="47">
      <c r="A47" t="inlineStr">
        <is>
          <t>CV-10-SUM</t>
        </is>
      </c>
      <c r="B47" t="inlineStr">
        <is>
          <t>PR10</t>
        </is>
      </c>
      <c r="C47" t="inlineStr">
        <is>
          <t>PR10（操作级汇总行）</t>
        </is>
      </c>
      <c r="D47" t="inlineStr">
        <is>
          <t>操作级汇总</t>
        </is>
      </c>
      <c r="E47" t="inlineStr">
        <is>
          <t>全部数据层级</t>
        </is>
      </c>
      <c r="F47" t="inlineStr">
        <is>
          <t>操作级直接给出</t>
        </is>
      </c>
      <c r="G47" t="inlineStr">
        <is>
          <t>SRC-RAW</t>
        </is>
      </c>
      <c r="H47" t="inlineStr">
        <is>
          <t>已覆盖</t>
        </is>
      </c>
      <c r="J47" t="inlineStr">
        <is>
          <t>操作级</t>
        </is>
      </c>
      <c r="K47" t="inlineStr">
        <is>
          <t>冻结校验过程覆盖行；绘图编译器按模块行取值</t>
        </is>
      </c>
    </row>
    <row r="48">
      <c r="A48" t="inlineStr">
        <is>
          <t>CV-11-SUM</t>
        </is>
      </c>
      <c r="B48" t="inlineStr">
        <is>
          <t>PR11</t>
        </is>
      </c>
      <c r="C48" t="inlineStr">
        <is>
          <t>PR11（操作级汇总行）</t>
        </is>
      </c>
      <c r="D48" t="inlineStr">
        <is>
          <t>操作级汇总</t>
        </is>
      </c>
      <c r="E48" t="inlineStr">
        <is>
          <t>全部数据层级</t>
        </is>
      </c>
      <c r="F48" t="inlineStr">
        <is>
          <t>操作级直接给出</t>
        </is>
      </c>
      <c r="G48" t="inlineStr">
        <is>
          <t>SRC-RAW</t>
        </is>
      </c>
      <c r="H48" t="inlineStr">
        <is>
          <t>已覆盖</t>
        </is>
      </c>
      <c r="J48" t="inlineStr">
        <is>
          <t>操作级</t>
        </is>
      </c>
      <c r="K48" t="inlineStr">
        <is>
          <t>冻结校验过程覆盖行；绘图编译器按模块行取值</t>
        </is>
      </c>
    </row>
    <row r="49">
      <c r="A49" t="inlineStr">
        <is>
          <t>CV-12-SUM</t>
        </is>
      </c>
      <c r="B49" t="inlineStr">
        <is>
          <t>PR12</t>
        </is>
      </c>
      <c r="C49" t="inlineStr">
        <is>
          <t>PR12（操作级汇总行）</t>
        </is>
      </c>
      <c r="D49" t="inlineStr">
        <is>
          <t>操作级汇总</t>
        </is>
      </c>
      <c r="E49" t="inlineStr">
        <is>
          <t>全部数据层级</t>
        </is>
      </c>
      <c r="F49" t="inlineStr">
        <is>
          <t>操作级直接给出</t>
        </is>
      </c>
      <c r="G49" t="inlineStr">
        <is>
          <t>SRC-RAW</t>
        </is>
      </c>
      <c r="H49" t="inlineStr">
        <is>
          <t>已覆盖</t>
        </is>
      </c>
      <c r="J49" t="inlineStr">
        <is>
          <t>操作级</t>
        </is>
      </c>
      <c r="K49" t="inlineStr">
        <is>
          <t>冻结校验过程覆盖行；绘图编译器按模块行取值</t>
        </is>
      </c>
    </row>
    <row r="50">
      <c r="A50" t="inlineStr">
        <is>
          <t>CV-20-SUM</t>
        </is>
      </c>
      <c r="B50" t="inlineStr">
        <is>
          <t>PR20</t>
        </is>
      </c>
      <c r="C50" t="inlineStr">
        <is>
          <t>PR20（操作级汇总行）</t>
        </is>
      </c>
      <c r="D50" t="inlineStr">
        <is>
          <t>操作级汇总</t>
        </is>
      </c>
      <c r="E50" t="inlineStr">
        <is>
          <t>全部数据层级</t>
        </is>
      </c>
      <c r="F50" t="inlineStr">
        <is>
          <t>操作级直接给出</t>
        </is>
      </c>
      <c r="G50" t="inlineStr">
        <is>
          <t>SRC-RAW</t>
        </is>
      </c>
      <c r="H50" t="inlineStr">
        <is>
          <t>已覆盖</t>
        </is>
      </c>
      <c r="J50" t="inlineStr">
        <is>
          <t>操作级</t>
        </is>
      </c>
      <c r="K50" t="inlineStr">
        <is>
          <t>冻结校验过程覆盖行；绘图编译器按模块行取值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2" customWidth="1" min="4" max="4"/>
    <col width="32" customWidth="1" min="5" max="5"/>
    <col width="22" customWidth="1" min="6" max="6"/>
    <col width="32" customWidth="1" min="7" max="7"/>
    <col width="32" customWidth="1" min="8" max="8"/>
    <col width="22" customWidth="1" min="9" max="9"/>
  </cols>
  <sheetData>
    <row r="1">
      <c r="A1" s="50" t="inlineStr">
        <is>
          <t>待补参数清单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</row>
    <row r="3">
      <c r="A3" t="inlineStr">
        <is>
          <t>按操作索引未解决的参数缺口；与问题与决策表用问题ID关联，不作为新数值来源。</t>
        </is>
      </c>
    </row>
    <row r="4">
      <c r="A4" s="49" t="inlineStr">
        <is>
          <t>待补ID</t>
        </is>
      </c>
      <c r="B4" s="49" t="inlineStr">
        <is>
          <t>归属操作ID</t>
        </is>
      </c>
      <c r="C4" s="49" t="inlineStr">
        <is>
          <t>参数/流ID</t>
        </is>
      </c>
      <c r="D4" s="49" t="inlineStr">
        <is>
          <t>缺口原因</t>
        </is>
      </c>
      <c r="E4" s="49" t="inlineStr">
        <is>
          <t>影响范围</t>
        </is>
      </c>
      <c r="F4" s="49" t="inlineStr">
        <is>
          <t>关联问题ID</t>
        </is>
      </c>
      <c r="G4" s="49" t="inlineStr">
        <is>
          <t>建议补充行动</t>
        </is>
      </c>
      <c r="H4" s="49" t="inlineStr">
        <is>
          <t>用户决定</t>
        </is>
      </c>
      <c r="I4" s="49" t="inlineStr">
        <is>
          <t>状态</t>
        </is>
      </c>
    </row>
    <row r="5">
      <c r="A5" t="inlineStr">
        <is>
          <t>GB-01</t>
        </is>
      </c>
      <c r="B5" t="inlineStr">
        <is>
          <t>ALL-OPS</t>
        </is>
      </c>
      <c r="C5" t="inlineStr">
        <is>
          <t>机器设备资本品</t>
        </is>
      </c>
      <c r="D5" t="inlineStr">
        <is>
          <t>用户2026-09-28决定纳入；Machines段128条设备/部件级材料流已入库；8条无数据行（Glycerin×4、pipes×3、Support et tuyauteries）登记为源数据缺口</t>
        </is>
      </c>
      <c r="E5" t="inlineStr">
        <is>
          <t>资本品边界</t>
        </is>
      </c>
      <c r="F5" t="inlineStr">
        <is>
          <t>Q-17</t>
        </is>
      </c>
      <c r="G5" t="inlineStr">
        <is>
          <t>纳入（已完成提取）</t>
        </is>
      </c>
      <c r="H5" t="inlineStr">
        <is>
          <t>纳入资本品（2026-09-28）</t>
        </is>
      </c>
      <c r="I5" t="inlineStr">
        <is>
          <t>已关闭</t>
        </is>
      </c>
    </row>
    <row r="6">
      <c r="A6" t="inlineStr">
        <is>
          <t>GB-02</t>
        </is>
      </c>
      <c r="B6" t="inlineStr">
        <is>
          <t>PR02-OP1</t>
        </is>
      </c>
      <c r="C6" t="inlineStr">
        <is>
          <t>组成数据来源核对</t>
        </is>
      </c>
      <c r="D6" t="inlineStr">
        <is>
          <t>组成%%仅见于衍生版标注；Q-06/Q-09已定性为衍生版换算口径问题，非原文缺陷</t>
        </is>
      </c>
      <c r="E6" t="inlineStr">
        <is>
          <t>组成数据可信度</t>
        </is>
      </c>
      <c r="F6" t="inlineStr">
        <is>
          <t>Q-06</t>
        </is>
      </c>
      <c r="G6" t="inlineStr">
        <is>
          <t>组成数据仅作衍生版参考，不纳入清单基准</t>
        </is>
      </c>
      <c r="H6" t="inlineStr">
        <is>
          <t>仅参考不作基准（2026-09-28用户指示）</t>
        </is>
      </c>
      <c r="I6" t="inlineStr">
        <is>
          <t>已关闭</t>
        </is>
      </c>
    </row>
    <row r="7">
      <c r="A7" t="inlineStr">
        <is>
          <t>GB-04</t>
        </is>
      </c>
      <c r="B7" t="inlineStr">
        <is>
          <t>PR20-OP1</t>
        </is>
      </c>
      <c r="C7" t="inlineStr">
        <is>
          <t>污水站proxy口径</t>
        </is>
      </c>
      <c r="D7" t="inlineStr">
        <is>
          <t>出水450 m³/d为proxy参考流（Q-15），与进水191.7 m³/d不对应</t>
        </is>
      </c>
      <c r="E7" t="inlineStr">
        <is>
          <t>出水数据使用口径</t>
        </is>
      </c>
      <c r="F7" t="inlineStr">
        <is>
          <t>Q-15</t>
        </is>
      </c>
      <c r="G7" t="inlineStr">
        <is>
          <t>使用时按proxy口径折算或取原文数据库过程</t>
        </is>
      </c>
      <c r="H7" t="inlineStr">
        <is>
          <t>按proxy口径使用并注明（2026-09-28提议，待确认）</t>
        </is>
      </c>
      <c r="I7" t="inlineStr">
        <is>
          <t>开放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2026-09-28T04:45:59Z</dcterms:created>
  <dcterms:modified xmlns:dcterms="http://purl.org/dc/terms/" xmlns:xsi="http://www.w3.org/2001/XMLSchema-instance" xsi:type="dcterms:W3CDTF">2026-09-29T14:15:40Z</dcterms:modified>
</cp:coreProperties>
</file>