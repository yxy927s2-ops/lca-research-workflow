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工作流总控" sheetId="1" state="visible" r:id="rId1"/>
    <sheet xmlns:r="http://schemas.openxmlformats.org/officeDocument/2006/relationships" name="项目说明" sheetId="2" state="visible" r:id="rId2"/>
    <sheet xmlns:r="http://schemas.openxmlformats.org/officeDocument/2006/relationships" name="数据来源" sheetId="3" state="visible" r:id="rId3"/>
    <sheet xmlns:r="http://schemas.openxmlformats.org/officeDocument/2006/relationships" name="模型过程" sheetId="4" state="visible" r:id="rId4"/>
    <sheet xmlns:r="http://schemas.openxmlformats.org/officeDocument/2006/relationships" name="模型参数" sheetId="5" state="visible" r:id="rId5"/>
    <sheet xmlns:r="http://schemas.openxmlformats.org/officeDocument/2006/relationships" name="模型流与公式" sheetId="6" state="visible" r:id="rId6"/>
    <sheet xmlns:r="http://schemas.openxmlformats.org/officeDocument/2006/relationships" name="核算检查" sheetId="7" state="visible" r:id="rId7"/>
    <sheet xmlns:r="http://schemas.openxmlformats.org/officeDocument/2006/relationships" name="问题与决策" sheetId="8" state="visible" r:id="rId8"/>
    <sheet xmlns:r="http://schemas.openxmlformats.org/officeDocument/2006/relationships" name="绘图确认" sheetId="9" state="visible" r:id="rId9"/>
    <sheet xmlns:r="http://schemas.openxmlformats.org/officeDocument/2006/relationships" name="候选数据" sheetId="10" state="visible" r:id="rId10"/>
    <sheet xmlns:r="http://schemas.openxmlformats.org/officeDocument/2006/relationships" name="参数覆盖度矩阵" sheetId="11" state="visible" r:id="rId11"/>
    <sheet xmlns:r="http://schemas.openxmlformats.org/officeDocument/2006/relationships" name="待补参数清单" sheetId="12" state="visible" r:id="rId12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11">
    <font>
      <name val="Carlito"/>
      <sz val="11"/>
    </font>
    <font>
      <name val="Arial"/>
      <b val="1"/>
      <color rgb="FF1F1F1F"/>
      <sz val="15"/>
    </font>
    <font>
      <name val="Arial"/>
      <i val="1"/>
      <color rgb="FF595959"/>
      <sz val="10"/>
    </font>
    <font>
      <name val="Arial"/>
      <b val="1"/>
      <color rgb="FFFFFFFF"/>
      <sz val="10"/>
    </font>
    <font>
      <name val="Arial"/>
      <color rgb="FF1F1F1F"/>
      <sz val="10"/>
    </font>
    <font>
      <name val="Arial"/>
      <b val="1"/>
      <sz val="10"/>
    </font>
    <font>
      <name val="Arial"/>
      <b val="1"/>
      <color rgb="FF17324D"/>
      <sz val="10"/>
    </font>
    <font>
      <name val="Arial"/>
      <color rgb="FF243B53"/>
      <sz val="10"/>
    </font>
    <font>
      <name val="Arial"/>
      <color rgb="FF52657A"/>
      <sz val="10"/>
    </font>
    <font>
      <name val="Arial"/>
      <b val="1"/>
      <color rgb="FF17324D"/>
      <sz val="15"/>
    </font>
    <font>
      <name val="Arial"/>
      <b val="1"/>
      <color rgb="FF244265"/>
      <sz val="14"/>
    </font>
  </fonts>
  <fills count="12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1EFFB"/>
      </patternFill>
    </fill>
    <fill>
      <patternFill patternType="solid">
        <fgColor rgb="FFFFF4D6"/>
      </patternFill>
    </fill>
    <fill>
      <patternFill patternType="solid">
        <fgColor rgb="FF285B8C"/>
      </patternFill>
    </fill>
    <fill>
      <patternFill patternType="solid">
        <fgColor rgb="FFE9F5EC"/>
      </patternFill>
    </fill>
    <fill>
      <patternFill patternType="solid">
        <fgColor rgb="FF244265"/>
      </patternFill>
    </fill>
  </fills>
  <borders count="6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1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4" pivotButton="0" quotePrefix="0" xfId="0"/>
    <xf numFmtId="0" fontId="0" fillId="0" borderId="4" pivotButton="0" quotePrefix="0" xfId="0"/>
    <xf numFmtId="0" fontId="0" fillId="4" borderId="0" pivotButton="0" quotePrefix="0" xfId="0"/>
    <xf numFmtId="0" fontId="5" fillId="4" borderId="0" pivotButton="0" quotePrefix="0" xfId="0"/>
    <xf numFmtId="0" fontId="0" fillId="5" borderId="0" pivotButton="0" quotePrefix="0" xfId="0"/>
    <xf numFmtId="0" fontId="3" fillId="2" borderId="5" pivotButton="0" quotePrefix="0" xfId="0"/>
    <xf numFmtId="0" fontId="5" fillId="4" borderId="5" pivotButton="0" quotePrefix="0" xfId="0"/>
    <xf numFmtId="0" fontId="0" fillId="5" borderId="5" pivotButton="0" quotePrefix="0" xfId="0"/>
    <xf numFmtId="0" fontId="0" fillId="0" borderId="5" pivotButton="0" quotePrefix="0" xfId="0"/>
    <xf numFmtId="164" fontId="4" fillId="0" borderId="0" applyAlignment="1" pivotButton="0" quotePrefix="0" xfId="0">
      <alignment vertical="center"/>
    </xf>
    <xf numFmtId="164" fontId="4" fillId="6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0" fillId="7" borderId="0" pivotButton="0" quotePrefix="0" xfId="0"/>
    <xf numFmtId="0" fontId="6" fillId="7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8" fillId="0" borderId="0" pivotButton="0" quotePrefix="0" xfId="0"/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vertical="center"/>
    </xf>
    <xf numFmtId="0" fontId="3" fillId="9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vertical="center"/>
    </xf>
    <xf numFmtId="0" fontId="9" fillId="0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7" fillId="0" borderId="0" pivotButton="0" quotePrefix="0" xfId="0"/>
    <xf numFmtId="0" fontId="0" fillId="11" borderId="0" pivotButton="0" quotePrefix="0" xfId="0"/>
    <xf numFmtId="0" fontId="3" fillId="11" borderId="0" pivotButton="0" quotePrefix="0" xfId="0"/>
    <xf numFmtId="0" fontId="10" fillId="0" borderId="0" pivotButton="0" quotePrefix="0" xfId="0"/>
    <xf numFmtId="164" fontId="4" fillId="0" borderId="0" applyAlignment="1" pivotButton="0" quotePrefix="0" xfId="0">
      <alignment vertical="center"/>
    </xf>
    <xf numFmtId="164" fontId="4" fillId="6" borderId="0" applyAlignment="1" pivotButton="0" quotePrefix="0" xfId="0">
      <alignment vertical="center"/>
    </xf>
  </cellXfs>
  <cellStyles count="1">
    <cellStyle name="Normal" xfId="0"/>
  </cellStyles>
  <dxfs count="3">
    <dxf>
      <font>
        <b val="1"/>
        <color rgb="FF9C0006"/>
      </font>
      <fill>
        <patternFill>
          <bgColor rgb="FFFCE4D6"/>
        </patternFill>
      </fill>
    </dxf>
    <dxf>
      <font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27" customWidth="1" min="2" max="2"/>
    <col width="24" customWidth="1" min="3" max="3"/>
    <col width="24" customWidth="1" min="4" max="4"/>
    <col width="36" customWidth="1" min="5" max="5"/>
    <col width="15" customWidth="1" min="6" max="6"/>
    <col width="18" customWidth="1" min="7" max="7"/>
    <col width="18" customWidth="1" min="8" max="8"/>
    <col width="32" customWidth="1" min="9" max="9"/>
    <col width="20" customWidth="1" min="11" max="11"/>
    <col width="16" customWidth="1" min="12" max="12"/>
  </cols>
  <sheetData>
    <row r="1" ht="24" customHeight="1">
      <c r="A1" s="1" t="inlineStr">
        <is>
          <t>前景清单与绘图工作流</t>
        </is>
      </c>
      <c r="K1" s="21" t="inlineStr">
        <is>
          <t>实时检查</t>
        </is>
      </c>
      <c r="L1" s="21" t="inlineStr">
        <is>
          <t>结果</t>
        </is>
      </c>
    </row>
    <row r="2" ht="24" customHeight="1">
      <c r="A2" s="2" t="inlineStr">
        <is>
          <t>数据功能按用户确认的文献清单工作流推进；闸门 B 确认冻结范围后，绘图功能另行启动。</t>
        </is>
      </c>
      <c r="K2" s="22" t="inlineStr">
        <is>
          <t>未解决问题</t>
        </is>
      </c>
      <c r="L2" s="22">
        <f>COUNTIF('问题与决策'!$I$5:$I$204,"未解决")</f>
        <v/>
      </c>
    </row>
    <row r="3">
      <c r="K3" s="22" t="inlineStr">
        <is>
          <t>BLOCKED 检查</t>
        </is>
      </c>
      <c r="L3" s="22">
        <f>COUNTIF('核算检查'!$K$5:$K$204,"BLOCKED")</f>
        <v/>
      </c>
    </row>
    <row r="4" ht="34" customHeight="1">
      <c r="A4" s="14" t="inlineStr">
        <is>
          <t>阶段</t>
        </is>
      </c>
      <c r="B4" s="15" t="inlineStr">
        <is>
          <t>任务</t>
        </is>
      </c>
      <c r="C4" s="15" t="inlineStr">
        <is>
          <t>输入</t>
        </is>
      </c>
      <c r="D4" s="15" t="inlineStr">
        <is>
          <t>输出</t>
        </is>
      </c>
      <c r="E4" s="15" t="inlineStr">
        <is>
          <t>完成条件</t>
        </is>
      </c>
      <c r="F4" s="15" t="inlineStr">
        <is>
          <t>状态</t>
        </is>
      </c>
      <c r="G4" s="15" t="inlineStr">
        <is>
          <t>负责人/确认人</t>
        </is>
      </c>
      <c r="H4" s="15" t="inlineStr">
        <is>
          <t>版本/日期</t>
        </is>
      </c>
      <c r="I4" s="16" t="inlineStr">
        <is>
          <t>备注</t>
        </is>
      </c>
      <c r="K4" s="22" t="inlineStr">
        <is>
          <t>数据功能确认</t>
        </is>
      </c>
      <c r="L4" s="22">
        <f>COUNTIF('绘图确认'!$P$5:$P$204,"已确认")</f>
        <v/>
      </c>
    </row>
    <row r="5">
      <c r="A5" s="18" t="inlineStr">
        <is>
          <t>S01</t>
        </is>
      </c>
      <c r="B5" s="18" t="inlineStr">
        <is>
          <t>S1.1–S1.3 课题、文献与原始清单</t>
        </is>
      </c>
      <c r="C5" s="18" t="inlineStr">
        <is>
          <t>研究课题与候选来源</t>
        </is>
      </c>
      <c r="D5" s="18" t="inlineStr">
        <is>
          <t>课题摘要和原始清单核验</t>
        </is>
      </c>
      <c r="E5" s="18" t="inlineStr">
        <is>
          <t>C1 的完整指完整生命周期清单；缺文件已报告</t>
        </is>
      </c>
      <c r="F5" s="18" t="inlineStr">
        <is>
          <t>完成</t>
        </is>
      </c>
      <c r="G5" s="18" t="inlineStr">
        <is>
          <t>用户2026-09-26闸门B确认</t>
        </is>
      </c>
      <c r="H5" s="18" t="inlineStr">
        <is>
          <t>2026-09-26</t>
        </is>
      </c>
      <c r="I5" s="18" t="inlineStr">
        <is>
          <t>S1.1–S1.3 完成；本轮附件缺 (1) 版工作簿与 runtime 文件，已登记 Q10</t>
        </is>
      </c>
      <c r="K5" s="22" t="inlineStr">
        <is>
          <t>绘图功能入口</t>
        </is>
      </c>
      <c r="L5" s="22">
        <f>IF(AND(L2=0,L3=0,L4&gt;0),"可进入","暂不可进入")</f>
        <v/>
      </c>
    </row>
    <row r="6">
      <c r="A6" s="18" t="inlineStr">
        <is>
          <t>S02</t>
        </is>
      </c>
      <c r="B6" s="18" t="inlineStr">
        <is>
          <t>S1.4 双文献池分类</t>
        </is>
      </c>
      <c r="C6" s="18" t="inlineStr">
        <is>
          <t>来源文件及依赖</t>
        </is>
      </c>
      <c r="D6" s="18" t="inlineStr">
        <is>
          <t>完整清单池、参数选取池</t>
        </is>
      </c>
      <c r="E6" s="18" t="inlineStr">
        <is>
          <t>C2 完整清单池非空；一篇来源可兼任两池</t>
        </is>
      </c>
      <c r="F6" s="18" t="inlineStr">
        <is>
          <t>完成</t>
        </is>
      </c>
      <c r="G6" s="18" t="inlineStr">
        <is>
          <t>用户2026-09-26闸门B确认</t>
        </is>
      </c>
      <c r="H6" s="18" t="inlineStr">
        <is>
          <t>2026-09-26</t>
        </is>
      </c>
      <c r="I6" s="18" t="inlineStr">
        <is>
          <t>完整清单池=SYS-Siegrist2026；参数池含其内部引用来源（二级引用）</t>
        </is>
      </c>
    </row>
    <row r="7">
      <c r="A7" s="18" t="inlineStr">
        <is>
          <t>S03</t>
        </is>
      </c>
      <c r="B7" s="18" t="inlineStr">
        <is>
          <t>S2.1 分文献整理方案</t>
        </is>
      </c>
      <c r="C7" s="18" t="inlineStr">
        <is>
          <t>候选来源与课题</t>
        </is>
      </c>
      <c r="D7" s="18" t="inlineStr">
        <is>
          <t>方法、边界与取数方案</t>
        </is>
      </c>
      <c r="E7" s="18" t="inlineStr">
        <is>
          <t>目标口径及前景/背景接口已说明</t>
        </is>
      </c>
      <c r="F7" s="18" t="inlineStr">
        <is>
          <t>完成</t>
        </is>
      </c>
      <c r="G7" s="18" t="inlineStr">
        <is>
          <t>用户2026-09-26闸门B确认</t>
        </is>
      </c>
      <c r="H7" s="18" t="inlineStr">
        <is>
          <t>2026-09-26</t>
        </is>
      </c>
      <c r="I7" s="18" t="inlineStr">
        <is>
          <t>目标 CLCA；FU=1 kg SPI；边界与背景接口已记录于项目说明</t>
        </is>
      </c>
    </row>
    <row r="8">
      <c r="A8" s="18" t="inlineStr">
        <is>
          <t>S04</t>
        </is>
      </c>
      <c r="B8" s="18" t="inlineStr">
        <is>
          <t>S2.2–S2.3 框架选择与闸门A</t>
        </is>
      </c>
      <c r="C8" s="18" t="inlineStr">
        <is>
          <t>完整清单文献池</t>
        </is>
      </c>
      <c r="D8" s="18" t="inlineStr">
        <is>
          <t>框架文献及单元操作结构</t>
        </is>
      </c>
      <c r="E8" s="18" t="inlineStr">
        <is>
          <t>用户确认框架；否决理由及候选处理留痕</t>
        </is>
      </c>
      <c r="F8" s="18" t="inlineStr">
        <is>
          <t>完成</t>
        </is>
      </c>
      <c r="G8" s="18" t="inlineStr">
        <is>
          <t>用户2026-09-26闸门B确认</t>
        </is>
      </c>
      <c r="H8" s="18" t="inlineStr">
        <is>
          <t>2026-09-26</t>
        </is>
      </c>
      <c r="I8" s="18" t="inlineStr">
        <is>
          <t>框架=SYS-Siegrist2026（池内唯一）；骨架沿用上一轮并经本轮复核；否决理由不适用</t>
        </is>
      </c>
    </row>
    <row r="9">
      <c r="A9" s="18" t="inlineStr">
        <is>
          <t>S05</t>
        </is>
      </c>
      <c r="B9" s="18" t="inlineStr">
        <is>
          <t>S3.1–S3.3 基准、最小黑箱与覆盖度</t>
        </is>
      </c>
      <c r="C9" s="18" t="inlineStr">
        <is>
          <t>框架文献与附件</t>
        </is>
      </c>
      <c r="D9" s="18" t="inlineStr">
        <is>
          <t>模块划分和参数覆盖度矩阵</t>
        </is>
      </c>
      <c r="E9" s="18" t="inlineStr">
        <is>
          <t>功能单位、边界、操作粒度及缺口已登记</t>
        </is>
      </c>
      <c r="F9" s="18" t="inlineStr">
        <is>
          <t>完成</t>
        </is>
      </c>
      <c r="G9" s="18" t="inlineStr">
        <is>
          <t>用户2026-09-26闸门B确认</t>
        </is>
      </c>
      <c r="H9" s="18" t="inlineStr">
        <is>
          <t>2026-09-26</t>
        </is>
      </c>
      <c r="I9" s="18" t="inlineStr">
        <is>
          <t>五级覆盖度矩阵已建；M1–M3 全部操作登记</t>
        </is>
      </c>
    </row>
    <row r="10">
      <c r="A10" s="18" t="inlineStr">
        <is>
          <t>S06</t>
        </is>
      </c>
      <c r="B10" s="18" t="inlineStr">
        <is>
          <t>S3.4 全部流识别</t>
        </is>
      </c>
      <c r="C10" s="18" t="inlineStr">
        <is>
          <t>模块与操作结构</t>
        </is>
      </c>
      <c r="D10" s="18" t="inlineStr">
        <is>
          <t>输入、输出、内部转移和循环流</t>
        </is>
      </c>
      <c r="E10" s="18" t="inlineStr">
        <is>
          <t>逐流端点、方向与边界已登记</t>
        </is>
      </c>
      <c r="F10" s="18" t="inlineStr">
        <is>
          <t>完成</t>
        </is>
      </c>
      <c r="G10" s="18" t="inlineStr">
        <is>
          <t>用户2026-09-26闸门B确认</t>
        </is>
      </c>
      <c r="H10" s="18" t="inlineStr">
        <is>
          <t>2026-09-26</t>
        </is>
      </c>
      <c r="I10" s="18" t="inlineStr">
        <is>
          <t>24 条采用流＋3 条替代接口；端点/方向/边界已登记</t>
        </is>
      </c>
    </row>
    <row r="11">
      <c r="A11" s="18" t="inlineStr">
        <is>
          <t>S07</t>
        </is>
      </c>
      <c r="B11" s="18" t="inlineStr">
        <is>
          <t>D1、S3.5–S3.7 公式溯源与逐流卡</t>
        </is>
      </c>
      <c r="C11" s="18" t="inlineStr">
        <is>
          <t>来源参数、公式和流</t>
        </is>
      </c>
      <c r="D11" s="18" t="inlineStr">
        <is>
          <t>采用参数、流及公式依赖</t>
        </is>
      </c>
      <c r="E11" s="18" t="inlineStr">
        <is>
          <t>公式递归到输入参数；流卡有证据和稳定ID</t>
        </is>
      </c>
      <c r="F11" s="18" t="inlineStr">
        <is>
          <t>完成</t>
        </is>
      </c>
      <c r="G11" s="18" t="inlineStr">
        <is>
          <t>用户2026-09-26闸门B确认</t>
        </is>
      </c>
      <c r="H11" s="18" t="inlineStr">
        <is>
          <t>2026-09-26</t>
        </is>
      </c>
      <c r="I11" s="18" t="inlineStr">
        <is>
          <t>逐流卡：来源、公式链、参数 ID、证据、采用状态齐备</t>
        </is>
      </c>
    </row>
    <row r="12">
      <c r="A12" s="18" t="inlineStr">
        <is>
          <t>S08</t>
        </is>
      </c>
      <c r="B12" s="18" t="inlineStr">
        <is>
          <t>QC 清单复核</t>
        </is>
      </c>
      <c r="C12" s="18" t="inlineStr">
        <is>
          <t>参数、公式、流与覆盖矩阵</t>
        </is>
      </c>
      <c r="D12" s="18" t="inlineStr">
        <is>
          <t>核算检查与问题标记</t>
        </is>
      </c>
      <c r="E12" s="18" t="inlineStr">
        <is>
          <t>复查仍有问题已及时向用户报告并记录决定</t>
        </is>
      </c>
      <c r="F12" s="18" t="inlineStr">
        <is>
          <t>完成</t>
        </is>
      </c>
      <c r="G12" s="18" t="inlineStr">
        <is>
          <t>用户2026-09-26闸门B确认</t>
        </is>
      </c>
      <c r="H12" s="18" t="inlineStr">
        <is>
          <t>2026-09-26</t>
        </is>
      </c>
      <c r="I12" s="18" t="inlineStr">
        <is>
          <t>14 项核算检查已执行；QC 后问题已登记并汇报（见 S4.1）</t>
        </is>
      </c>
    </row>
    <row r="13">
      <c r="A13" s="18" t="inlineStr">
        <is>
          <t>S09</t>
        </is>
      </c>
      <c r="B13" s="18" t="inlineStr">
        <is>
          <t>S4.1 汇报与闸门B</t>
        </is>
      </c>
      <c r="C13" s="18" t="inlineStr">
        <is>
          <t>模块化清单、覆盖度、问题</t>
        </is>
      </c>
      <c r="D13" s="18" t="inlineStr">
        <is>
          <t>Excel与待补参数清单</t>
        </is>
      </c>
      <c r="E13" s="18" t="inlineStr">
        <is>
          <t>用户确认清单、待补项及可冻结范围</t>
        </is>
      </c>
      <c r="F13" s="18" t="inlineStr">
        <is>
          <t>已确认</t>
        </is>
      </c>
      <c r="G13" s="18" t="inlineStr">
        <is>
          <t>用户2026-09-26确认</t>
        </is>
      </c>
      <c r="H13" s="18" t="inlineStr">
        <is>
          <t>2026-09-26</t>
        </is>
      </c>
      <c r="I13" s="18" t="inlineStr">
        <is>
          <t>闸门B已确认：冻结范围=模块骨架＋已采用流卡＋方法口径；Q03–Q05受影响exchange已标阻断不进冻结集</t>
        </is>
      </c>
    </row>
    <row r="14">
      <c r="A14" s="43" t="inlineStr">
        <is>
          <t>S10</t>
        </is>
      </c>
      <c r="B14" s="43" t="inlineStr">
        <is>
          <t>绘图功能内容蓝图</t>
        </is>
      </c>
      <c r="C14" s="43" t="inlineStr">
        <is>
          <t>冻结 Excel</t>
        </is>
      </c>
      <c r="D14" s="43" t="inlineStr">
        <is>
          <t>绘图确认</t>
        </is>
      </c>
      <c r="E14" s="43" t="inlineStr">
        <is>
          <t>显示决定经用户另行确认</t>
        </is>
      </c>
      <c r="F14" s="18" t="inlineStr">
        <is>
          <t>未开始</t>
        </is>
      </c>
      <c r="G14" s="18" t="n"/>
      <c r="H14" s="18" t="n"/>
      <c r="I14" s="18" t="n"/>
    </row>
    <row r="15">
      <c r="A15" s="43" t="inlineStr">
        <is>
          <t>S11</t>
        </is>
      </c>
      <c r="B15" s="43" t="inlineStr">
        <is>
          <t>Draw.io 绘制复检</t>
        </is>
      </c>
      <c r="C15" s="43" t="inlineStr">
        <is>
          <t>已确认规格</t>
        </is>
      </c>
      <c r="D15" s="43" t="inlineStr">
        <is>
          <t>原生 .drawio</t>
        </is>
      </c>
      <c r="E15" s="43" t="inlineStr">
        <is>
          <t>结构、内容与渲染检查通过</t>
        </is>
      </c>
      <c r="F15" s="18" t="inlineStr">
        <is>
          <t>未开始</t>
        </is>
      </c>
      <c r="G15" s="18" t="n"/>
      <c r="H15" s="18" t="n"/>
      <c r="I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</row>
  </sheetData>
  <dataValidations count="1">
    <dataValidation sqref="F5:F13" showDropDown="0" showInputMessage="0" showErrorMessage="0" allowBlank="0" type="list">
      <formula1>"未开始,进行中,待确认,已完成,已回退"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</cols>
  <sheetData>
    <row r="1">
      <c r="A1" s="1" t="inlineStr">
        <is>
          <t>项目说明</t>
        </is>
      </c>
    </row>
    <row r="3">
      <c r="A3" s="26" t="inlineStr">
        <is>
          <t>字段</t>
        </is>
      </c>
      <c r="B3" s="26" t="inlineStr">
        <is>
          <t>填写值</t>
        </is>
      </c>
      <c r="C3" s="26" t="inlineStr">
        <is>
          <t>说明</t>
        </is>
      </c>
    </row>
    <row r="4">
      <c r="A4" s="27" t="inlineStr">
        <is>
          <t>项目编号</t>
        </is>
      </c>
      <c r="B4" s="28" t="inlineStr">
        <is>
          <t>SPI-CLCA-2026-001</t>
        </is>
      </c>
      <c r="C4" s="29" t="inlineStr">
        <is>
          <t>稳定工作编号</t>
        </is>
      </c>
    </row>
    <row r="5">
      <c r="A5" s="27" t="inlineStr">
        <is>
          <t>目标来源范围</t>
        </is>
      </c>
      <c r="B5" s="28" t="inlineStr">
        <is>
          <t>完整清单文献池仅 SYS-Siegrist2026（一篇框架）；参数候选来自其数据表内部引用来源（二级引用，未独立核对原文）及上一轮用户审计母表</t>
        </is>
      </c>
      <c r="C5" s="29" t="inlineStr">
        <is>
          <t>从完整清单文献池选择框架；没有候选则补充审查，不自动纯建模</t>
        </is>
      </c>
    </row>
    <row r="6">
      <c r="A6" s="27" t="inlineStr">
        <is>
          <t>目标产品系统</t>
        </is>
      </c>
      <c r="B6" s="28" t="inlineStr">
        <is>
          <t>大豆分离蛋白（SPI）价值链（Soy_protein_isolation）</t>
        </is>
      </c>
      <c r="C6" s="29" t="n"/>
    </row>
    <row r="7">
      <c r="A7" s="27" t="inlineStr">
        <is>
          <t>产品名称</t>
        </is>
      </c>
      <c r="B7" s="28" t="inlineStr">
        <is>
          <t>Soy Protein Isolate (SPI)</t>
        </is>
      </c>
      <c r="C7" s="29" t="n"/>
    </row>
    <row r="8">
      <c r="A8" s="27" t="inlineStr">
        <is>
          <t>功能单位</t>
        </is>
      </c>
      <c r="B8" s="28" t="inlineStr">
        <is>
          <t>1 kg SPI（湿基，95% 干物质）</t>
        </is>
      </c>
      <c r="C8" s="29" t="n"/>
    </row>
    <row r="9">
      <c r="A9" s="27" t="inlineStr">
        <is>
          <t>系统边界</t>
        </is>
      </c>
      <c r="B9" s="28" t="inlineStr">
        <is>
          <t>cradle-to-gate 前景系统：破碎与脱皮→脱脂（调质/压片/溶剂萃取）→SPI 提取（碱提/离心/等电点沉淀/洗涤/干燥）；种植与干燥阶段为背景（Agrifootprint v6.3），运输为背景接口；资本品 excluded；SPI 路径不含 milling（value_chains.xlsx 已确认）</t>
        </is>
      </c>
      <c r="C9" s="29" t="n"/>
    </row>
    <row r="10">
      <c r="A10" s="27" t="inlineStr">
        <is>
          <t>建模模式</t>
        </is>
      </c>
      <c r="B10" s="28" t="inlineStr">
        <is>
          <t>consequential</t>
        </is>
      </c>
      <c r="C10" s="29" t="inlineStr">
        <is>
          <t>用户确认目标 ALCA 或 CLCA；不得由来源自动代填</t>
        </is>
      </c>
    </row>
    <row r="11">
      <c r="A11" s="27" t="inlineStr">
        <is>
          <t>背景数据库类型</t>
        </is>
      </c>
      <c r="B11" s="28" t="inlineStr">
        <is>
          <t>作者平台：ecoinvent v3.10 (cut-off) + Agrifootprint v6.3；本研究 CLCA 背景映射待建模阶段确认</t>
        </is>
      </c>
      <c r="C11" s="29" t="inlineStr">
        <is>
          <t>按目标研究记录背景数据库及版本</t>
        </is>
      </c>
    </row>
    <row r="12">
      <c r="A12" s="27" t="inlineStr">
        <is>
          <t>分配政策</t>
        </is>
      </c>
      <c r="B12" s="28" t="inlineStr">
        <is>
          <t>本研究 CLCA 不分配；豆皮/豆油/spent flakes 显式物理共产品；替代/系统扩展在 CLCA 层单独定义（来源的 economic allocation 仅作方法证据，不采用）</t>
        </is>
      </c>
      <c r="C12" s="29" t="inlineStr">
        <is>
          <t>物理流与 ALCA 分配或 CLCA 替代处理分开</t>
        </is>
      </c>
    </row>
    <row r="13">
      <c r="A13" s="27" t="inlineStr">
        <is>
          <t>副产品替代状态</t>
        </is>
      </c>
      <c r="B13" s="28" t="inlineStr">
        <is>
          <t>替代接口未定义；仅登记 substitution_candidate 接口行（F25–F27），待补清单 G06 跟踪</t>
        </is>
      </c>
      <c r="C13" s="29" t="inlineStr">
        <is>
          <t>副产品替代接口及供应商待目标研究确认</t>
        </is>
      </c>
    </row>
    <row r="14">
      <c r="A14" s="27" t="inlineStr">
        <is>
          <t>数值情景</t>
        </is>
      </c>
      <c r="B14" s="28" t="inlineStr">
        <is>
          <t>representative</t>
        </is>
      </c>
      <c r="C14" s="29" t="inlineStr">
        <is>
          <t>经确认的图示代表情景；不把全部代表值称为中位数</t>
        </is>
      </c>
    </row>
    <row r="15">
      <c r="A15" s="27" t="inlineStr">
        <is>
          <t>工作簿版本</t>
        </is>
      </c>
      <c r="B15" s="28" t="inlineStr">
        <is>
          <t>4.2</t>
        </is>
      </c>
      <c r="C15" s="29" t="n"/>
    </row>
    <row r="16">
      <c r="A16" s="27" t="inlineStr">
        <is>
          <t>数据功能状态</t>
        </is>
      </c>
      <c r="B16" s="28" t="inlineStr">
        <is>
          <t>frozen</t>
        </is>
      </c>
      <c r="C16" s="29" t="n"/>
    </row>
    <row r="17">
      <c r="A17" s="27" t="inlineStr">
        <is>
          <t>冻结版本</t>
        </is>
      </c>
      <c r="B17" s="28" t="inlineStr">
        <is>
          <t>v4.3-frozen-2026-09-27（补记绘图确认：27流显示决定＋13拓扑；科学数值未变）</t>
        </is>
      </c>
      <c r="C17" s="29" t="inlineStr">
        <is>
          <t>数据功能确认后填写</t>
        </is>
      </c>
    </row>
    <row r="18" ht="25" customHeight="1">
      <c r="A18" s="34" t="inlineStr">
        <is>
          <t>工艺路线</t>
        </is>
      </c>
      <c r="B18" s="36" t="inlineStr">
        <is>
          <t>主文献锚定</t>
        </is>
      </c>
      <c r="C18" s="37" t="inlineStr">
        <is>
          <t>当前工作流只允许经闸门A确认的主文献锚定路线</t>
        </is>
      </c>
    </row>
    <row r="19" ht="25" customHeight="1">
      <c r="A19" s="34" t="inlineStr">
        <is>
          <t>整链主来源体系ID</t>
        </is>
      </c>
      <c r="B19" s="36" t="inlineStr">
        <is>
          <t>SYS-Siegrist2026</t>
        </is>
      </c>
      <c r="C19" s="37" t="inlineStr">
        <is>
          <t>闸门A确认的框架来源体系ID</t>
        </is>
      </c>
    </row>
    <row r="20" ht="25" customHeight="1">
      <c r="A20" s="34" t="inlineStr">
        <is>
          <t>产品质量规格</t>
        </is>
      </c>
      <c r="B20" s="36" t="inlineStr">
        <is>
          <t>SPI 95% DM；蛋白 92.9%（干基）；white flakes 88% DM、59% 蛋白（干基）</t>
        </is>
      </c>
      <c r="C20" s="37" t="inlineStr">
        <is>
          <t>纯度、湿干基或其他可比性条件</t>
        </is>
      </c>
    </row>
    <row r="21" ht="25" customHeight="1">
      <c r="A21" s="34" t="inlineStr">
        <is>
          <t>来源路线确认记录</t>
        </is>
      </c>
      <c r="B21" s="36" t="inlineStr">
        <is>
          <t>Q02 / 用户 2026-09-19 锁定（交接文档§1），本轮沿用</t>
        </is>
      </c>
      <c r="C21" s="37" t="inlineStr">
        <is>
          <t>关联问题与决策 ID 或确认日期</t>
        </is>
      </c>
    </row>
    <row r="22" ht="25" customHeight="1">
      <c r="A22" s="34" t="inlineStr">
        <is>
          <t>数据功能用户确认</t>
        </is>
      </c>
      <c r="B22" s="36" t="inlineStr">
        <is>
          <t>用户2026-09-26确认闸门B；冻结范围=模块骨架＋已采用流卡＋方法口径</t>
        </is>
      </c>
      <c r="C22" s="37" t="inlineStr">
        <is>
          <t>未明确确认不得将工作簿标为冻结</t>
        </is>
      </c>
    </row>
  </sheetData>
  <dataValidations count="2">
    <dataValidation sqref="B10:B11" showDropDown="0" showInputMessage="0" showErrorMessage="0" allowBlank="0" type="list">
      <formula1>"consequential,attributional"</formula1>
    </dataValidation>
    <dataValidation sqref="B12" showDropDown="0" showInputMessage="0" showErrorMessage="0" allowBlank="0" type="list">
      <formula1>"physical_unallocated,source_allocation,other"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8" customWidth="1" min="4" max="4"/>
    <col width="24" customWidth="1" min="5" max="5"/>
    <col width="42" customWidth="1" min="6" max="6"/>
    <col width="22" customWidth="1" min="7" max="7"/>
    <col width="18" customWidth="1" min="8" max="8"/>
    <col width="32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4" customWidth="1" min="18" max="18"/>
    <col width="35" customWidth="1" min="19" max="19"/>
  </cols>
  <sheetData>
    <row r="1" ht="24" customHeight="1">
      <c r="A1" s="1" t="inlineStr">
        <is>
          <t>数据来源</t>
        </is>
      </c>
    </row>
    <row r="2" ht="24" customHeight="1">
      <c r="A2" s="2" t="inlineStr">
        <is>
          <t>一行一个文件；候选值的页码/单元格见“候选数据”。同一研究的正文、附件和代码共用来源体系ID。</t>
        </is>
      </c>
    </row>
    <row r="4" ht="28" customHeight="1">
      <c r="A4" s="14" t="inlineStr">
        <is>
          <t>来源ID</t>
        </is>
      </c>
      <c r="B4" s="15" t="inlineStr">
        <is>
          <t>文件名</t>
        </is>
      </c>
      <c r="C4" s="15" t="inlineStr">
        <is>
          <t>来源类型</t>
        </is>
      </c>
      <c r="D4" s="15" t="inlineStr">
        <is>
          <t>页码/章节/工作表</t>
        </is>
      </c>
      <c r="E4" s="15" t="inlineStr">
        <is>
          <t>单元格/公式位置</t>
        </is>
      </c>
      <c r="F4" s="15" t="inlineStr">
        <is>
          <t>原始内容摘要</t>
        </is>
      </c>
      <c r="G4" s="15" t="inlineStr">
        <is>
          <t>适用对象ID</t>
        </is>
      </c>
      <c r="H4" s="15" t="inlineStr">
        <is>
          <t>证据状态</t>
        </is>
      </c>
      <c r="I4" s="16" t="inlineStr">
        <is>
          <t>备注</t>
        </is>
      </c>
      <c r="J4" s="42" t="inlineStr">
        <is>
          <t>来源体系ID</t>
        </is>
      </c>
      <c r="K4" s="42" t="inlineStr">
        <is>
          <t>文件角色</t>
        </is>
      </c>
      <c r="L4" s="42" t="inlineStr">
        <is>
          <t>来源独立性</t>
        </is>
      </c>
      <c r="M4" s="42" t="inlineStr">
        <is>
          <t>上游依赖</t>
        </is>
      </c>
      <c r="N4" s="42" t="inlineStr">
        <is>
          <t>原研究方法</t>
        </is>
      </c>
      <c r="O4" s="42" t="inlineStr">
        <is>
          <t>工艺覆盖</t>
        </is>
      </c>
      <c r="P4" s="42" t="inlineStr">
        <is>
          <t>原功能单位</t>
        </is>
      </c>
      <c r="Q4" s="42" t="inlineStr">
        <is>
          <t>详细提取状态</t>
        </is>
      </c>
      <c r="R4" s="49" t="inlineStr">
        <is>
          <t>文献池角色</t>
        </is>
      </c>
      <c r="S4" s="49" t="inlineStr">
        <is>
          <t>完整清单证据</t>
        </is>
      </c>
    </row>
    <row r="5">
      <c r="A5" s="18" t="inlineStr">
        <is>
          <t>SRC-PDF</t>
        </is>
      </c>
      <c r="B5" s="18" t="inlineStr">
        <is>
          <t>Siegrist_2026_A parametric LCA platform...pdf</t>
        </is>
      </c>
      <c r="C5" s="18" t="inlineStr">
        <is>
          <t>期刊主文</t>
        </is>
      </c>
      <c r="D5" s="18" t="inlineStr">
        <is>
          <t>Methods §2.1–2.8</t>
        </is>
      </c>
      <c r="E5" s="18" t="inlineStr">
        <is>
          <t>Eq.1–3, Table 1</t>
        </is>
      </c>
      <c r="F5" s="18" t="inlineStr">
        <is>
          <t>参数化 LCA 平台；ALCA+经济分配；19 条价值链；SPI/SPC/PPI/PPC/WG 五配料</t>
        </is>
      </c>
      <c r="G5" s="18" t="inlineStr">
        <is>
          <t>PS-SPI</t>
        </is>
      </c>
      <c r="H5" s="18" t="inlineStr">
        <is>
          <t>已提取</t>
        </is>
      </c>
      <c r="I5" s="18" t="inlineStr">
        <is>
          <t>DOI 10.1016/j.spc.2025.12.010</t>
        </is>
      </c>
      <c r="J5" t="inlineStr">
        <is>
          <t>SYS-Siegrist2026</t>
        </is>
      </c>
      <c r="K5" t="inlineStr">
        <is>
          <t>主文</t>
        </is>
      </c>
      <c r="L5" t="inlineStr">
        <is>
          <t>独立</t>
        </is>
      </c>
      <c r="M5" t="inlineStr">
        <is>
          <t>无</t>
        </is>
      </c>
      <c r="N5" t="inlineStr">
        <is>
          <t>ALCA（attributional），economic allocation</t>
        </is>
      </c>
      <c r="O5" t="inlineStr">
        <is>
          <t>五配料整链（cultivation→gate）</t>
        </is>
      </c>
      <c r="P5" t="inlineStr">
        <is>
          <t>1 kg product 与 1 kg protein 双功能单位</t>
        </is>
      </c>
      <c r="Q5" t="inlineStr">
        <is>
          <t>已详读</t>
        </is>
      </c>
      <c r="R5" t="inlineStr">
        <is>
          <t>完整清单文献池;参数选取文献池</t>
        </is>
      </c>
      <c r="S5" t="inlineStr">
        <is>
          <t>完整参数化前景清单见 SRC-XLS-OLD 的 General_parameters/Formulas_* 与 ppplca 代码；主文§2.3 声明 complete data inventory in SI2</t>
        </is>
      </c>
    </row>
    <row r="6">
      <c r="A6" s="18" t="inlineStr">
        <is>
          <t>SRC-SI</t>
        </is>
      </c>
      <c r="B6" s="18" t="inlineStr">
        <is>
          <t>1-s2.0-S2352550925002313-mmc1.docx</t>
        </is>
      </c>
      <c r="C6" s="18" t="inlineStr">
        <is>
          <t>补充材料</t>
        </is>
      </c>
      <c r="D6" s="18" t="inlineStr">
        <is>
          <t>Table S.1–S.6</t>
        </is>
      </c>
      <c r="E6" s="18" t="inlineStr">
        <is>
          <t>19 个表格</t>
        </is>
      </c>
      <c r="F6" s="18" t="inlineStr">
        <is>
          <t>价值链概览、Sobol 指数、结果 min/max/median（1 kg 产品与 1 kg 蛋白）</t>
        </is>
      </c>
      <c r="G6" s="18" t="inlineStr">
        <is>
          <t>PS-SPI</t>
        </is>
      </c>
      <c r="H6" s="18" t="inlineStr">
        <is>
          <t>已提取</t>
        </is>
      </c>
      <c r="I6" s="18" t="inlineStr">
        <is>
          <t>结果层证据；不含过程清单</t>
        </is>
      </c>
      <c r="J6" t="inlineStr">
        <is>
          <t>SYS-Siegrist2026</t>
        </is>
      </c>
      <c r="K6" t="inlineStr">
        <is>
          <t>补充材料</t>
        </is>
      </c>
      <c r="L6" t="inlineStr">
        <is>
          <t>独立</t>
        </is>
      </c>
      <c r="M6" t="inlineStr">
        <is>
          <t>无</t>
        </is>
      </c>
      <c r="N6" t="inlineStr">
        <is>
          <t>同主文</t>
        </is>
      </c>
      <c r="O6" t="inlineStr">
        <is>
          <t>结果汇总</t>
        </is>
      </c>
      <c r="P6" t="inlineStr">
        <is>
          <t>同主文</t>
        </is>
      </c>
      <c r="Q6" t="inlineStr">
        <is>
          <t>已提取</t>
        </is>
      </c>
      <c r="R6" t="inlineStr">
        <is>
          <t>参数选取文献池</t>
        </is>
      </c>
    </row>
    <row r="7">
      <c r="A7" s="18" t="inlineStr">
        <is>
          <t>SRC-XLS-OLD</t>
        </is>
      </c>
      <c r="B7" s="18" t="inlineStr">
        <is>
          <t>SPI-Siegrist2026.xlsx</t>
        </is>
      </c>
      <c r="C7" s="18" t="inlineStr">
        <is>
          <t>参数化清单工作簿（附件版=旧版本）</t>
        </is>
      </c>
      <c r="D7" s="18" t="inlineStr">
        <is>
          <t>General_parameters/Formulas_SPI/SPI/Defatting/Cleaning/Energy 等 18 表</t>
        </is>
      </c>
      <c r="E7" s="18" t="inlineStr">
        <is>
          <t>SPI!I48=0.0463879（L6 硬编码 3）</t>
        </is>
      </c>
      <c r="F7" s="18" t="inlineStr">
        <is>
          <t>作者详细推导工作簿：参数分布、质量流、能耗公式；旧版 L6=3 导致 SPI 电耗 0.0464（已弃用）</t>
        </is>
      </c>
      <c r="G7" s="18" t="inlineStr">
        <is>
          <t>全部参数与流</t>
        </is>
      </c>
      <c r="H7" s="18" t="inlineStr">
        <is>
          <t>已提取-版本弃用</t>
        </is>
      </c>
      <c r="I7" s="18" t="inlineStr">
        <is>
          <t>本轮附件所附为旧版；当前版 SPI-Siegrist2026(1).xlsx 未随附件提供（Q01/Q10）</t>
        </is>
      </c>
      <c r="J7" t="inlineStr">
        <is>
          <t>SYS-Siegrist2026</t>
        </is>
      </c>
      <c r="K7" t="inlineStr">
        <is>
          <t>附件数据表</t>
        </is>
      </c>
      <c r="L7" t="inlineStr">
        <is>
          <t>共享来源体系</t>
        </is>
      </c>
      <c r="M7" t="inlineStr">
        <is>
          <t>ppplca runtime</t>
        </is>
      </c>
      <c r="N7" t="inlineStr">
        <is>
          <t>ALCA 参数化清单</t>
        </is>
      </c>
      <c r="O7" t="inlineStr">
        <is>
          <t>五配料</t>
        </is>
      </c>
      <c r="P7" t="inlineStr">
        <is>
          <t>各过程 per kg 中间产品</t>
        </is>
      </c>
      <c r="Q7" t="inlineStr">
        <is>
          <t>已详读</t>
        </is>
      </c>
      <c r="R7" t="inlineStr">
        <is>
          <t>参数选取文献池</t>
        </is>
      </c>
      <c r="S7" t="inlineStr">
        <is>
          <t>General_parameters＋Formulas_SPI 为完整参数化清单池证据（体系级）</t>
        </is>
      </c>
    </row>
    <row r="8">
      <c r="A8" t="inlineStr">
        <is>
          <t>SRC-SI2</t>
        </is>
      </c>
      <c r="B8" t="inlineStr">
        <is>
          <t>1-s2.0-S2352550925002313-mmc2.xlsx</t>
        </is>
      </c>
      <c r="C8" t="inlineStr">
        <is>
          <t>期刊官方补充材料 SI2（ScienceDirect 2026-09-26 重新下载）</t>
        </is>
      </c>
      <c r="D8" t="inlineStr">
        <is>
          <t>SPI/General_parameters/Formulas_SPI 等 17 表</t>
        </is>
      </c>
      <c r="E8" t="inlineStr">
        <is>
          <t>SPI!L6==J6/K6；I48=0.0629995</t>
        </is>
      </c>
      <c r="F8" t="inlineStr">
        <is>
          <t>即上一轮所称当前版 (1)：与 GitHub runtime 全部 39 个 SPI 参数逐一比对一致；与旧版仅 2 处实质差异（L6、G18），其余为浮点显示精度</t>
        </is>
      </c>
      <c r="G8" t="inlineStr">
        <is>
          <t>全部采用值</t>
        </is>
      </c>
      <c r="H8" t="inlineStr">
        <is>
          <t>已提取-复核</t>
        </is>
      </c>
      <c r="I8" t="inlineStr">
        <is>
          <t>官方发布版本，证据等级最高；本地副本：Siegrist2026\1-s2.0-S2352550925002313-mmc2.xlsx</t>
        </is>
      </c>
      <c r="J8" t="inlineStr">
        <is>
          <t>SYS-Siegrist2026</t>
        </is>
      </c>
      <c r="K8" t="inlineStr">
        <is>
          <t>附件数据表（官方 SI2，当前权威版）</t>
        </is>
      </c>
      <c r="L8" t="inlineStr">
        <is>
          <t>共享来源体系</t>
        </is>
      </c>
      <c r="M8" t="inlineStr">
        <is>
          <t>ppplca runtime</t>
        </is>
      </c>
      <c r="N8" t="inlineStr">
        <is>
          <t>ALCA 参数化清单</t>
        </is>
      </c>
      <c r="O8" t="inlineStr">
        <is>
          <t>五配料</t>
        </is>
      </c>
      <c r="P8" t="inlineStr">
        <is>
          <t>各过程 per kg 中间产品</t>
        </is>
      </c>
      <c r="Q8" t="inlineStr">
        <is>
          <t>已详读</t>
        </is>
      </c>
      <c r="R8" t="inlineStr">
        <is>
          <t>参数选取文献池</t>
        </is>
      </c>
      <c r="S8" t="inlineStr">
        <is>
          <t>General_parameters＋Formulas_SPI（官方发布口径）</t>
        </is>
      </c>
    </row>
    <row r="9">
      <c r="A9" s="18" t="inlineStr">
        <is>
          <t>SRC-VC</t>
        </is>
      </c>
      <c r="B9" s="18" t="inlineStr">
        <is>
          <t>value_chains.xlsx</t>
        </is>
      </c>
      <c r="C9" s="18" t="inlineStr">
        <is>
          <t>价值链情景配置</t>
        </is>
      </c>
      <c r="D9" s="18" t="inlineStr">
        <is>
          <t>Value_chains 表</t>
        </is>
      </c>
      <c r="E9" s="18" t="inlineStr">
        <is>
          <t>A2:L5（SPI 四情景）</t>
        </is>
      </c>
      <c r="F9" s="18" t="inlineStr">
        <is>
          <t>SPI 含 cultivation→dehulling→defatting→extraction→pointofuse；milling 字段为空</t>
        </is>
      </c>
      <c r="G9" s="18" t="inlineStr">
        <is>
          <t>PS-SPI</t>
        </is>
      </c>
      <c r="H9" s="18" t="inlineStr">
        <is>
          <t>已提取</t>
        </is>
      </c>
      <c r="I9" s="18" t="inlineStr">
        <is>
          <t>只决定阶段/地点/运输，不提供过程参数</t>
        </is>
      </c>
      <c r="J9" t="inlineStr">
        <is>
          <t>SYS-Siegrist2026</t>
        </is>
      </c>
      <c r="K9" t="inlineStr">
        <is>
          <t>情景配置</t>
        </is>
      </c>
      <c r="L9" t="inlineStr">
        <is>
          <t>共享来源体系</t>
        </is>
      </c>
      <c r="M9" t="inlineStr">
        <is>
          <t>无</t>
        </is>
      </c>
      <c r="N9" t="inlineStr">
        <is>
          <t>—</t>
        </is>
      </c>
      <c r="O9" t="inlineStr">
        <is>
          <t>价值链阶段与地点</t>
        </is>
      </c>
      <c r="P9" t="inlineStr">
        <is>
          <t>—</t>
        </is>
      </c>
      <c r="Q9" t="inlineStr">
        <is>
          <t>已核查</t>
        </is>
      </c>
      <c r="R9" t="inlineStr">
        <is>
          <t>参数选取文献池</t>
        </is>
      </c>
    </row>
    <row r="10">
      <c r="A10" s="18" t="inlineStr">
        <is>
          <t>SRC-NB</t>
        </is>
      </c>
      <c r="B10" s="18" t="inlineStr">
        <is>
          <t>main.ipynb</t>
        </is>
      </c>
      <c r="C10" s="18" t="inlineStr">
        <is>
          <t>模型代码入口</t>
        </is>
      </c>
      <c r="D10" s="18" t="inlineStr">
        <is>
          <t>全部单元格</t>
        </is>
      </c>
      <c r="E10" s="18" t="inlineStr">
        <is>
          <t>import ppplca / install / setup / run</t>
        </is>
      </c>
      <c r="F10" s="18" t="inlineStr">
        <is>
          <t>仅调用 ppplca 包，无 SPI 参数覆盖</t>
        </is>
      </c>
      <c r="G10" s="18" t="inlineStr">
        <is>
          <t>PS-SPI</t>
        </is>
      </c>
      <c r="H10" s="18" t="inlineStr">
        <is>
          <t>已提取</t>
        </is>
      </c>
      <c r="I10" s="18" t="inlineStr">
        <is>
          <t>证明 notebook 无隐藏修正（上一轮代码审计结论）</t>
        </is>
      </c>
      <c r="J10" t="inlineStr">
        <is>
          <t>SYS-Siegrist2026</t>
        </is>
      </c>
      <c r="K10" t="inlineStr">
        <is>
          <t>代码</t>
        </is>
      </c>
      <c r="L10" t="inlineStr">
        <is>
          <t>共享来源体系</t>
        </is>
      </c>
      <c r="M10" t="inlineStr">
        <is>
          <t>ppplca, ecoinvent 3.10, Agrifootprint 6.3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  <c r="Q10" t="inlineStr">
        <is>
          <t>已核查</t>
        </is>
      </c>
      <c r="R10" t="inlineStr">
        <is>
          <t>参数选取文献池</t>
        </is>
      </c>
    </row>
    <row r="11">
      <c r="A11" s="18" t="inlineStr">
        <is>
          <t>SRC-README</t>
        </is>
      </c>
      <c r="B11" s="18" t="inlineStr">
        <is>
          <t>README.md</t>
        </is>
      </c>
      <c r="C11" s="18" t="inlineStr">
        <is>
          <t>版本说明</t>
        </is>
      </c>
      <c r="D11" s="18" t="inlineStr">
        <is>
          <t>全文</t>
        </is>
      </c>
      <c r="E11" s="18" t="inlineStr">
        <is>
          <t>—</t>
        </is>
      </c>
      <c r="F11" s="18" t="inlineStr">
        <is>
          <t>模型依赖 ecoinvent v3.10 与 Agrifootprint v6.3</t>
        </is>
      </c>
      <c r="G11" s="18" t="inlineStr">
        <is>
          <t>PS-SPI</t>
        </is>
      </c>
      <c r="H11" s="18" t="inlineStr">
        <is>
          <t>已提取</t>
        </is>
      </c>
      <c r="I11" s="18" t="inlineStr">
        <is>
          <t>README 链接 SPC 2026 论文；数据表 README 声明链接另一篇论文（Q07）</t>
        </is>
      </c>
      <c r="J11" t="inlineStr">
        <is>
          <t>SYS-Siegrist2026</t>
        </is>
      </c>
      <c r="K11" t="inlineStr">
        <is>
          <t>说明文件</t>
        </is>
      </c>
      <c r="L11" t="inlineStr">
        <is>
          <t>共享来源体系</t>
        </is>
      </c>
      <c r="M11" t="inlineStr">
        <is>
          <t>无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  <c r="Q11" t="inlineStr">
        <is>
          <t>已提取</t>
        </is>
      </c>
    </row>
    <row r="12">
      <c r="A12" s="18" t="inlineStr">
        <is>
          <t>SRC-CLCA-AUDIT</t>
        </is>
      </c>
      <c r="B12" s="18" t="inlineStr">
        <is>
          <t>SPI_CLCA_阶段归档_参数审计与代码核查(1).xlsx</t>
        </is>
      </c>
      <c r="C12" s="18" t="inlineStr">
        <is>
          <t>本研究上一轮审计母表 v0</t>
        </is>
      </c>
      <c r="D12" s="18" t="inlineStr">
        <is>
          <t>Selected_Foreground_LCI/Model_Basis/Audit_Log/Energy_Breakdown 等 13 表</t>
        </is>
      </c>
      <c r="E12" s="18" t="inlineStr">
        <is>
          <t>L01–L24、B01–B27、A01–A26</t>
        </is>
      </c>
      <c r="F12" s="18" t="inlineStr">
        <is>
          <t>上一轮（2026-09-19）审计与采用值母表；本工作簿的采用值基准</t>
        </is>
      </c>
      <c r="G12" s="18" t="inlineStr">
        <is>
          <t>全部采用值</t>
        </is>
      </c>
      <c r="H12" s="18" t="inlineStr">
        <is>
          <t>已提取-继承</t>
        </is>
      </c>
      <c r="I12" s="18" t="inlineStr">
        <is>
          <t>本研究数据母表；后续取舍先更新此处再同步本工作簿</t>
        </is>
      </c>
      <c r="J12" t="inlineStr">
        <is>
          <t>SYS-UserPrior</t>
        </is>
      </c>
      <c r="K12" t="inlineStr">
        <is>
          <t>用户审计工作簿</t>
        </is>
      </c>
      <c r="L12" t="inlineStr">
        <is>
          <t>本研究自有</t>
        </is>
      </c>
      <c r="M12" t="inlineStr">
        <is>
          <t>SPI-Siegrist2026(1).xlsx</t>
        </is>
      </c>
      <c r="N12" t="inlineStr">
        <is>
          <t>CLCA（本研究）</t>
        </is>
      </c>
      <c r="O12" t="inlineStr">
        <is>
          <t>SPI 三模块</t>
        </is>
      </c>
      <c r="P12" t="inlineStr">
        <is>
          <t>1 kg SPI</t>
        </is>
      </c>
      <c r="Q12" t="inlineStr">
        <is>
          <t>已详读</t>
        </is>
      </c>
    </row>
    <row r="13">
      <c r="A13" s="18" t="inlineStr">
        <is>
          <t>SRC-CLCA-HANDOVER</t>
        </is>
      </c>
      <c r="B13" s="18" t="inlineStr">
        <is>
          <t>SPI_CLCA_阶段归档与下轮对话交接.docx</t>
        </is>
      </c>
      <c r="C13" s="18" t="inlineStr">
        <is>
          <t>上一轮交接文档</t>
        </is>
      </c>
      <c r="D13" s="18" t="inlineStr">
        <is>
          <t>§1–§12</t>
        </is>
      </c>
      <c r="E13" s="18" t="inlineStr">
        <is>
          <t>—</t>
        </is>
      </c>
      <c r="F13" s="18" t="inlineStr">
        <is>
          <t>方法锁定（CLCA/FU/三模块）、文件权威性顺序、未决三问题、制图规则</t>
        </is>
      </c>
      <c r="G13" s="18" t="inlineStr">
        <is>
          <t>PS-SPI</t>
        </is>
      </c>
      <c r="H13" s="18" t="inlineStr">
        <is>
          <t>已提取-继承</t>
        </is>
      </c>
      <c r="I13" s="18" t="inlineStr">
        <is>
          <t>用户决策来源（闸门C条件②③证据）</t>
        </is>
      </c>
      <c r="J13" t="inlineStr">
        <is>
          <t>SYS-UserPrior</t>
        </is>
      </c>
      <c r="K13" t="inlineStr">
        <is>
          <t>用户交接文档</t>
        </is>
      </c>
      <c r="L13" t="inlineStr">
        <is>
          <t>本研究自有</t>
        </is>
      </c>
      <c r="M13" t="inlineStr">
        <is>
          <t>SRC-CLCA-AUDIT</t>
        </is>
      </c>
      <c r="N13" t="inlineStr">
        <is>
          <t>CLCA</t>
        </is>
      </c>
      <c r="O13" t="inlineStr">
        <is>
          <t>SPI 三模块</t>
        </is>
      </c>
      <c r="P13" t="inlineStr">
        <is>
          <t>1 kg SPI</t>
        </is>
      </c>
      <c r="Q13" t="inlineStr">
        <is>
          <t>已提取</t>
        </is>
      </c>
    </row>
    <row r="14">
      <c r="A14" s="18" t="inlineStr">
        <is>
          <t>SRC-DRAFT-STRUCT</t>
        </is>
      </c>
      <c r="B14" s="18" t="inlineStr">
        <is>
          <t>SPI生产流程与前景LCI结构化描述_草案.docx</t>
        </is>
      </c>
      <c r="C14" s="18" t="inlineStr">
        <is>
          <t>流程结构草案</t>
        </is>
      </c>
      <c r="D14" s="18" t="inlineStr">
        <is>
          <t>§1–§11</t>
        </is>
      </c>
      <c r="E14" s="18" t="inlineStr">
        <is>
          <t>—</t>
        </is>
      </c>
      <c r="F14" s="18" t="inlineStr">
        <is>
          <t>三模块结构、M3 主线/豆渣支线/废水节点、星号规则</t>
        </is>
      </c>
      <c r="G14" s="18" t="inlineStr">
        <is>
          <t>M1/M2/M3 骨架</t>
        </is>
      </c>
      <c r="H14" s="18" t="inlineStr">
        <is>
          <t>已提取-继承</t>
        </is>
      </c>
      <c r="I14" s="18" t="inlineStr">
        <is>
          <t>绘图功能输入；不拥有科学数值</t>
        </is>
      </c>
      <c r="J14" t="inlineStr">
        <is>
          <t>SYS-UserPrior</t>
        </is>
      </c>
      <c r="K14" t="inlineStr">
        <is>
          <t>用户结构草案</t>
        </is>
      </c>
      <c r="L14" t="inlineStr">
        <is>
          <t>本研究自有</t>
        </is>
      </c>
      <c r="M14" t="inlineStr">
        <is>
          <t>SRC-CLCA-AUDIT</t>
        </is>
      </c>
      <c r="N14" t="inlineStr">
        <is>
          <t>CLCA</t>
        </is>
      </c>
      <c r="O14" t="inlineStr">
        <is>
          <t>SPI 三模块</t>
        </is>
      </c>
      <c r="P14" t="inlineStr">
        <is>
          <t>1 kg SPI</t>
        </is>
      </c>
      <c r="Q14" t="inlineStr">
        <is>
          <t>已提取</t>
        </is>
      </c>
    </row>
    <row r="15">
      <c r="A15" s="18" t="inlineStr">
        <is>
          <t>SRC-MB</t>
        </is>
      </c>
      <c r="B15" s="18" t="inlineStr">
        <is>
          <t>SPI前景清单质量平衡1.xlsx</t>
        </is>
      </c>
      <c r="C15" s="18" t="inlineStr">
        <is>
          <t>上一轮候选质量平衡核算</t>
        </is>
      </c>
      <c r="D15" s="18" t="inlineStr">
        <is>
          <t>平衡核算/流程清单/核对与缺口</t>
        </is>
      </c>
      <c r="E15" s="18" t="inlineStr">
        <is>
          <t>C4–C54</t>
        </is>
      </c>
      <c r="F15" s="18" t="inlineStr">
        <is>
          <t>0.88 干基候选核算；结论是原模型全流程质量平衡未通过</t>
        </is>
      </c>
      <c r="G15" s="18" t="inlineStr">
        <is>
          <t>水系统/质量平衡证据</t>
        </is>
      </c>
      <c r="H15" s="18" t="inlineStr">
        <is>
          <t>已提取-参考</t>
        </is>
      </c>
      <c r="I15" s="18" t="inlineStr">
        <is>
          <t>保守候选值来源；与本工作簿采用值分开</t>
        </is>
      </c>
      <c r="J15" t="inlineStr">
        <is>
          <t>SYS-UserPrior</t>
        </is>
      </c>
      <c r="K15" t="inlineStr">
        <is>
          <t>用户核算工作簿</t>
        </is>
      </c>
      <c r="L15" t="inlineStr">
        <is>
          <t>本研究自有</t>
        </is>
      </c>
      <c r="M15" t="inlineStr">
        <is>
          <t>SRC-XLS-OLD</t>
        </is>
      </c>
      <c r="N15" t="inlineStr">
        <is>
          <t>CLCA 候选核算</t>
        </is>
      </c>
      <c r="O15" t="inlineStr">
        <is>
          <t>SPI 三模块</t>
        </is>
      </c>
      <c r="P15" t="inlineStr">
        <is>
          <t>1 kg SPI</t>
        </is>
      </c>
      <c r="Q15" t="inlineStr">
        <is>
          <t>已提取</t>
        </is>
      </c>
    </row>
    <row r="16">
      <c r="A16" s="18" t="inlineStr">
        <is>
          <t>SRC-LCA-AUDIT-OLD</t>
        </is>
      </c>
      <c r="B16" s="18" t="inlineStr">
        <is>
          <t>SPI_LCA前景数据建模_参数审计与选择.xlsx</t>
        </is>
      </c>
      <c r="C16" s="18" t="inlineStr">
        <is>
          <t>更早版本审计母表</t>
        </is>
      </c>
      <c r="D16" s="18" t="inlineStr">
        <is>
          <t>Overview–LCI_Ready_View 8 表</t>
        </is>
      </c>
      <c r="E16" s="18" t="inlineStr">
        <is>
          <t>—</t>
        </is>
      </c>
      <c r="F16" s="18" t="inlineStr">
        <is>
          <t>CLCA 审计母表更早版本；被 SRC-CLCA-AUDIT 取代</t>
        </is>
      </c>
      <c r="G16" s="18" t="inlineStr">
        <is>
          <t>—</t>
        </is>
      </c>
      <c r="H16" s="18" t="inlineStr">
        <is>
          <t>参考</t>
        </is>
      </c>
      <c r="I16" s="18" t="inlineStr">
        <is>
          <t>历史版本</t>
        </is>
      </c>
      <c r="J16" t="inlineStr">
        <is>
          <t>SYS-UserPrior</t>
        </is>
      </c>
      <c r="K16" t="inlineStr">
        <is>
          <t>用户审计工作簿（旧）</t>
        </is>
      </c>
      <c r="L16" t="inlineStr">
        <is>
          <t>本研究自有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  <c r="Q16" t="inlineStr">
        <is>
          <t>参考</t>
        </is>
      </c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8" t="inlineStr">
        <is>
          <t>SRC-RUNTIME</t>
        </is>
      </c>
      <c r="B18" s="18" t="inlineStr">
        <is>
          <t>Processing_data.xlsx（ppplca/stubs，GitHub 下载）</t>
        </is>
      </c>
      <c r="C18" s="18" t="inlineStr">
        <is>
          <t>作者代码 runtime 参数/公式文件</t>
        </is>
      </c>
      <c r="D18" s="18" t="inlineStr">
        <is>
          <t>General_parameters/Formulas_SPI</t>
        </is>
      </c>
      <c r="E18" s="18" t="inlineStr">
        <is>
          <t>SPI 参数组（33 行）</t>
        </is>
      </c>
      <c r="F18" s="18" t="inlineStr">
        <is>
          <t>作者代码实际读取的参数与公式重构版；本轮已从 github.com/siegarmi/ppplca 下载并复核</t>
        </is>
      </c>
      <c r="G18" s="18" t="inlineStr">
        <is>
          <t>全部 SPI 参数与公式</t>
        </is>
      </c>
      <c r="H18" s="18" t="inlineStr">
        <is>
          <t>已提取-复核</t>
        </is>
      </c>
      <c r="I18" s="18" t="inlineStr">
        <is>
          <t>与上一轮审计结论一致：参数代表值相同；electricity_mix 复算=0.0629995 kWh/kg SPI</t>
        </is>
      </c>
      <c r="J18" t="inlineStr">
        <is>
          <t>SYS-Siegrist2026</t>
        </is>
      </c>
      <c r="K18" t="inlineStr">
        <is>
          <t>代码 runtime</t>
        </is>
      </c>
      <c r="L18" t="inlineStr">
        <is>
          <t>共享来源体系</t>
        </is>
      </c>
      <c r="M18" t="inlineStr">
        <is>
          <t>ppplca, ecoinvent 3.10, Agrifootprint 6.3</t>
        </is>
      </c>
      <c r="N18" t="inlineStr">
        <is>
          <t>ALCA 参数化清单</t>
        </is>
      </c>
      <c r="O18" t="inlineStr">
        <is>
          <t>五配料</t>
        </is>
      </c>
      <c r="P18" t="inlineStr">
        <is>
          <t>各过程 per kg 中间产品</t>
        </is>
      </c>
      <c r="Q18" t="inlineStr">
        <is>
          <t>已复核</t>
        </is>
      </c>
      <c r="R18" t="inlineStr">
        <is>
          <t>参数选取文献池</t>
        </is>
      </c>
      <c r="S18" t="inlineStr">
        <is>
          <t>General_parameters＋Formulas_SPI（runtime 口径）</t>
        </is>
      </c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</row>
    <row r="205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</row>
  </sheetData>
  <dataValidations count="1">
    <dataValidation sqref="H5:H204" showDropDown="0" showInputMessage="0" showErrorMessage="0" allowBlank="0" type="list">
      <formula1>"已读取,待核实,缺失,不适用"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24" customWidth="1" min="5" max="5"/>
    <col width="12" customWidth="1" min="6" max="6"/>
    <col width="17" customWidth="1" min="7" max="7"/>
    <col width="48" customWidth="1" min="8" max="8"/>
    <col width="16" customWidth="1" min="9" max="9"/>
    <col width="20" customWidth="1" min="10" max="10"/>
    <col width="18" customWidth="1" min="11" max="11"/>
    <col width="20" customWidth="1" min="12" max="12"/>
    <col width="16" customWidth="1" min="13" max="13"/>
    <col width="34" customWidth="1" min="14" max="14"/>
    <col width="18" customWidth="1" min="15" max="15"/>
    <col width="18" customWidth="1" min="16" max="16"/>
  </cols>
  <sheetData>
    <row r="1" ht="24" customHeight="1">
      <c r="A1" s="1" t="inlineStr">
        <is>
          <t>模型过程</t>
        </is>
      </c>
    </row>
    <row r="2" ht="24" customHeight="1">
      <c r="A2" s="2" t="inlineStr">
        <is>
          <t>以作者实际计算过程为主骨架；设备操作默认写入内部操作说明。</t>
        </is>
      </c>
    </row>
    <row r="4" ht="28" customHeight="1">
      <c r="A4" s="14" t="inlineStr">
        <is>
          <t>过程ID</t>
        </is>
      </c>
      <c r="B4" s="15" t="inlineStr">
        <is>
          <t>产品系统</t>
        </is>
      </c>
      <c r="C4" s="15" t="inlineStr">
        <is>
          <t>功能车间</t>
        </is>
      </c>
      <c r="D4" s="15" t="inlineStr">
        <is>
          <t>模型过程原名</t>
        </is>
      </c>
      <c r="E4" s="15" t="inlineStr">
        <is>
          <t>中文名称</t>
        </is>
      </c>
      <c r="F4" s="15" t="inlineStr">
        <is>
          <t>流程顺序</t>
        </is>
      </c>
      <c r="G4" s="15" t="inlineStr">
        <is>
          <t>模型粒度</t>
        </is>
      </c>
      <c r="H4" s="15" t="inlineStr">
        <is>
          <t>内部操作说明</t>
        </is>
      </c>
      <c r="I4" s="15" t="inlineStr">
        <is>
          <t>主支线角色</t>
        </is>
      </c>
      <c r="J4" s="15" t="inlineStr">
        <is>
          <t>来源ID</t>
        </is>
      </c>
      <c r="K4" s="15" t="inlineStr">
        <is>
          <t>模型采用状态</t>
        </is>
      </c>
      <c r="L4" s="15" t="inlineStr">
        <is>
          <t>图中展开方式</t>
        </is>
      </c>
      <c r="M4" s="15" t="inlineStr">
        <is>
          <t>确认状态</t>
        </is>
      </c>
      <c r="N4" s="16" t="inlineStr">
        <is>
          <t>备注</t>
        </is>
      </c>
      <c r="O4" s="42" t="inlineStr">
        <is>
          <t>工艺骨架依据</t>
        </is>
      </c>
      <c r="P4" s="42" t="inlineStr">
        <is>
          <t>骨架确认决策ID</t>
        </is>
      </c>
    </row>
    <row r="5">
      <c r="A5" s="18" t="inlineStr">
        <is>
          <t>PS-SPI</t>
        </is>
      </c>
      <c r="B5" s="18" t="inlineStr">
        <is>
          <t>SPI 价值链</t>
        </is>
      </c>
      <c r="C5" s="18" t="inlineStr">
        <is>
          <t>-</t>
        </is>
      </c>
      <c r="D5" s="18" t="inlineStr">
        <is>
          <t>Soy protein isolation value chain</t>
        </is>
      </c>
      <c r="E5" s="18" t="inlineStr">
        <is>
          <t>大豆分离蛋白价值链</t>
        </is>
      </c>
      <c r="F5" s="18" t="inlineStr">
        <is>
          <t>1</t>
        </is>
      </c>
      <c r="G5" s="18" t="inlineStr">
        <is>
          <t>产品系统</t>
        </is>
      </c>
      <c r="H5" s="18" t="inlineStr">
        <is>
          <t>SPI 生产全链；含背景接口（cultivation、运输）</t>
        </is>
      </c>
      <c r="I5" s="18" t="inlineStr">
        <is>
          <t>主线</t>
        </is>
      </c>
      <c r="J5" s="18" t="inlineStr">
        <is>
          <t>SRC-PDF;SRC-VC</t>
        </is>
      </c>
      <c r="K5" s="18" t="inlineStr">
        <is>
          <t>采用</t>
        </is>
      </c>
      <c r="L5" s="18" t="inlineStr">
        <is>
          <t>顶层总览</t>
        </is>
      </c>
      <c r="M5" s="18" t="inlineStr">
        <is>
          <t>已确认(2026-09-19)</t>
        </is>
      </c>
      <c r="N5" s="18" t="inlineStr">
        <is>
          <t>value_chains 四情景：BR-GB/CN-CN/US-NL/US-US</t>
        </is>
      </c>
      <c r="O5" t="inlineStr">
        <is>
          <t>Siegrist 2026 §2.2 Table 1（SPI 列：cultivation, dehulling, defatting, isoelectric precipitation）+ value_chains.xlsx（SPI 无 milling）</t>
        </is>
      </c>
      <c r="P5" t="inlineStr">
        <is>
          <t>D02</t>
        </is>
      </c>
    </row>
    <row r="6">
      <c r="A6" s="18" t="inlineStr">
        <is>
          <t>M1</t>
        </is>
      </c>
      <c r="B6" s="18" t="inlineStr">
        <is>
          <t>SPI 价值链</t>
        </is>
      </c>
      <c r="C6" s="18" t="inlineStr">
        <is>
          <t>预处理</t>
        </is>
      </c>
      <c r="D6" s="18" t="inlineStr">
        <is>
          <t>Cracking and dehulling</t>
        </is>
      </c>
      <c r="E6" s="18" t="inlineStr">
        <is>
          <t>清理、破碎与脱壳</t>
        </is>
      </c>
      <c r="F6" s="18" t="inlineStr">
        <is>
          <t>1</t>
        </is>
      </c>
      <c r="G6" s="18" t="inlineStr">
        <is>
          <t>计算过程</t>
        </is>
      </c>
      <c r="H6" s="18" t="inlineStr">
        <is>
          <t>破碎+脱皮组合操作；不新增独立 cleaning loss/电耗（Q-A01 已裁决）</t>
        </is>
      </c>
      <c r="I6" s="18" t="inlineStr">
        <is>
          <t>主线</t>
        </is>
      </c>
      <c r="J6" s="18" t="inlineStr">
        <is>
          <t>SRC-XLS-OLD</t>
        </is>
      </c>
      <c r="K6" s="18" t="inlineStr">
        <is>
          <t>采用</t>
        </is>
      </c>
      <c r="L6" s="18" t="inlineStr">
        <is>
          <t>模块框</t>
        </is>
      </c>
      <c r="M6" s="18" t="inlineStr">
        <is>
          <t>已确认(2026-09-19)</t>
        </is>
      </c>
      <c r="N6" s="18" t="inlineStr">
        <is>
          <t>输出脱皮大豆 2.5212 kg/kg SPI；豆皮共产品</t>
        </is>
      </c>
      <c r="O6" t="inlineStr">
        <is>
          <t>同骨架依据</t>
        </is>
      </c>
      <c r="P6" t="inlineStr">
        <is>
          <t>D02</t>
        </is>
      </c>
    </row>
    <row r="7">
      <c r="A7" s="18" t="inlineStr">
        <is>
          <t>M2</t>
        </is>
      </c>
      <c r="B7" s="18" t="inlineStr">
        <is>
          <t>SPI 价值链</t>
        </is>
      </c>
      <c r="C7" s="18" t="inlineStr">
        <is>
          <t>预处理</t>
        </is>
      </c>
      <c r="D7" s="18" t="inlineStr">
        <is>
          <t>Conditioning, flaking and defatting</t>
        </is>
      </c>
      <c r="E7" s="18" t="inlineStr">
        <is>
          <t>大豆脱脂</t>
        </is>
      </c>
      <c r="F7" s="18" t="inlineStr">
        <is>
          <t>2</t>
        </is>
      </c>
      <c r="G7" s="18" t="inlineStr">
        <is>
          <t>计算过程</t>
        </is>
      </c>
      <c r="H7" s="18" t="inlineStr">
        <is>
          <t>调质→压片→溶剂萃取；己烷循环内部化，fresh hexane 为净补充；不并入 degumming</t>
        </is>
      </c>
      <c r="I7" s="18" t="inlineStr">
        <is>
          <t>主线</t>
        </is>
      </c>
      <c r="J7" s="18" t="inlineStr">
        <is>
          <t>SRC-XLS-OLD</t>
        </is>
      </c>
      <c r="K7" s="18" t="inlineStr">
        <is>
          <t>采用</t>
        </is>
      </c>
      <c r="L7" s="18" t="inlineStr">
        <is>
          <t>模块框（内部工序在覆盖矩阵登记）</t>
        </is>
      </c>
      <c r="M7" s="18" t="inlineStr">
        <is>
          <t>已确认(2026-09-19)</t>
        </is>
      </c>
      <c r="N7" s="18" t="inlineStr">
        <is>
          <t>输出 white flakes 1.9852、豆油 0.4764、废水 0.6251、己烷排放 0.0027</t>
        </is>
      </c>
      <c r="O7" t="inlineStr">
        <is>
          <t>同骨架依据；M2 质量差额 0.03 kg/kg 不硬补（Q09）</t>
        </is>
      </c>
      <c r="P7" t="inlineStr">
        <is>
          <t>D02</t>
        </is>
      </c>
    </row>
    <row r="8">
      <c r="A8" s="18" t="inlineStr">
        <is>
          <t>M3</t>
        </is>
      </c>
      <c r="B8" s="18" t="inlineStr">
        <is>
          <t>SPI 价值链</t>
        </is>
      </c>
      <c r="C8" s="18" t="inlineStr">
        <is>
          <t>蛋白分离</t>
        </is>
      </c>
      <c r="D8" s="18" t="inlineStr">
        <is>
          <t>Soy protein isolation (isoelectric precipitation)</t>
        </is>
      </c>
      <c r="E8" s="18" t="inlineStr">
        <is>
          <t>SPI 蛋白提取</t>
        </is>
      </c>
      <c r="F8" s="18" t="inlineStr">
        <is>
          <t>3</t>
        </is>
      </c>
      <c r="G8" s="18" t="inlineStr">
        <is>
          <t>计算过程</t>
        </is>
      </c>
      <c r="H8" s="18" t="inlineStr">
        <is>
          <t>碱提→一离(豆渣支线:压榨→闪蒸)→等电点沉淀→二离(乳清)→洗涤/三离→喷雾干燥</t>
        </is>
      </c>
      <c r="I8" s="18" t="inlineStr">
        <is>
          <t>主线</t>
        </is>
      </c>
      <c r="J8" s="18" t="inlineStr">
        <is>
          <t>SRC-XLS-OLD;SRC-CLCA-AUDIT</t>
        </is>
      </c>
      <c r="K8" s="18" t="inlineStr">
        <is>
          <t>采用</t>
        </is>
      </c>
      <c r="L8" s="18" t="inlineStr">
        <is>
          <t>模块框+一条主线+豆渣支线+水相节点</t>
        </is>
      </c>
      <c r="M8" s="18" t="inlineStr">
        <is>
          <t>已确认(2026-09-19)</t>
        </is>
      </c>
      <c r="N8" s="18" t="inlineStr">
        <is>
          <t>主产品 SPI 1 kg；spent flakes 0.5449 共产品；水系统审计中（Q03/Q04）</t>
        </is>
      </c>
      <c r="O8" t="inlineStr">
        <is>
          <t>同骨架依据</t>
        </is>
      </c>
      <c r="P8" t="inlineStr">
        <is>
          <t>D02</t>
        </is>
      </c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</row>
  </sheetData>
  <dataValidations count="5">
    <dataValidation sqref="G5:G204" showDropDown="0" showInputMessage="0" showErrorMessage="0" allowBlank="0" type="list">
      <formula1>"model_process,aggregate,subprocess,unknown"</formula1>
    </dataValidation>
    <dataValidation sqref="I5:I204" showDropDown="0" showInputMessage="0" showErrorMessage="0" allowBlank="0" type="list">
      <formula1>"main,common,side,recycle,boundary,unknown"</formula1>
    </dataValidation>
    <dataValidation sqref="K5:K204" showDropDown="0" showInputMessage="0" showErrorMessage="0" allowBlank="0" type="list">
      <formula1>"adopted,source_only,excluded,review"</formula1>
    </dataValidation>
    <dataValidation sqref="L5:L204" showDropDown="0" showInputMessage="0" showErrorMessage="0" allowBlank="0" type="list">
      <formula1>"as_modelled,expand_confirmed,collapse_confirmed"</formula1>
    </dataValidation>
    <dataValidation sqref="M5:M204" showDropDown="0" showInputMessage="0" showErrorMessage="0" allowBlank="0" type="list">
      <formula1>"待确认,已确认,不适用"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2" customWidth="1" min="4" max="4"/>
    <col width="3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20" customWidth="1" min="15" max="15"/>
    <col width="18" customWidth="1" min="16" max="16"/>
    <col width="24" customWidth="1" min="17" max="17"/>
    <col width="16" customWidth="1" min="18" max="18"/>
    <col width="34" customWidth="1" min="19" max="19"/>
    <col width="18" customWidth="1" min="20" max="20"/>
  </cols>
  <sheetData>
    <row r="1" ht="24" customHeight="1">
      <c r="A1" s="1" t="inlineStr">
        <is>
          <t>模型参数</t>
        </is>
      </c>
    </row>
    <row r="2" ht="24" customHeight="1">
      <c r="A2" s="2" t="inlineStr">
        <is>
          <t>分布忠实来自原始数据；图示代表值与不确定性分布分开记录。</t>
        </is>
      </c>
    </row>
    <row r="4" ht="28" customHeight="1">
      <c r="A4" s="14" t="inlineStr">
        <is>
          <t>参数ID</t>
        </is>
      </c>
      <c r="B4" s="15" t="inlineStr">
        <is>
          <t>过程ID</t>
        </is>
      </c>
      <c r="C4" s="15" t="inlineStr">
        <is>
          <t>原始参数名</t>
        </is>
      </c>
      <c r="D4" s="15" t="inlineStr">
        <is>
          <t>中文名称</t>
        </is>
      </c>
      <c r="E4" s="15" t="inlineStr">
        <is>
          <t>物理意义</t>
        </is>
      </c>
      <c r="F4" s="15" t="inlineStr">
        <is>
          <t>单位</t>
        </is>
      </c>
      <c r="G4" s="15" t="inlineStr">
        <is>
          <t>分布类型</t>
        </is>
      </c>
      <c r="H4" s="15" t="inlineStr">
        <is>
          <t>最小值</t>
        </is>
      </c>
      <c r="I4" s="15" t="inlineStr">
        <is>
          <t>最大值</t>
        </is>
      </c>
      <c r="J4" s="15" t="inlineStr">
        <is>
          <t>中位数</t>
        </is>
      </c>
      <c r="K4" s="15" t="inlineStr">
        <is>
          <t>均值</t>
        </is>
      </c>
      <c r="L4" s="15" t="inlineStr">
        <is>
          <t>众数</t>
        </is>
      </c>
      <c r="M4" s="15" t="inlineStr">
        <is>
          <t>固定值</t>
        </is>
      </c>
      <c r="N4" s="15" t="inlineStr">
        <is>
          <t>图示代表值</t>
        </is>
      </c>
      <c r="O4" s="15" t="inlineStr">
        <is>
          <t>代表值规则</t>
        </is>
      </c>
      <c r="P4" s="15" t="inlineStr">
        <is>
          <t>来源ID</t>
        </is>
      </c>
      <c r="Q4" s="15" t="inlineStr">
        <is>
          <t>使用公式/流ID</t>
        </is>
      </c>
      <c r="R4" s="15" t="inlineStr">
        <is>
          <t>状态</t>
        </is>
      </c>
      <c r="S4" s="16" t="inlineStr">
        <is>
          <t>备注</t>
        </is>
      </c>
      <c r="T4" s="42" t="inlineStr">
        <is>
          <t>采用候选ID</t>
        </is>
      </c>
    </row>
    <row r="5">
      <c r="A5" s="18" t="inlineStr">
        <is>
          <t>P01</t>
        </is>
      </c>
      <c r="B5" s="18" t="inlineStr">
        <is>
          <t>M3</t>
        </is>
      </c>
      <c r="C5" s="18" t="inlineStr">
        <is>
          <t>SPI_dm_output</t>
        </is>
      </c>
      <c r="D5" s="18" t="inlineStr">
        <is>
          <t>SPI 干物质含量</t>
        </is>
      </c>
      <c r="E5" s="18" t="inlineStr">
        <is>
          <t>产品规格</t>
        </is>
      </c>
      <c r="F5" s="18" t="inlineStr">
        <is>
          <t>kg/kg</t>
        </is>
      </c>
      <c r="G5" s="18" t="inlineStr">
        <is>
          <t>FIXED</t>
        </is>
      </c>
      <c r="H5" s="51" t="n"/>
      <c r="I5" s="51" t="n"/>
      <c r="J5" s="51" t="n"/>
      <c r="K5" s="51" t="n"/>
      <c r="L5" s="51" t="n"/>
      <c r="M5" s="51" t="n">
        <v>0.95</v>
      </c>
      <c r="N5" s="52">
        <f>IF(A5="","",IF(G5="FIXED",M5,IF(G5="UNIFORM",IF(AND(ISNUMBER(H5),ISNUMBER(I5)),(H5+I5)/2,""),IF(G5="TRIANGLE",IF(ISNUMBER(L5),L5,IF(ISNUMBER(J5),J5,"")),IF(ISNUMBER(J5),J5,IF(ISNUMBER(K5),K5,""))))))</f>
        <v/>
      </c>
      <c r="O5" s="32">
        <f>IF(A5="","",IF(G5="FIXED","fixed",IF(G5="UNIFORM","midpoint_median",IF(G5="TRIANGLE",IF(ISNUMBER(L5),"mode",IF(ISNUMBER(J5),"source_median","missing")),IF(ISNUMBER(J5),"source_median",IF(ISNUMBER(K5),"source_mean","missing"))))))</f>
        <v/>
      </c>
      <c r="P5" s="18" t="inlineStr">
        <is>
          <t>SRC-XLS-OLD</t>
        </is>
      </c>
      <c r="Q5" s="18" t="inlineStr">
        <is>
          <t>F19</t>
        </is>
      </c>
      <c r="R5" s="18" t="inlineStr">
        <is>
          <t>采用</t>
        </is>
      </c>
      <c r="S5" s="18" t="inlineStr">
        <is>
          <t>Deak 2008</t>
        </is>
      </c>
      <c r="T5" t="inlineStr">
        <is>
          <t>CAD-01</t>
        </is>
      </c>
    </row>
    <row r="6">
      <c r="A6" s="18" t="inlineStr">
        <is>
          <t>P02</t>
        </is>
      </c>
      <c r="B6" s="18" t="inlineStr">
        <is>
          <t>M3</t>
        </is>
      </c>
      <c r="C6" s="18" t="inlineStr">
        <is>
          <t>SPI_protein_out</t>
        </is>
      </c>
      <c r="D6" s="18" t="inlineStr">
        <is>
          <t>SPI 蛋白含量（干基）</t>
        </is>
      </c>
      <c r="E6" s="18" t="inlineStr">
        <is>
          <t>产品规格</t>
        </is>
      </c>
      <c r="F6" s="18" t="inlineStr">
        <is>
          <t>kg/kg DM</t>
        </is>
      </c>
      <c r="G6" s="18" t="inlineStr">
        <is>
          <t>TRIANGLE</t>
        </is>
      </c>
      <c r="H6" s="51" t="n">
        <v>0.508</v>
      </c>
      <c r="I6" s="51" t="n">
        <v>0.951</v>
      </c>
      <c r="J6" s="51" t="n"/>
      <c r="K6" s="51" t="n"/>
      <c r="L6" s="51" t="n">
        <v>0.929</v>
      </c>
      <c r="M6" s="51" t="n"/>
      <c r="N6" s="52">
        <f>IF(A6="","",IF(G6="FIXED",M6,IF(G6="UNIFORM",IF(AND(ISNUMBER(H6),ISNUMBER(I6)),(H6+I6)/2,""),IF(G6="TRIANGLE",IF(ISNUMBER(L6),L6,IF(ISNUMBER(J6),J6,"")),IF(ISNUMBER(J6),J6,IF(ISNUMBER(K6),K6,""))))))</f>
        <v/>
      </c>
      <c r="O6" s="32">
        <f>IF(A6="","",IF(G6="FIXED","fixed",IF(G6="UNIFORM","midpoint_median",IF(G6="TRIANGLE",IF(ISNUMBER(L6),"mode",IF(ISNUMBER(J6),"source_median","missing")),IF(ISNUMBER(J6),"source_median",IF(ISNUMBER(K6),"source_mean","missing"))))))</f>
        <v/>
      </c>
      <c r="P6" s="18" t="inlineStr">
        <is>
          <t>SRC-XLS-OLD</t>
        </is>
      </c>
      <c r="Q6" s="18" t="inlineStr">
        <is>
          <t>F01;F09</t>
        </is>
      </c>
      <c r="R6" s="18" t="inlineStr">
        <is>
          <t>采用</t>
        </is>
      </c>
      <c r="S6" s="18" t="inlineStr">
        <is>
          <t>Verfaillie 2023</t>
        </is>
      </c>
      <c r="T6" t="inlineStr">
        <is>
          <t>CAD-02</t>
        </is>
      </c>
    </row>
    <row r="7">
      <c r="A7" s="18" t="inlineStr">
        <is>
          <t>P03</t>
        </is>
      </c>
      <c r="B7" s="18" t="inlineStr">
        <is>
          <t>M3</t>
        </is>
      </c>
      <c r="C7" s="18" t="inlineStr">
        <is>
          <t>SPI_protein_recovery</t>
        </is>
      </c>
      <c r="D7" s="18" t="inlineStr">
        <is>
          <t>蛋白回收率</t>
        </is>
      </c>
      <c r="E7" s="18" t="inlineStr">
        <is>
          <t>提取收率</t>
        </is>
      </c>
      <c r="F7" s="18" t="inlineStr">
        <is>
          <t>kg/kg</t>
        </is>
      </c>
      <c r="G7" s="18" t="inlineStr">
        <is>
          <t>TRIANGLE</t>
        </is>
      </c>
      <c r="H7" s="51" t="n">
        <v>0.649</v>
      </c>
      <c r="I7" s="51" t="n">
        <v>0.858</v>
      </c>
      <c r="J7" s="51" t="n"/>
      <c r="K7" s="51" t="n"/>
      <c r="L7" s="51" t="n">
        <v>0.7534999999999999</v>
      </c>
      <c r="M7" s="51" t="n"/>
      <c r="N7" s="52">
        <f>IF(A7="","",IF(G7="FIXED",M7,IF(G7="UNIFORM",IF(AND(ISNUMBER(H7),ISNUMBER(I7)),(H7+I7)/2,""),IF(G7="TRIANGLE",IF(ISNUMBER(L7),L7,IF(ISNUMBER(J7),J7,"")),IF(ISNUMBER(J7),J7,IF(ISNUMBER(K7),K7,""))))))</f>
        <v/>
      </c>
      <c r="O7" s="32">
        <f>IF(A7="","",IF(G7="FIXED","fixed",IF(G7="UNIFORM","midpoint_median",IF(G7="TRIANGLE",IF(ISNUMBER(L7),"mode",IF(ISNUMBER(J7),"source_median","missing")),IF(ISNUMBER(J7),"source_median",IF(ISNUMBER(K7),"source_mean","missing"))))))</f>
        <v/>
      </c>
      <c r="P7" s="18" t="inlineStr">
        <is>
          <t>SRC-XLS-OLD</t>
        </is>
      </c>
      <c r="Q7" s="18" t="inlineStr">
        <is>
          <t>F01;F09</t>
        </is>
      </c>
      <c r="R7" s="18" t="inlineStr">
        <is>
          <t>采用</t>
        </is>
      </c>
      <c r="S7" s="18" t="inlineStr">
        <is>
          <t>Brasil 2016（40 个工业值）</t>
        </is>
      </c>
      <c r="T7" t="inlineStr">
        <is>
          <t>CAD-03</t>
        </is>
      </c>
    </row>
    <row r="8">
      <c r="A8" s="18" t="inlineStr">
        <is>
          <t>P04</t>
        </is>
      </c>
      <c r="B8" s="18" t="inlineStr">
        <is>
          <t>M3</t>
        </is>
      </c>
      <c r="C8" s="18" t="inlineStr">
        <is>
          <t>SPI_protein_in</t>
        </is>
      </c>
      <c r="D8" s="18" t="inlineStr">
        <is>
          <t>白豆片蛋白含量（干基）</t>
        </is>
      </c>
      <c r="E8" s="18" t="inlineStr">
        <is>
          <t>原料规格</t>
        </is>
      </c>
      <c r="F8" s="18" t="inlineStr">
        <is>
          <t>kg/kg DM</t>
        </is>
      </c>
      <c r="G8" s="18" t="inlineStr">
        <is>
          <t>TRIANGLE</t>
        </is>
      </c>
      <c r="H8" s="51" t="n">
        <v>0.51</v>
      </c>
      <c r="I8" s="51" t="n">
        <v>0.625</v>
      </c>
      <c r="J8" s="51" t="n"/>
      <c r="K8" s="51" t="n"/>
      <c r="L8" s="51" t="n">
        <v>0.59</v>
      </c>
      <c r="M8" s="51" t="n"/>
      <c r="N8" s="52">
        <f>IF(A8="","",IF(G8="FIXED",M8,IF(G8="UNIFORM",IF(AND(ISNUMBER(H8),ISNUMBER(I8)),(H8+I8)/2,""),IF(G8="TRIANGLE",IF(ISNUMBER(L8),L8,IF(ISNUMBER(J8),J8,"")),IF(ISNUMBER(J8),J8,IF(ISNUMBER(K8),K8,""))))))</f>
        <v/>
      </c>
      <c r="O8" s="32">
        <f>IF(A8="","",IF(G8="FIXED","fixed",IF(G8="UNIFORM","midpoint_median",IF(G8="TRIANGLE",IF(ISNUMBER(L8),"mode",IF(ISNUMBER(J8),"source_median","missing")),IF(ISNUMBER(J8),"source_median",IF(ISNUMBER(K8),"source_mean","missing"))))))</f>
        <v/>
      </c>
      <c r="P8" s="18" t="inlineStr">
        <is>
          <t>SRC-XLS-OLD</t>
        </is>
      </c>
      <c r="Q8" s="18" t="inlineStr">
        <is>
          <t>F01;F09</t>
        </is>
      </c>
      <c r="R8" s="18" t="inlineStr">
        <is>
          <t>采用</t>
        </is>
      </c>
      <c r="S8" s="18" t="inlineStr"/>
      <c r="T8" t="inlineStr">
        <is>
          <t>CAD-04</t>
        </is>
      </c>
    </row>
    <row r="9">
      <c r="A9" s="18" t="inlineStr">
        <is>
          <t>P05</t>
        </is>
      </c>
      <c r="B9" s="18" t="inlineStr">
        <is>
          <t>M3</t>
        </is>
      </c>
      <c r="C9" s="18" t="inlineStr">
        <is>
          <t>SPI_dm_input</t>
        </is>
      </c>
      <c r="D9" s="18" t="inlineStr">
        <is>
          <t>白豆片干物质含量</t>
        </is>
      </c>
      <c r="E9" s="18" t="inlineStr">
        <is>
          <t>原料规格</t>
        </is>
      </c>
      <c r="F9" s="18" t="inlineStr">
        <is>
          <t>kg/kg</t>
        </is>
      </c>
      <c r="G9" s="18" t="inlineStr">
        <is>
          <t>FIXED</t>
        </is>
      </c>
      <c r="H9" s="51" t="n"/>
      <c r="I9" s="51" t="n"/>
      <c r="J9" s="51" t="n"/>
      <c r="K9" s="51" t="n"/>
      <c r="L9" s="51" t="n"/>
      <c r="M9" s="51" t="n">
        <v>0.88</v>
      </c>
      <c r="N9" s="52">
        <f>IF(A9="","",IF(G9="FIXED",M9,IF(G9="UNIFORM",IF(AND(ISNUMBER(H9),ISNUMBER(I9)),(H9+I9)/2,""),IF(G9="TRIANGLE",IF(ISNUMBER(L9),L9,IF(ISNUMBER(J9),J9,"")),IF(ISNUMBER(J9),J9,IF(ISNUMBER(K9),K9,""))))))</f>
        <v/>
      </c>
      <c r="O9" s="32">
        <f>IF(A9="","",IF(G9="FIXED","fixed",IF(G9="UNIFORM","midpoint_median",IF(G9="TRIANGLE",IF(ISNUMBER(L9),"mode",IF(ISNUMBER(J9),"source_median","missing")),IF(ISNUMBER(J9),"source_median",IF(ISNUMBER(K9),"source_mean","missing"))))))</f>
        <v/>
      </c>
      <c r="P9" s="18" t="inlineStr">
        <is>
          <t>SRC-XLS-OLD</t>
        </is>
      </c>
      <c r="Q9" s="18" t="inlineStr">
        <is>
          <t>F01;F21</t>
        </is>
      </c>
      <c r="R9" s="18" t="inlineStr">
        <is>
          <t>采用</t>
        </is>
      </c>
      <c r="S9" s="18" t="inlineStr">
        <is>
          <t>与硬编码 0.93 冲突（Q03）</t>
        </is>
      </c>
      <c r="T9" t="inlineStr">
        <is>
          <t>CAD-05</t>
        </is>
      </c>
    </row>
    <row r="10">
      <c r="A10" s="18" t="inlineStr">
        <is>
          <t>P06</t>
        </is>
      </c>
      <c r="B10" s="18" t="inlineStr">
        <is>
          <t>M3</t>
        </is>
      </c>
      <c r="C10" s="18" t="inlineStr">
        <is>
          <t>SPI_temperature</t>
        </is>
      </c>
      <c r="D10" s="18" t="inlineStr">
        <is>
          <t>浸提升温</t>
        </is>
      </c>
      <c r="E10" s="18" t="inlineStr">
        <is>
          <t>工艺条件</t>
        </is>
      </c>
      <c r="F10" s="18" t="inlineStr">
        <is>
          <t>°C</t>
        </is>
      </c>
      <c r="G10" s="18" t="inlineStr">
        <is>
          <t>TRIANGLE</t>
        </is>
      </c>
      <c r="H10" s="51" t="n">
        <v>28</v>
      </c>
      <c r="I10" s="51" t="n">
        <v>61</v>
      </c>
      <c r="J10" s="51" t="n"/>
      <c r="K10" s="51" t="n"/>
      <c r="L10" s="51" t="n">
        <v>33</v>
      </c>
      <c r="M10" s="51" t="n"/>
      <c r="N10" s="52">
        <f>IF(A10="","",IF(G10="FIXED",M10,IF(G10="UNIFORM",IF(AND(ISNUMBER(H10),ISNUMBER(I10)),(H10+I10)/2,""),IF(G10="TRIANGLE",IF(ISNUMBER(L10),L10,IF(ISNUMBER(J10),J10,"")),IF(ISNUMBER(J10),J10,IF(ISNUMBER(K10),K10,""))))))</f>
        <v/>
      </c>
      <c r="O10" s="32">
        <f>IF(A10="","",IF(G10="FIXED","fixed",IF(G10="UNIFORM","midpoint_median",IF(G10="TRIANGLE",IF(ISNUMBER(L10),"mode",IF(ISNUMBER(J10),"source_median","missing")),IF(ISNUMBER(J10),"source_median",IF(ISNUMBER(K10),"source_mean","missing"))))))</f>
        <v/>
      </c>
      <c r="P10" s="18" t="inlineStr">
        <is>
          <t>SRC-XLS-OLD</t>
        </is>
      </c>
      <c r="Q10" s="18" t="inlineStr">
        <is>
          <t>F18</t>
        </is>
      </c>
      <c r="R10" s="18" t="inlineStr">
        <is>
          <t>采用</t>
        </is>
      </c>
      <c r="S10" s="18" t="inlineStr"/>
      <c r="T10" t="inlineStr">
        <is>
          <t>CAD-06</t>
        </is>
      </c>
    </row>
    <row r="11">
      <c r="A11" s="18" t="inlineStr">
        <is>
          <t>P07</t>
        </is>
      </c>
      <c r="B11" s="18" t="inlineStr">
        <is>
          <t>M3</t>
        </is>
      </c>
      <c r="C11" s="18" t="inlineStr">
        <is>
          <t>SPI_solvent_ratio</t>
        </is>
      </c>
      <c r="D11" s="18" t="inlineStr">
        <is>
          <t>浸提溶剂比</t>
        </is>
      </c>
      <c r="E11" s="18" t="inlineStr">
        <is>
          <t>工艺条件</t>
        </is>
      </c>
      <c r="F11" s="18" t="inlineStr">
        <is>
          <t>kg/kg</t>
        </is>
      </c>
      <c r="G11" s="18" t="inlineStr">
        <is>
          <t>TRIANGLE</t>
        </is>
      </c>
      <c r="H11" s="51" t="n">
        <v>10</v>
      </c>
      <c r="I11" s="51" t="n">
        <v>20</v>
      </c>
      <c r="J11" s="51" t="n"/>
      <c r="K11" s="51" t="n"/>
      <c r="L11" s="51" t="n">
        <v>10</v>
      </c>
      <c r="M11" s="51" t="n"/>
      <c r="N11" s="52">
        <f>IF(A11="","",IF(G11="FIXED",M11,IF(G11="UNIFORM",IF(AND(ISNUMBER(H11),ISNUMBER(I11)),(H11+I11)/2,""),IF(G11="TRIANGLE",IF(ISNUMBER(L11),L11,IF(ISNUMBER(J11),J11,"")),IF(ISNUMBER(J11),J11,IF(ISNUMBER(K11),K11,""))))))</f>
        <v/>
      </c>
      <c r="O11" s="32">
        <f>IF(A11="","",IF(G11="FIXED","fixed",IF(G11="UNIFORM","midpoint_median",IF(G11="TRIANGLE",IF(ISNUMBER(L11),"mode",IF(ISNUMBER(J11),"source_median","missing")),IF(ISNUMBER(J11),"source_median",IF(ISNUMBER(K11),"source_mean","missing"))))))</f>
        <v/>
      </c>
      <c r="P11" s="18" t="inlineStr">
        <is>
          <t>SRC-XLS-OLD</t>
        </is>
      </c>
      <c r="Q11" s="18" t="inlineStr">
        <is>
          <t>F13;F21</t>
        </is>
      </c>
      <c r="R11" s="18" t="inlineStr">
        <is>
          <t>采用</t>
        </is>
      </c>
      <c r="S11" s="18" t="inlineStr"/>
      <c r="T11" t="inlineStr">
        <is>
          <t>CAD-07</t>
        </is>
      </c>
    </row>
    <row r="12">
      <c r="A12" s="18" t="inlineStr">
        <is>
          <t>P08</t>
        </is>
      </c>
      <c r="B12" s="18" t="inlineStr">
        <is>
          <t>M2</t>
        </is>
      </c>
      <c r="C12" s="18" t="inlineStr">
        <is>
          <t>Soy_defatting_input</t>
        </is>
      </c>
      <c r="D12" s="18" t="inlineStr">
        <is>
          <t>脱皮豆/白豆片比</t>
        </is>
      </c>
      <c r="E12" s="18" t="inlineStr">
        <is>
          <t>上游换算</t>
        </is>
      </c>
      <c r="F12" s="18" t="inlineStr">
        <is>
          <t>kg/kg</t>
        </is>
      </c>
      <c r="G12" s="18" t="inlineStr">
        <is>
          <t>TRIANGLE</t>
        </is>
      </c>
      <c r="H12" s="51" t="n">
        <v>1.21</v>
      </c>
      <c r="I12" s="51" t="n">
        <v>1.29</v>
      </c>
      <c r="J12" s="51" t="n"/>
      <c r="K12" s="51" t="n"/>
      <c r="L12" s="51" t="n">
        <v>1.27</v>
      </c>
      <c r="M12" s="51" t="n"/>
      <c r="N12" s="52">
        <f>IF(A12="","",IF(G12="FIXED",M12,IF(G12="UNIFORM",IF(AND(ISNUMBER(H12),ISNUMBER(I12)),(H12+I12)/2,""),IF(G12="TRIANGLE",IF(ISNUMBER(L12),L12,IF(ISNUMBER(J12),J12,"")),IF(ISNUMBER(J12),J12,IF(ISNUMBER(K12),K12,""))))))</f>
        <v/>
      </c>
      <c r="O12" s="32">
        <f>IF(A12="","",IF(G12="FIXED","fixed",IF(G12="UNIFORM","midpoint_median",IF(G12="TRIANGLE",IF(ISNUMBER(L12),"mode",IF(ISNUMBER(J12),"source_median","missing")),IF(ISNUMBER(J12),"source_median",IF(ISNUMBER(K12),"source_mean","missing"))))))</f>
        <v/>
      </c>
      <c r="P12" s="18" t="inlineStr">
        <is>
          <t>SRC-XLS-OLD</t>
        </is>
      </c>
      <c r="Q12" s="18" t="inlineStr">
        <is>
          <t>F01;F02</t>
        </is>
      </c>
      <c r="R12" s="18" t="inlineStr">
        <is>
          <t>采用</t>
        </is>
      </c>
      <c r="S12" s="18" t="inlineStr"/>
      <c r="T12" t="inlineStr">
        <is>
          <t>CAD-08</t>
        </is>
      </c>
    </row>
    <row r="13">
      <c r="A13" s="18" t="inlineStr">
        <is>
          <t>P09</t>
        </is>
      </c>
      <c r="B13" s="18" t="inlineStr">
        <is>
          <t>M2</t>
        </is>
      </c>
      <c r="C13" s="18" t="inlineStr">
        <is>
          <t>Soy_defatting_water</t>
        </is>
      </c>
      <c r="D13" s="18" t="inlineStr">
        <is>
          <t>脱脂工艺水</t>
        </is>
      </c>
      <c r="E13" s="18" t="inlineStr">
        <is>
          <t>外部输入</t>
        </is>
      </c>
      <c r="F13" s="18" t="inlineStr">
        <is>
          <t>l/kg</t>
        </is>
      </c>
      <c r="G13" s="18" t="inlineStr">
        <is>
          <t>TRIANGLE</t>
        </is>
      </c>
      <c r="H13" s="51" t="n"/>
      <c r="I13" s="51" t="n"/>
      <c r="J13" s="51" t="n"/>
      <c r="K13" s="51" t="n"/>
      <c r="L13" s="51" t="n">
        <v>0.3148652353</v>
      </c>
      <c r="M13" s="51" t="n"/>
      <c r="N13" s="52">
        <f>IF(A13="","",IF(G13="FIXED",M13,IF(G13="UNIFORM",IF(AND(ISNUMBER(H13),ISNUMBER(I13)),(H13+I13)/2,""),IF(G13="TRIANGLE",IF(ISNUMBER(L13),L13,IF(ISNUMBER(J13),J13,"")),IF(ISNUMBER(J13),J13,IF(ISNUMBER(K13),K13,""))))))</f>
        <v/>
      </c>
      <c r="O13" s="32">
        <f>IF(A13="","",IF(G13="FIXED","fixed",IF(G13="UNIFORM","midpoint_median",IF(G13="TRIANGLE",IF(ISNUMBER(L13),"mode",IF(ISNUMBER(J13),"source_median","missing")),IF(ISNUMBER(J13),"source_median",IF(ISNUMBER(K13),"source_mean","missing"))))))</f>
        <v/>
      </c>
      <c r="P13" s="18" t="inlineStr">
        <is>
          <t>SRC-XLS-OLD</t>
        </is>
      </c>
      <c r="Q13" s="18" t="inlineStr">
        <is>
          <t>F05</t>
        </is>
      </c>
      <c r="R13" s="18" t="inlineStr">
        <is>
          <t>采用</t>
        </is>
      </c>
      <c r="S13" s="18" t="inlineStr">
        <is>
          <t>min/max 见源表</t>
        </is>
      </c>
      <c r="T13" t="inlineStr">
        <is>
          <t>CAD-09</t>
        </is>
      </c>
    </row>
    <row r="14">
      <c r="A14" s="18" t="inlineStr">
        <is>
          <t>P10</t>
        </is>
      </c>
      <c r="B14" s="18" t="inlineStr">
        <is>
          <t>M2</t>
        </is>
      </c>
      <c r="C14" s="18" t="inlineStr">
        <is>
          <t>Soy_defatting_wastewater</t>
        </is>
      </c>
      <c r="D14" s="18" t="inlineStr">
        <is>
          <t>脱脂废水</t>
        </is>
      </c>
      <c r="E14" s="18" t="inlineStr">
        <is>
          <t>模块输出</t>
        </is>
      </c>
      <c r="F14" s="18" t="inlineStr">
        <is>
          <t>l/kg</t>
        </is>
      </c>
      <c r="G14" s="18" t="inlineStr">
        <is>
          <t>TRIANGLE</t>
        </is>
      </c>
      <c r="H14" s="51" t="n"/>
      <c r="I14" s="51" t="n"/>
      <c r="J14" s="51" t="n"/>
      <c r="K14" s="51" t="n"/>
      <c r="L14" s="51" t="n">
        <v>0.3148652353</v>
      </c>
      <c r="M14" s="51" t="n"/>
      <c r="N14" s="52">
        <f>IF(A14="","",IF(G14="FIXED",M14,IF(G14="UNIFORM",IF(AND(ISNUMBER(H14),ISNUMBER(I14)),(H14+I14)/2,""),IF(G14="TRIANGLE",IF(ISNUMBER(L14),L14,IF(ISNUMBER(J14),J14,"")),IF(ISNUMBER(J14),J14,IF(ISNUMBER(K14),K14,""))))))</f>
        <v/>
      </c>
      <c r="O14" s="32">
        <f>IF(A14="","",IF(G14="FIXED","fixed",IF(G14="UNIFORM","midpoint_median",IF(G14="TRIANGLE",IF(ISNUMBER(L14),"mode",IF(ISNUMBER(J14),"source_median","missing")),IF(ISNUMBER(J14),"source_median",IF(ISNUMBER(K14),"source_mean","missing"))))))</f>
        <v/>
      </c>
      <c r="P14" s="18" t="inlineStr">
        <is>
          <t>SRC-XLS-OLD</t>
        </is>
      </c>
      <c r="Q14" s="18" t="inlineStr">
        <is>
          <t>F11</t>
        </is>
      </c>
      <c r="R14" s="18" t="inlineStr">
        <is>
          <t>采用</t>
        </is>
      </c>
      <c r="S14" s="18" t="inlineStr"/>
      <c r="T14" t="inlineStr">
        <is>
          <t>CAD-10</t>
        </is>
      </c>
    </row>
    <row r="15">
      <c r="A15" s="18" t="inlineStr">
        <is>
          <t>P11</t>
        </is>
      </c>
      <c r="B15" s="18" t="inlineStr">
        <is>
          <t>M2</t>
        </is>
      </c>
      <c r="C15" s="18" t="inlineStr">
        <is>
          <t>Soy_defatting_hexane</t>
        </is>
      </c>
      <c r="D15" s="18" t="inlineStr">
        <is>
          <t>fresh hexane</t>
        </is>
      </c>
      <c r="E15" s="18" t="inlineStr">
        <is>
          <t>溶剂净补充</t>
        </is>
      </c>
      <c r="F15" s="18" t="inlineStr">
        <is>
          <t>kg/kg</t>
        </is>
      </c>
      <c r="G15" s="18" t="inlineStr">
        <is>
          <t>TRIANGLE</t>
        </is>
      </c>
      <c r="H15" s="51" t="n"/>
      <c r="I15" s="51" t="n"/>
      <c r="J15" s="51" t="n"/>
      <c r="K15" s="51" t="n"/>
      <c r="L15" s="51" t="n">
        <v>0.001374100719</v>
      </c>
      <c r="M15" s="51" t="n"/>
      <c r="N15" s="52">
        <f>IF(A15="","",IF(G15="FIXED",M15,IF(G15="UNIFORM",IF(AND(ISNUMBER(H15),ISNUMBER(I15)),(H15+I15)/2,""),IF(G15="TRIANGLE",IF(ISNUMBER(L15),L15,IF(ISNUMBER(J15),J15,"")),IF(ISNUMBER(J15),J15,IF(ISNUMBER(K15),K15,""))))))</f>
        <v/>
      </c>
      <c r="O15" s="32">
        <f>IF(A15="","",IF(G15="FIXED","fixed",IF(G15="UNIFORM","midpoint_median",IF(G15="TRIANGLE",IF(ISNUMBER(L15),"mode",IF(ISNUMBER(J15),"source_median","missing")),IF(ISNUMBER(J15),"source_median",IF(ISNUMBER(K15),"source_mean","missing"))))))</f>
        <v/>
      </c>
      <c r="P15" s="18" t="inlineStr">
        <is>
          <t>SRC-XLS-OLD</t>
        </is>
      </c>
      <c r="Q15" s="18" t="inlineStr">
        <is>
          <t>F06;F12</t>
        </is>
      </c>
      <c r="R15" s="18" t="inlineStr">
        <is>
          <t>采用</t>
        </is>
      </c>
      <c r="S15" s="18" t="inlineStr"/>
      <c r="T15" t="inlineStr">
        <is>
          <t>CAD-11</t>
        </is>
      </c>
    </row>
    <row r="16">
      <c r="A16" s="18" t="inlineStr">
        <is>
          <t>P12</t>
        </is>
      </c>
      <c r="B16" s="18" t="inlineStr">
        <is>
          <t>M2</t>
        </is>
      </c>
      <c r="C16" s="18" t="inlineStr">
        <is>
          <t>Soy_defatting_electricity</t>
        </is>
      </c>
      <c r="D16" s="18" t="inlineStr">
        <is>
          <t>脱脂电耗</t>
        </is>
      </c>
      <c r="E16" s="18" t="inlineStr">
        <is>
          <t>模块能耗</t>
        </is>
      </c>
      <c r="F16" s="18" t="inlineStr">
        <is>
          <t>kJ/kg</t>
        </is>
      </c>
      <c r="G16" s="18" t="inlineStr">
        <is>
          <t>TRIANGLE</t>
        </is>
      </c>
      <c r="H16" s="51" t="n"/>
      <c r="I16" s="51" t="n"/>
      <c r="J16" s="51" t="n"/>
      <c r="K16" s="51" t="n"/>
      <c r="L16" s="51" t="n">
        <v>142.9829586</v>
      </c>
      <c r="M16" s="51" t="n"/>
      <c r="N16" s="52">
        <f>IF(A16="","",IF(G16="FIXED",M16,IF(G16="UNIFORM",IF(AND(ISNUMBER(H16),ISNUMBER(I16)),(H16+I16)/2,""),IF(G16="TRIANGLE",IF(ISNUMBER(L16),L16,IF(ISNUMBER(J16),J16,"")),IF(ISNUMBER(J16),J16,IF(ISNUMBER(K16),K16,""))))))</f>
        <v/>
      </c>
      <c r="O16" s="32">
        <f>IF(A16="","",IF(G16="FIXED","fixed",IF(G16="UNIFORM","midpoint_median",IF(G16="TRIANGLE",IF(ISNUMBER(L16),"mode",IF(ISNUMBER(J16),"source_median","missing")),IF(ISNUMBER(J16),"source_median",IF(ISNUMBER(K16),"source_mean","missing"))))))</f>
        <v/>
      </c>
      <c r="P16" s="18" t="inlineStr">
        <is>
          <t>SRC-XLS-OLD</t>
        </is>
      </c>
      <c r="Q16" s="18" t="inlineStr">
        <is>
          <t>F07</t>
        </is>
      </c>
      <c r="R16" s="18" t="inlineStr">
        <is>
          <t>采用</t>
        </is>
      </c>
      <c r="S16" s="18" t="inlineStr"/>
      <c r="T16" t="inlineStr">
        <is>
          <t>CAD-12</t>
        </is>
      </c>
    </row>
    <row r="17">
      <c r="A17" s="18" t="inlineStr">
        <is>
          <t>P13</t>
        </is>
      </c>
      <c r="B17" s="18" t="inlineStr">
        <is>
          <t>M2</t>
        </is>
      </c>
      <c r="C17" s="18" t="inlineStr">
        <is>
          <t>Soy_defatting_heat</t>
        </is>
      </c>
      <c r="D17" s="18" t="inlineStr">
        <is>
          <t>脱脂热耗</t>
        </is>
      </c>
      <c r="E17" s="18" t="inlineStr">
        <is>
          <t>模块能耗</t>
        </is>
      </c>
      <c r="F17" s="18" t="inlineStr">
        <is>
          <t>kJ/kg</t>
        </is>
      </c>
      <c r="G17" s="18" t="inlineStr">
        <is>
          <t>TRIANGLE</t>
        </is>
      </c>
      <c r="H17" s="51" t="n"/>
      <c r="I17" s="51" t="n"/>
      <c r="J17" s="51" t="n"/>
      <c r="K17" s="51" t="n"/>
      <c r="L17" s="51" t="n">
        <v>951.9179633</v>
      </c>
      <c r="M17" s="51" t="n"/>
      <c r="N17" s="52">
        <f>IF(A17="","",IF(G17="FIXED",M17,IF(G17="UNIFORM",IF(AND(ISNUMBER(H17),ISNUMBER(I17)),(H17+I17)/2,""),IF(G17="TRIANGLE",IF(ISNUMBER(L17),L17,IF(ISNUMBER(J17),J17,"")),IF(ISNUMBER(J17),J17,IF(ISNUMBER(K17),K17,""))))))</f>
        <v/>
      </c>
      <c r="O17" s="32">
        <f>IF(A17="","",IF(G17="FIXED","fixed",IF(G17="UNIFORM","midpoint_median",IF(G17="TRIANGLE",IF(ISNUMBER(L17),"mode",IF(ISNUMBER(J17),"source_median","missing")),IF(ISNUMBER(J17),"source_median",IF(ISNUMBER(K17),"source_mean","missing"))))))</f>
        <v/>
      </c>
      <c r="P17" s="18" t="inlineStr">
        <is>
          <t>SRC-XLS-OLD</t>
        </is>
      </c>
      <c r="Q17" s="18" t="inlineStr">
        <is>
          <t>F08</t>
        </is>
      </c>
      <c r="R17" s="18" t="inlineStr">
        <is>
          <t>采用</t>
        </is>
      </c>
      <c r="S17" s="18" t="inlineStr"/>
      <c r="T17" t="inlineStr">
        <is>
          <t>CAD-13</t>
        </is>
      </c>
    </row>
    <row r="18">
      <c r="A18" s="18" t="inlineStr">
        <is>
          <t>P14</t>
        </is>
      </c>
      <c r="B18" s="18" t="inlineStr">
        <is>
          <t>M2</t>
        </is>
      </c>
      <c r="C18" s="18" t="inlineStr">
        <is>
          <t>Soy_defatting_oil_production</t>
        </is>
      </c>
      <c r="D18" s="18" t="inlineStr">
        <is>
          <t>豆油产率</t>
        </is>
      </c>
      <c r="E18" s="18" t="inlineStr">
        <is>
          <t>共产品</t>
        </is>
      </c>
      <c r="F18" s="18" t="inlineStr">
        <is>
          <t>kg/kg</t>
        </is>
      </c>
      <c r="G18" s="18" t="inlineStr">
        <is>
          <t>TRIANGLE</t>
        </is>
      </c>
      <c r="H18" s="51" t="n">
        <v>0.191</v>
      </c>
      <c r="I18" s="51" t="n">
        <v>0.26</v>
      </c>
      <c r="J18" s="51" t="n"/>
      <c r="K18" s="51" t="n"/>
      <c r="L18" s="51" t="n">
        <v>0.24</v>
      </c>
      <c r="M18" s="51" t="n"/>
      <c r="N18" s="52">
        <f>IF(A18="","",IF(G18="FIXED",M18,IF(G18="UNIFORM",IF(AND(ISNUMBER(H18),ISNUMBER(I18)),(H18+I18)/2,""),IF(G18="TRIANGLE",IF(ISNUMBER(L18),L18,IF(ISNUMBER(J18),J18,"")),IF(ISNUMBER(J18),J18,IF(ISNUMBER(K18),K18,""))))))</f>
        <v/>
      </c>
      <c r="O18" s="32">
        <f>IF(A18="","",IF(G18="FIXED","fixed",IF(G18="UNIFORM","midpoint_median",IF(G18="TRIANGLE",IF(ISNUMBER(L18),"mode",IF(ISNUMBER(J18),"source_median","missing")),IF(ISNUMBER(J18),"source_median",IF(ISNUMBER(K18),"source_mean","missing"))))))</f>
        <v/>
      </c>
      <c r="P18" s="18" t="inlineStr">
        <is>
          <t>SRC-XLS-OLD</t>
        </is>
      </c>
      <c r="Q18" s="18" t="inlineStr">
        <is>
          <t>F10</t>
        </is>
      </c>
      <c r="R18" s="18" t="inlineStr">
        <is>
          <t>采用</t>
        </is>
      </c>
      <c r="S18" s="18" t="inlineStr"/>
      <c r="T18" t="inlineStr">
        <is>
          <t>CAD-14</t>
        </is>
      </c>
    </row>
    <row r="19">
      <c r="A19" s="18" t="inlineStr">
        <is>
          <t>P15</t>
        </is>
      </c>
      <c r="B19" s="18" t="inlineStr">
        <is>
          <t>M1</t>
        </is>
      </c>
      <c r="C19" s="18" t="inlineStr">
        <is>
          <t>Soy_dehulling_hulls</t>
        </is>
      </c>
      <c r="D19" s="18" t="inlineStr">
        <is>
          <t>豆皮系数</t>
        </is>
      </c>
      <c r="E19" s="18" t="inlineStr">
        <is>
          <t>共产品</t>
        </is>
      </c>
      <c r="F19" s="18" t="inlineStr">
        <is>
          <t>kg/kg</t>
        </is>
      </c>
      <c r="G19" s="18" t="inlineStr">
        <is>
          <t>FIXED</t>
        </is>
      </c>
      <c r="H19" s="51" t="n"/>
      <c r="I19" s="51" t="n"/>
      <c r="J19" s="51" t="n"/>
      <c r="K19" s="51" t="n"/>
      <c r="L19" s="51" t="n"/>
      <c r="M19" s="51" t="n">
        <v>0.08</v>
      </c>
      <c r="N19" s="52">
        <f>IF(A19="","",IF(G19="FIXED",M19,IF(G19="UNIFORM",IF(AND(ISNUMBER(H19),ISNUMBER(I19)),(H19+I19)/2,""),IF(G19="TRIANGLE",IF(ISNUMBER(L19),L19,IF(ISNUMBER(J19),J19,"")),IF(ISNUMBER(J19),J19,IF(ISNUMBER(K19),K19,""))))))</f>
        <v/>
      </c>
      <c r="O19" s="32">
        <f>IF(A19="","",IF(G19="FIXED","fixed",IF(G19="UNIFORM","midpoint_median",IF(G19="TRIANGLE",IF(ISNUMBER(L19),"mode",IF(ISNUMBER(J19),"source_median","missing")),IF(ISNUMBER(J19),"source_median",IF(ISNUMBER(K19),"source_mean","missing"))))))</f>
        <v/>
      </c>
      <c r="P19" s="18" t="inlineStr">
        <is>
          <t>SRC-XLS-OLD</t>
        </is>
      </c>
      <c r="Q19" s="18" t="inlineStr">
        <is>
          <t>F03</t>
        </is>
      </c>
      <c r="R19" s="18" t="inlineStr">
        <is>
          <t>采用</t>
        </is>
      </c>
      <c r="S19" s="18" t="inlineStr"/>
      <c r="T19" t="inlineStr">
        <is>
          <t>CAD-15</t>
        </is>
      </c>
    </row>
    <row r="20">
      <c r="A20" s="18" t="inlineStr">
        <is>
          <t>P16</t>
        </is>
      </c>
      <c r="B20" s="18" t="inlineStr">
        <is>
          <t>M1</t>
        </is>
      </c>
      <c r="C20" s="18" t="inlineStr">
        <is>
          <t>Soy_dehulling_electricity</t>
        </is>
      </c>
      <c r="D20" s="18" t="inlineStr">
        <is>
          <t>脱皮电耗</t>
        </is>
      </c>
      <c r="E20" s="18" t="inlineStr">
        <is>
          <t>模块能耗</t>
        </is>
      </c>
      <c r="F20" s="18" t="inlineStr">
        <is>
          <t>kJ/kg</t>
        </is>
      </c>
      <c r="G20" s="18" t="inlineStr">
        <is>
          <t>TRIANGLE</t>
        </is>
      </c>
      <c r="H20" s="51" t="n">
        <v>5</v>
      </c>
      <c r="I20" s="51" t="n">
        <v>30</v>
      </c>
      <c r="J20" s="51" t="n"/>
      <c r="K20" s="51" t="n"/>
      <c r="L20" s="51" t="n">
        <v>23.4</v>
      </c>
      <c r="M20" s="51" t="n"/>
      <c r="N20" s="52">
        <f>IF(A20="","",IF(G20="FIXED",M20,IF(G20="UNIFORM",IF(AND(ISNUMBER(H20),ISNUMBER(I20)),(H20+I20)/2,""),IF(G20="TRIANGLE",IF(ISNUMBER(L20),L20,IF(ISNUMBER(J20),J20,"")),IF(ISNUMBER(J20),J20,IF(ISNUMBER(K20),K20,""))))))</f>
        <v/>
      </c>
      <c r="O20" s="32">
        <f>IF(A20="","",IF(G20="FIXED","fixed",IF(G20="UNIFORM","midpoint_median",IF(G20="TRIANGLE",IF(ISNUMBER(L20),"mode",IF(ISNUMBER(J20),"source_median","missing")),IF(ISNUMBER(J20),"source_median",IF(ISNUMBER(K20),"source_mean","missing"))))))</f>
        <v/>
      </c>
      <c r="P20" s="18" t="inlineStr">
        <is>
          <t>SRC-XLS-OLD</t>
        </is>
      </c>
      <c r="Q20" s="18" t="inlineStr">
        <is>
          <t>F04</t>
        </is>
      </c>
      <c r="R20" s="18" t="inlineStr">
        <is>
          <t>采用</t>
        </is>
      </c>
      <c r="S20" s="18" t="inlineStr"/>
      <c r="T20" t="inlineStr">
        <is>
          <t>CAD-16</t>
        </is>
      </c>
    </row>
    <row r="21">
      <c r="A21" s="18" t="inlineStr">
        <is>
          <t>P17</t>
        </is>
      </c>
      <c r="B21" s="18" t="inlineStr">
        <is>
          <t>M3</t>
        </is>
      </c>
      <c r="C21" s="18" t="inlineStr">
        <is>
          <t>Electricity_centrifugal_decanter</t>
        </is>
      </c>
      <c r="D21" s="18" t="inlineStr">
        <is>
          <t>离心单位电耗</t>
        </is>
      </c>
      <c r="E21" s="18" t="inlineStr">
        <is>
          <t>设备参数</t>
        </is>
      </c>
      <c r="F21" s="18" t="inlineStr">
        <is>
          <t>MJ/m3</t>
        </is>
      </c>
      <c r="G21" s="18" t="inlineStr">
        <is>
          <t>TRIANGLE</t>
        </is>
      </c>
      <c r="H21" s="51" t="n">
        <v>1.08</v>
      </c>
      <c r="I21" s="51" t="n">
        <v>3.744</v>
      </c>
      <c r="J21" s="51" t="n"/>
      <c r="K21" s="51" t="n"/>
      <c r="L21" s="51" t="n">
        <v>3.42</v>
      </c>
      <c r="M21" s="51" t="n"/>
      <c r="N21" s="52">
        <f>IF(A21="","",IF(G21="FIXED",M21,IF(G21="UNIFORM",IF(AND(ISNUMBER(H21),ISNUMBER(I21)),(H21+I21)/2,""),IF(G21="TRIANGLE",IF(ISNUMBER(L21),L21,IF(ISNUMBER(J21),J21,"")),IF(ISNUMBER(J21),J21,IF(ISNUMBER(K21),K21,""))))))</f>
        <v/>
      </c>
      <c r="O21" s="32">
        <f>IF(A21="","",IF(G21="FIXED","fixed",IF(G21="UNIFORM","midpoint_median",IF(G21="TRIANGLE",IF(ISNUMBER(L21),"mode",IF(ISNUMBER(J21),"source_median","missing")),IF(ISNUMBER(J21),"source_median",IF(ISNUMBER(K21),"source_mean","missing"))))))</f>
        <v/>
      </c>
      <c r="P21" s="18" t="inlineStr">
        <is>
          <t>SRC-XLS-OLD</t>
        </is>
      </c>
      <c r="Q21" s="18" t="inlineStr">
        <is>
          <t>F17</t>
        </is>
      </c>
      <c r="R21" s="18" t="inlineStr">
        <is>
          <t>采用</t>
        </is>
      </c>
      <c r="S21" s="18" t="inlineStr"/>
      <c r="T21" t="inlineStr">
        <is>
          <t>CAD-17</t>
        </is>
      </c>
    </row>
    <row r="22">
      <c r="A22" s="18" t="inlineStr">
        <is>
          <t>P18</t>
        </is>
      </c>
      <c r="B22" s="18" t="inlineStr">
        <is>
          <t>M3</t>
        </is>
      </c>
      <c r="C22" s="18" t="inlineStr">
        <is>
          <t>Electricity_pressing</t>
        </is>
      </c>
      <c r="D22" s="18" t="inlineStr">
        <is>
          <t>压榨单位电耗</t>
        </is>
      </c>
      <c r="E22" s="18" t="inlineStr">
        <is>
          <t>设备参数</t>
        </is>
      </c>
      <c r="F22" s="18" t="inlineStr">
        <is>
          <t>kJ/kg</t>
        </is>
      </c>
      <c r="G22" s="18" t="inlineStr">
        <is>
          <t>UNIFORM</t>
        </is>
      </c>
      <c r="H22" s="51" t="n">
        <v>0.39</v>
      </c>
      <c r="I22" s="51" t="n">
        <v>1.89</v>
      </c>
      <c r="J22" s="51" t="n"/>
      <c r="K22" s="51" t="n"/>
      <c r="L22" s="51" t="n"/>
      <c r="M22" s="51" t="n"/>
      <c r="N22" s="52">
        <f>IF(A22="","",IF(G22="FIXED",M22,IF(G22="UNIFORM",IF(AND(ISNUMBER(H22),ISNUMBER(I22)),(H22+I22)/2,""),IF(G22="TRIANGLE",IF(ISNUMBER(L22),L22,IF(ISNUMBER(J22),J22,"")),IF(ISNUMBER(J22),J22,IF(ISNUMBER(K22),K22,""))))))</f>
        <v/>
      </c>
      <c r="O22" s="32">
        <f>IF(A22="","",IF(G22="FIXED","fixed",IF(G22="UNIFORM","midpoint_median",IF(G22="TRIANGLE",IF(ISNUMBER(L22),"mode",IF(ISNUMBER(J22),"source_median","missing")),IF(ISNUMBER(J22),"source_median",IF(ISNUMBER(K22),"source_mean","missing"))))))</f>
        <v/>
      </c>
      <c r="P22" s="18" t="inlineStr">
        <is>
          <t>SRC-XLS-OLD</t>
        </is>
      </c>
      <c r="Q22" s="18" t="inlineStr">
        <is>
          <t>F17</t>
        </is>
      </c>
      <c r="R22" s="18" t="inlineStr">
        <is>
          <t>采用</t>
        </is>
      </c>
      <c r="S22" s="18" t="inlineStr"/>
      <c r="T22" t="inlineStr">
        <is>
          <t>CAD-18</t>
        </is>
      </c>
    </row>
    <row r="23">
      <c r="A23" s="18" t="inlineStr">
        <is>
          <t>P19</t>
        </is>
      </c>
      <c r="B23" s="18" t="inlineStr">
        <is>
          <t>M3</t>
        </is>
      </c>
      <c r="C23" s="18" t="inlineStr">
        <is>
          <t>Electricity_pumping</t>
        </is>
      </c>
      <c r="D23" s="18" t="inlineStr">
        <is>
          <t>泵送附加比例</t>
        </is>
      </c>
      <c r="E23" s="18" t="inlineStr">
        <is>
          <t>设备参数</t>
        </is>
      </c>
      <c r="F23" s="18" t="inlineStr">
        <is>
          <t>fraction</t>
        </is>
      </c>
      <c r="G23" s="18" t="inlineStr">
        <is>
          <t>TRIANGLE</t>
        </is>
      </c>
      <c r="H23" s="51" t="n">
        <v>0.09</v>
      </c>
      <c r="I23" s="51" t="n">
        <v>0.164</v>
      </c>
      <c r="J23" s="51" t="n"/>
      <c r="K23" s="51" t="n"/>
      <c r="L23" s="51" t="n">
        <v>0.15</v>
      </c>
      <c r="M23" s="51" t="n"/>
      <c r="N23" s="52">
        <f>IF(A23="","",IF(G23="FIXED",M23,IF(G23="UNIFORM",IF(AND(ISNUMBER(H23),ISNUMBER(I23)),(H23+I23)/2,""),IF(G23="TRIANGLE",IF(ISNUMBER(L23),L23,IF(ISNUMBER(J23),J23,"")),IF(ISNUMBER(J23),J23,IF(ISNUMBER(K23),K23,""))))))</f>
        <v/>
      </c>
      <c r="O23" s="32">
        <f>IF(A23="","",IF(G23="FIXED","fixed",IF(G23="UNIFORM","midpoint_median",IF(G23="TRIANGLE",IF(ISNUMBER(L23),"mode",IF(ISNUMBER(J23),"source_median","missing")),IF(ISNUMBER(J23),"source_median",IF(ISNUMBER(K23),"source_mean","missing"))))))</f>
        <v/>
      </c>
      <c r="P23" s="18" t="inlineStr">
        <is>
          <t>SRC-XLS-OLD</t>
        </is>
      </c>
      <c r="Q23" s="18" t="inlineStr">
        <is>
          <t>F17</t>
        </is>
      </c>
      <c r="R23" s="18" t="inlineStr">
        <is>
          <t>采用</t>
        </is>
      </c>
      <c r="S23" s="18" t="inlineStr">
        <is>
          <t>按 15% 使用</t>
        </is>
      </c>
      <c r="T23" t="inlineStr">
        <is>
          <t>CAD-19</t>
        </is>
      </c>
    </row>
    <row r="24">
      <c r="A24" s="18" t="inlineStr">
        <is>
          <t>P20</t>
        </is>
      </c>
      <c r="B24" s="18" t="inlineStr">
        <is>
          <t>M3</t>
        </is>
      </c>
      <c r="C24" s="18" t="inlineStr">
        <is>
          <t>Heat_flash_drier</t>
        </is>
      </c>
      <c r="D24" s="18" t="inlineStr">
        <is>
          <t>闪蒸单位热耗</t>
        </is>
      </c>
      <c r="E24" s="18" t="inlineStr">
        <is>
          <t>设备参数</t>
        </is>
      </c>
      <c r="F24" s="18" t="inlineStr">
        <is>
          <t>kJ/kg 蒸发水</t>
        </is>
      </c>
      <c r="G24" s="18" t="inlineStr">
        <is>
          <t>TRIANGLE</t>
        </is>
      </c>
      <c r="H24" s="51" t="n">
        <v>3600</v>
      </c>
      <c r="I24" s="51" t="n">
        <v>5040</v>
      </c>
      <c r="J24" s="51" t="n"/>
      <c r="K24" s="51" t="n"/>
      <c r="L24" s="51" t="n">
        <v>3600</v>
      </c>
      <c r="M24" s="51" t="n"/>
      <c r="N24" s="52">
        <f>IF(A24="","",IF(G24="FIXED",M24,IF(G24="UNIFORM",IF(AND(ISNUMBER(H24),ISNUMBER(I24)),(H24+I24)/2,""),IF(G24="TRIANGLE",IF(ISNUMBER(L24),L24,IF(ISNUMBER(J24),J24,"")),IF(ISNUMBER(J24),J24,IF(ISNUMBER(K24),K24,""))))))</f>
        <v/>
      </c>
      <c r="O24" s="32">
        <f>IF(A24="","",IF(G24="FIXED","fixed",IF(G24="UNIFORM","midpoint_median",IF(G24="TRIANGLE",IF(ISNUMBER(L24),"mode",IF(ISNUMBER(J24),"source_median","missing")),IF(ISNUMBER(J24),"source_median",IF(ISNUMBER(K24),"source_mean","missing"))))))</f>
        <v/>
      </c>
      <c r="P24" s="18" t="inlineStr">
        <is>
          <t>SRC-XLS-OLD</t>
        </is>
      </c>
      <c r="Q24" s="18" t="inlineStr">
        <is>
          <t>F18</t>
        </is>
      </c>
      <c r="R24" s="18" t="inlineStr">
        <is>
          <t>采用</t>
        </is>
      </c>
      <c r="S24" s="18" t="inlineStr"/>
      <c r="T24" t="inlineStr">
        <is>
          <t>CAD-20</t>
        </is>
      </c>
    </row>
    <row r="25">
      <c r="A25" s="18" t="inlineStr">
        <is>
          <t>P21</t>
        </is>
      </c>
      <c r="B25" s="18" t="inlineStr">
        <is>
          <t>M3</t>
        </is>
      </c>
      <c r="C25" s="18" t="inlineStr">
        <is>
          <t>Heat_spray_drier</t>
        </is>
      </c>
      <c r="D25" s="18" t="inlineStr">
        <is>
          <t>喷雾单位热耗</t>
        </is>
      </c>
      <c r="E25" s="18" t="inlineStr">
        <is>
          <t>设备参数</t>
        </is>
      </c>
      <c r="F25" s="18" t="inlineStr">
        <is>
          <t>kJ/kg 蒸发水</t>
        </is>
      </c>
      <c r="G25" s="18" t="inlineStr">
        <is>
          <t>UNIFORM</t>
        </is>
      </c>
      <c r="H25" s="51" t="n">
        <v>3268</v>
      </c>
      <c r="I25" s="51" t="n">
        <v>6333</v>
      </c>
      <c r="J25" s="51" t="n"/>
      <c r="K25" s="51" t="n"/>
      <c r="L25" s="51" t="n"/>
      <c r="M25" s="51" t="n"/>
      <c r="N25" s="52">
        <f>IF(A25="","",IF(G25="FIXED",M25,IF(G25="UNIFORM",IF(AND(ISNUMBER(H25),ISNUMBER(I25)),(H25+I25)/2,""),IF(G25="TRIANGLE",IF(ISNUMBER(L25),L25,IF(ISNUMBER(J25),J25,"")),IF(ISNUMBER(J25),J25,IF(ISNUMBER(K25),K25,""))))))</f>
        <v/>
      </c>
      <c r="O25" s="32">
        <f>IF(A25="","",IF(G25="FIXED","fixed",IF(G25="UNIFORM","midpoint_median",IF(G25="TRIANGLE",IF(ISNUMBER(L25),"mode",IF(ISNUMBER(J25),"source_median","missing")),IF(ISNUMBER(J25),"source_median",IF(ISNUMBER(K25),"source_mean","missing"))))))</f>
        <v/>
      </c>
      <c r="P25" s="18" t="inlineStr">
        <is>
          <t>SRC-XLS-OLD</t>
        </is>
      </c>
      <c r="Q25" s="18" t="inlineStr">
        <is>
          <t>F18</t>
        </is>
      </c>
      <c r="R25" s="18" t="inlineStr">
        <is>
          <t>采用</t>
        </is>
      </c>
      <c r="S25" s="18" t="inlineStr"/>
      <c r="T25" t="inlineStr">
        <is>
          <t>CAD-21</t>
        </is>
      </c>
    </row>
    <row r="26">
      <c r="A26" s="18" t="inlineStr">
        <is>
          <t>P22</t>
        </is>
      </c>
      <c r="B26" s="18" t="inlineStr">
        <is>
          <t>M3</t>
        </is>
      </c>
      <c r="C26" s="18" t="inlineStr">
        <is>
          <t>dm_content_spray_drier</t>
        </is>
      </c>
      <c r="D26" s="18" t="inlineStr">
        <is>
          <t>喷雾进料干物质</t>
        </is>
      </c>
      <c r="E26" s="18" t="inlineStr">
        <is>
          <t>工艺条件</t>
        </is>
      </c>
      <c r="F26" s="18" t="inlineStr">
        <is>
          <t>kg/kg</t>
        </is>
      </c>
      <c r="G26" s="18" t="inlineStr">
        <is>
          <t>TRIANGLE</t>
        </is>
      </c>
      <c r="H26" s="51" t="n">
        <v>0.12</v>
      </c>
      <c r="I26" s="51" t="n">
        <v>0.2</v>
      </c>
      <c r="J26" s="51" t="n"/>
      <c r="K26" s="51" t="n"/>
      <c r="L26" s="51" t="n">
        <v>0.16</v>
      </c>
      <c r="M26" s="51" t="n"/>
      <c r="N26" s="52">
        <f>IF(A26="","",IF(G26="FIXED",M26,IF(G26="UNIFORM",IF(AND(ISNUMBER(H26),ISNUMBER(I26)),(H26+I26)/2,""),IF(G26="TRIANGLE",IF(ISNUMBER(L26),L26,IF(ISNUMBER(J26),J26,"")),IF(ISNUMBER(J26),J26,IF(ISNUMBER(K26),K26,""))))))</f>
        <v/>
      </c>
      <c r="O26" s="32">
        <f>IF(A26="","",IF(G26="FIXED","fixed",IF(G26="UNIFORM","midpoint_median",IF(G26="TRIANGLE",IF(ISNUMBER(L26),"mode",IF(ISNUMBER(J26),"source_median","missing")),IF(ISNUMBER(J26),"source_median",IF(ISNUMBER(K26),"source_mean","missing"))))))</f>
        <v/>
      </c>
      <c r="P26" s="18" t="inlineStr">
        <is>
          <t>SRC-XLS-OLD</t>
        </is>
      </c>
      <c r="Q26" s="18" t="inlineStr">
        <is>
          <t>F18;F22</t>
        </is>
      </c>
      <c r="R26" s="18" t="inlineStr">
        <is>
          <t>采用</t>
        </is>
      </c>
      <c r="S26" s="18" t="inlineStr"/>
      <c r="T26" t="inlineStr">
        <is>
          <t>CAD-22</t>
        </is>
      </c>
    </row>
    <row r="27">
      <c r="A27" s="18" t="inlineStr">
        <is>
          <t>P23</t>
        </is>
      </c>
      <c r="B27" s="18" t="inlineStr">
        <is>
          <t>M3</t>
        </is>
      </c>
      <c r="C27" s="18" t="inlineStr">
        <is>
          <t>SPI_mass_flow_factors</t>
        </is>
      </c>
      <c r="D27" s="18" t="inlineStr">
        <is>
          <t>质量流因子组</t>
        </is>
      </c>
      <c r="E27" s="18" t="inlineStr">
        <is>
          <t>公式输入</t>
        </is>
      </c>
      <c r="F27" s="18" t="inlineStr">
        <is>
          <t>kg/kg</t>
        </is>
      </c>
      <c r="G27" s="18" t="inlineStr">
        <is>
          <t>FIXED</t>
        </is>
      </c>
      <c r="H27" s="51" t="n"/>
      <c r="I27" s="51" t="n"/>
      <c r="J27" s="51" t="n"/>
      <c r="K27" s="51" t="n"/>
      <c r="L27" s="51" t="n"/>
      <c r="M27" s="51" t="n">
        <v>1.0625</v>
      </c>
      <c r="N27" s="52">
        <f>IF(A27="","",IF(G27="FIXED",M27,IF(G27="UNIFORM",IF(AND(ISNUMBER(H27),ISNUMBER(I27)),(H27+I27)/2,""),IF(G27="TRIANGLE",IF(ISNUMBER(L27),L27,IF(ISNUMBER(J27),J27,"")),IF(ISNUMBER(J27),J27,IF(ISNUMBER(K27),K27,""))))))</f>
        <v/>
      </c>
      <c r="O27" s="32">
        <f>IF(A27="","",IF(G27="FIXED","fixed",IF(G27="UNIFORM","midpoint_median",IF(G27="TRIANGLE",IF(ISNUMBER(L27),"mode",IF(ISNUMBER(J27),"source_median","missing")),IF(ISNUMBER(J27),"source_median",IF(ISNUMBER(K27),"source_mean","missing"))))))</f>
        <v/>
      </c>
      <c r="P27" s="18" t="inlineStr">
        <is>
          <t>SRC-XLS-OLD</t>
        </is>
      </c>
      <c r="Q27" s="18" t="inlineStr">
        <is>
          <t>F17;F18;F21</t>
        </is>
      </c>
      <c r="R27" s="18" t="inlineStr">
        <is>
          <t>采用</t>
        </is>
      </c>
      <c r="S27" s="18" t="inlineStr">
        <is>
          <t>多值组，见 CAD-27；含 0.93 链（Q03）</t>
        </is>
      </c>
      <c r="T27" t="inlineStr">
        <is>
          <t>CAD-27</t>
        </is>
      </c>
    </row>
    <row r="28">
      <c r="A28" s="18" t="inlineStr">
        <is>
          <t>P24</t>
        </is>
      </c>
      <c r="B28" s="18" t="inlineStr">
        <is>
          <t>M3</t>
        </is>
      </c>
      <c r="C28" s="18" t="inlineStr">
        <is>
          <t>SPI_spent_flakes</t>
        </is>
      </c>
      <c r="D28" s="18" t="inlineStr">
        <is>
          <t>豆渣系数</t>
        </is>
      </c>
      <c r="E28" s="18" t="inlineStr">
        <is>
          <t>共产品</t>
        </is>
      </c>
      <c r="F28" s="18" t="inlineStr">
        <is>
          <t>kg/kg 白豆片</t>
        </is>
      </c>
      <c r="G28" s="18" t="inlineStr">
        <is>
          <t>FIXED</t>
        </is>
      </c>
      <c r="H28" s="51" t="n"/>
      <c r="I28" s="51" t="n"/>
      <c r="J28" s="51" t="n"/>
      <c r="K28" s="51" t="n"/>
      <c r="L28" s="51" t="n"/>
      <c r="M28" s="51" t="n">
        <v>0.2745015778</v>
      </c>
      <c r="N28" s="52">
        <f>IF(A28="","",IF(G28="FIXED",M28,IF(G28="UNIFORM",IF(AND(ISNUMBER(H28),ISNUMBER(I28)),(H28+I28)/2,""),IF(G28="TRIANGLE",IF(ISNUMBER(L28),L28,IF(ISNUMBER(J28),J28,"")),IF(ISNUMBER(J28),J28,IF(ISNUMBER(K28),K28,""))))))</f>
        <v/>
      </c>
      <c r="O28" s="32">
        <f>IF(A28="","",IF(G28="FIXED","fixed",IF(G28="UNIFORM","midpoint_median",IF(G28="TRIANGLE",IF(ISNUMBER(L28),"mode",IF(ISNUMBER(J28),"source_median","missing")),IF(ISNUMBER(J28),"source_median",IF(ISNUMBER(K28),"source_mean","missing"))))))</f>
        <v/>
      </c>
      <c r="P28" s="18" t="inlineStr">
        <is>
          <t>SRC-XLS-OLD</t>
        </is>
      </c>
      <c r="Q28" s="18" t="inlineStr">
        <is>
          <t>F20</t>
        </is>
      </c>
      <c r="R28" s="18" t="inlineStr">
        <is>
          <t>采用</t>
        </is>
      </c>
      <c r="S28" s="18" t="inlineStr"/>
      <c r="T28" t="inlineStr">
        <is>
          <t>CAD-23</t>
        </is>
      </c>
    </row>
    <row r="29">
      <c r="A29" s="18" t="inlineStr">
        <is>
          <t>P25</t>
        </is>
      </c>
      <c r="B29" s="18" t="inlineStr">
        <is>
          <t>M3</t>
        </is>
      </c>
      <c r="C29" s="18" t="inlineStr">
        <is>
          <t>SPI_whey</t>
        </is>
      </c>
      <c r="D29" s="18" t="inlineStr">
        <is>
          <t>whey 系数</t>
        </is>
      </c>
      <c r="E29" s="18" t="inlineStr">
        <is>
          <t>水相输出</t>
        </is>
      </c>
      <c r="F29" s="18" t="inlineStr">
        <is>
          <t>kg/kg 白豆片</t>
        </is>
      </c>
      <c r="G29" s="18" t="inlineStr">
        <is>
          <t>FIXED</t>
        </is>
      </c>
      <c r="H29" s="51" t="n"/>
      <c r="I29" s="51" t="n"/>
      <c r="J29" s="51" t="n"/>
      <c r="K29" s="51" t="n"/>
      <c r="L29" s="51" t="n"/>
      <c r="M29" s="51" t="n">
        <v>0.5787930225</v>
      </c>
      <c r="N29" s="52">
        <f>IF(A29="","",IF(G29="FIXED",M29,IF(G29="UNIFORM",IF(AND(ISNUMBER(H29),ISNUMBER(I29)),(H29+I29)/2,""),IF(G29="TRIANGLE",IF(ISNUMBER(L29),L29,IF(ISNUMBER(J29),J29,"")),IF(ISNUMBER(J29),J29,IF(ISNUMBER(K29),K29,""))))))</f>
        <v/>
      </c>
      <c r="O29" s="32">
        <f>IF(A29="","",IF(G29="FIXED","fixed",IF(G29="UNIFORM","midpoint_median",IF(G29="TRIANGLE",IF(ISNUMBER(L29),"mode",IF(ISNUMBER(J29),"source_median","missing")),IF(ISNUMBER(J29),"source_median",IF(ISNUMBER(K29),"source_mean","missing"))))))</f>
        <v/>
      </c>
      <c r="P29" s="18" t="inlineStr">
        <is>
          <t>SRC-XLS-OLD</t>
        </is>
      </c>
      <c r="Q29" s="18" t="inlineStr">
        <is>
          <t>F21</t>
        </is>
      </c>
      <c r="R29" s="18" t="inlineStr">
        <is>
          <t>采用</t>
        </is>
      </c>
      <c r="S29" s="18" t="inlineStr">
        <is>
          <t>含 0.93 链（Q03）</t>
        </is>
      </c>
      <c r="T29" t="inlineStr">
        <is>
          <t>CAD-24</t>
        </is>
      </c>
    </row>
    <row r="30">
      <c r="A30" s="18" t="inlineStr">
        <is>
          <t>P26</t>
        </is>
      </c>
      <c r="B30" s="18" t="inlineStr">
        <is>
          <t>M3</t>
        </is>
      </c>
      <c r="C30" s="18" t="inlineStr">
        <is>
          <t>SPI_NaOH_input</t>
        </is>
      </c>
      <c r="D30" s="18" t="inlineStr">
        <is>
          <t>NaOH(50%) 体积系数</t>
        </is>
      </c>
      <c r="E30" s="18" t="inlineStr">
        <is>
          <t>化学品</t>
        </is>
      </c>
      <c r="F30" s="18" t="inlineStr">
        <is>
          <t>l/kg 溶剂</t>
        </is>
      </c>
      <c r="G30" s="18" t="inlineStr">
        <is>
          <t>FIXED</t>
        </is>
      </c>
      <c r="H30" s="51" t="n"/>
      <c r="I30" s="51" t="n"/>
      <c r="J30" s="51" t="n"/>
      <c r="K30" s="51" t="n"/>
      <c r="L30" s="51" t="n"/>
      <c r="M30" s="51" t="n">
        <v>0.00125</v>
      </c>
      <c r="N30" s="52">
        <f>IF(A30="","",IF(G30="FIXED",M30,IF(G30="UNIFORM",IF(AND(ISNUMBER(H30),ISNUMBER(I30)),(H30+I30)/2,""),IF(G30="TRIANGLE",IF(ISNUMBER(L30),L30,IF(ISNUMBER(J30),J30,"")),IF(ISNUMBER(J30),J30,IF(ISNUMBER(K30),K30,""))))))</f>
        <v/>
      </c>
      <c r="O30" s="32">
        <f>IF(A30="","",IF(G30="FIXED","fixed",IF(G30="UNIFORM","midpoint_median",IF(G30="TRIANGLE",IF(ISNUMBER(L30),"mode",IF(ISNUMBER(J30),"source_median","missing")),IF(ISNUMBER(J30),"source_median",IF(ISNUMBER(K30),"source_mean","missing"))))))</f>
        <v/>
      </c>
      <c r="P30" s="18" t="inlineStr">
        <is>
          <t>SRC-XLS-OLD</t>
        </is>
      </c>
      <c r="Q30" s="18" t="inlineStr">
        <is>
          <t>F15</t>
        </is>
      </c>
      <c r="R30" s="18" t="inlineStr">
        <is>
          <t>采用</t>
        </is>
      </c>
      <c r="S30" s="18" t="inlineStr">
        <is>
          <t>最终 kg 映射待核（Q05）</t>
        </is>
      </c>
      <c r="T30" t="inlineStr">
        <is>
          <t>CAD-25</t>
        </is>
      </c>
    </row>
    <row r="31">
      <c r="A31" s="18" t="inlineStr">
        <is>
          <t>P27</t>
        </is>
      </c>
      <c r="B31" s="18" t="inlineStr">
        <is>
          <t>M3</t>
        </is>
      </c>
      <c r="C31" s="18" t="inlineStr">
        <is>
          <t>SPI_HCl_input</t>
        </is>
      </c>
      <c r="D31" s="18" t="inlineStr">
        <is>
          <t>HCl(30%) 体积系数</t>
        </is>
      </c>
      <c r="E31" s="18" t="inlineStr">
        <is>
          <t>化学品</t>
        </is>
      </c>
      <c r="F31" s="18" t="inlineStr">
        <is>
          <t>l/kg 溶剂</t>
        </is>
      </c>
      <c r="G31" s="18" t="inlineStr">
        <is>
          <t>FIXED</t>
        </is>
      </c>
      <c r="H31" s="51" t="n"/>
      <c r="I31" s="51" t="n"/>
      <c r="J31" s="51" t="n"/>
      <c r="K31" s="51" t="n"/>
      <c r="L31" s="51" t="n"/>
      <c r="M31" s="51" t="n">
        <v>0.0029166667</v>
      </c>
      <c r="N31" s="52">
        <f>IF(A31="","",IF(G31="FIXED",M31,IF(G31="UNIFORM",IF(AND(ISNUMBER(H31),ISNUMBER(I31)),(H31+I31)/2,""),IF(G31="TRIANGLE",IF(ISNUMBER(L31),L31,IF(ISNUMBER(J31),J31,"")),IF(ISNUMBER(J31),J31,IF(ISNUMBER(K31),K31,""))))))</f>
        <v/>
      </c>
      <c r="O31" s="32">
        <f>IF(A31="","",IF(G31="FIXED","fixed",IF(G31="UNIFORM","midpoint_median",IF(G31="TRIANGLE",IF(ISNUMBER(L31),"mode",IF(ISNUMBER(J31),"source_median","missing")),IF(ISNUMBER(J31),"source_median",IF(ISNUMBER(K31),"source_mean","missing"))))))</f>
        <v/>
      </c>
      <c r="P31" s="18" t="inlineStr">
        <is>
          <t>SRC-XLS-OLD</t>
        </is>
      </c>
      <c r="Q31" s="18" t="inlineStr">
        <is>
          <t>F16</t>
        </is>
      </c>
      <c r="R31" s="18" t="inlineStr">
        <is>
          <t>采用</t>
        </is>
      </c>
      <c r="S31" s="18" t="inlineStr">
        <is>
          <t>最终 kg 映射待核（Q05）</t>
        </is>
      </c>
      <c r="T31" t="inlineStr">
        <is>
          <t>CAD-26</t>
        </is>
      </c>
    </row>
    <row r="32">
      <c r="A32" s="18" t="inlineStr">
        <is>
          <t>P28</t>
        </is>
      </c>
      <c r="B32" s="18" t="inlineStr">
        <is>
          <t>M3</t>
        </is>
      </c>
      <c r="C32" s="18" t="inlineStr">
        <is>
          <t>SPI_density_factors</t>
        </is>
      </c>
      <c r="D32" s="18" t="inlineStr">
        <is>
          <t>密度因子组</t>
        </is>
      </c>
      <c r="E32" s="18" t="inlineStr">
        <is>
          <t>公式输入</t>
        </is>
      </c>
      <c r="F32" s="18" t="inlineStr">
        <is>
          <t>kg/L</t>
        </is>
      </c>
      <c r="G32" s="18" t="inlineStr">
        <is>
          <t>FIXED</t>
        </is>
      </c>
      <c r="H32" s="51" t="n"/>
      <c r="I32" s="51" t="n"/>
      <c r="J32" s="51" t="n"/>
      <c r="K32" s="51" t="n"/>
      <c r="L32" s="51" t="n"/>
      <c r="M32" s="51" t="n">
        <v>1.0378</v>
      </c>
      <c r="N32" s="52">
        <f>IF(A32="","",IF(G32="FIXED",M32,IF(G32="UNIFORM",IF(AND(ISNUMBER(H32),ISNUMBER(I32)),(H32+I32)/2,""),IF(G32="TRIANGLE",IF(ISNUMBER(L32),L32,IF(ISNUMBER(J32),J32,"")),IF(ISNUMBER(J32),J32,IF(ISNUMBER(K32),K32,""))))))</f>
        <v/>
      </c>
      <c r="O32" s="32">
        <f>IF(A32="","",IF(G32="FIXED","fixed",IF(G32="UNIFORM","midpoint_median",IF(G32="TRIANGLE",IF(ISNUMBER(L32),"mode",IF(ISNUMBER(J32),"source_median","missing")),IF(ISNUMBER(J32),"source_median",IF(ISNUMBER(K32),"source_mean","missing"))))))</f>
        <v/>
      </c>
      <c r="P32" s="18" t="inlineStr">
        <is>
          <t>SRC-XLS-OLD</t>
        </is>
      </c>
      <c r="Q32" s="18" t="inlineStr">
        <is>
          <t>F17</t>
        </is>
      </c>
      <c r="R32" s="18" t="inlineStr">
        <is>
          <t>采用</t>
        </is>
      </c>
      <c r="S32" s="18" t="inlineStr">
        <is>
          <t>多值组，见 CAD-28；含 0.93 链（Q03）</t>
        </is>
      </c>
      <c r="T32" t="inlineStr">
        <is>
          <t>CAD-28</t>
        </is>
      </c>
    </row>
    <row r="33">
      <c r="A33" s="18" t="inlineStr">
        <is>
          <t>P29</t>
        </is>
      </c>
      <c r="B33" s="18" t="inlineStr">
        <is>
          <t>M3</t>
        </is>
      </c>
      <c r="C33" s="18" t="inlineStr">
        <is>
          <t>SPI_module_electricity</t>
        </is>
      </c>
      <c r="D33" s="18" t="inlineStr">
        <is>
          <t>SPI 模块总电力</t>
        </is>
      </c>
      <c r="E33" s="18" t="inlineStr">
        <is>
          <t>模块能耗</t>
        </is>
      </c>
      <c r="F33" s="18" t="inlineStr">
        <is>
          <t>kWh/kg SPI</t>
        </is>
      </c>
      <c r="G33" s="18" t="inlineStr">
        <is>
          <t>FIXED</t>
        </is>
      </c>
      <c r="H33" s="51" t="n"/>
      <c r="I33" s="51" t="n"/>
      <c r="J33" s="51" t="n"/>
      <c r="K33" s="51" t="n"/>
      <c r="L33" s="51" t="n"/>
      <c r="M33" s="51" t="n">
        <v>0.06299951783</v>
      </c>
      <c r="N33" s="52">
        <f>IF(A33="","",IF(G33="FIXED",M33,IF(G33="UNIFORM",IF(AND(ISNUMBER(H33),ISNUMBER(I33)),(H33+I33)/2,""),IF(G33="TRIANGLE",IF(ISNUMBER(L33),L33,IF(ISNUMBER(J33),J33,"")),IF(ISNUMBER(J33),J33,IF(ISNUMBER(K33),K33,""))))))</f>
        <v/>
      </c>
      <c r="O33" s="32">
        <f>IF(A33="","",IF(G33="FIXED","fixed",IF(G33="UNIFORM","midpoint_median",IF(G33="TRIANGLE",IF(ISNUMBER(L33),"mode",IF(ISNUMBER(J33),"source_median","missing")),IF(ISNUMBER(J33),"source_median",IF(ISNUMBER(K33),"source_mean","missing"))))))</f>
        <v/>
      </c>
      <c r="P33" s="18" t="inlineStr">
        <is>
          <t>SRC-CLCA-AUDIT</t>
        </is>
      </c>
      <c r="Q33" s="18" t="inlineStr">
        <is>
          <t>F17</t>
        </is>
      </c>
      <c r="R33" s="18" t="inlineStr">
        <is>
          <t>采用</t>
        </is>
      </c>
      <c r="S33" s="18" t="inlineStr">
        <is>
          <t>当前版/runtime 值（Q01）</t>
        </is>
      </c>
      <c r="T33" t="inlineStr">
        <is>
          <t>CAD-29</t>
        </is>
      </c>
    </row>
    <row r="34">
      <c r="A34" s="18" t="inlineStr">
        <is>
          <t>P30</t>
        </is>
      </c>
      <c r="B34" s="18" t="inlineStr">
        <is>
          <t>M3</t>
        </is>
      </c>
      <c r="C34" s="18" t="inlineStr">
        <is>
          <t>SPI_module_heat</t>
        </is>
      </c>
      <c r="D34" s="18" t="inlineStr">
        <is>
          <t>SPI 模块总热量</t>
        </is>
      </c>
      <c r="E34" s="18" t="inlineStr">
        <is>
          <t>模块能耗</t>
        </is>
      </c>
      <c r="F34" s="18" t="inlineStr">
        <is>
          <t>MJ/kg SPI</t>
        </is>
      </c>
      <c r="G34" s="18" t="inlineStr">
        <is>
          <t>FIXED</t>
        </is>
      </c>
      <c r="H34" s="51" t="n"/>
      <c r="I34" s="51" t="n"/>
      <c r="J34" s="51" t="n"/>
      <c r="K34" s="51" t="n"/>
      <c r="L34" s="51" t="n"/>
      <c r="M34" s="51" t="n">
        <v>27.50083262</v>
      </c>
      <c r="N34" s="52">
        <f>IF(A34="","",IF(G34="FIXED",M34,IF(G34="UNIFORM",IF(AND(ISNUMBER(H34),ISNUMBER(I34)),(H34+I34)/2,""),IF(G34="TRIANGLE",IF(ISNUMBER(L34),L34,IF(ISNUMBER(J34),J34,"")),IF(ISNUMBER(J34),J34,IF(ISNUMBER(K34),K34,""))))))</f>
        <v/>
      </c>
      <c r="O34" s="32">
        <f>IF(A34="","",IF(G34="FIXED","fixed",IF(G34="UNIFORM","midpoint_median",IF(G34="TRIANGLE",IF(ISNUMBER(L34),"mode",IF(ISNUMBER(J34),"source_median","missing")),IF(ISNUMBER(J34),"source_median",IF(ISNUMBER(K34),"source_mean","missing"))))))</f>
        <v/>
      </c>
      <c r="P34" s="18" t="inlineStr">
        <is>
          <t>SRC-XLS-OLD</t>
        </is>
      </c>
      <c r="Q34" s="18" t="inlineStr">
        <is>
          <t>F18</t>
        </is>
      </c>
      <c r="R34" s="18" t="inlineStr">
        <is>
          <t>采用</t>
        </is>
      </c>
      <c r="S34" s="18" t="inlineStr"/>
      <c r="T34" t="inlineStr">
        <is>
          <t>CAD-31</t>
        </is>
      </c>
    </row>
    <row r="35">
      <c r="A35" s="18" t="n"/>
      <c r="B35" s="18" t="n"/>
      <c r="C35" s="18" t="n"/>
      <c r="D35" s="18" t="n"/>
      <c r="E35" s="18" t="n"/>
      <c r="F35" s="18" t="n"/>
      <c r="G35" s="18" t="n"/>
      <c r="H35" s="51" t="n"/>
      <c r="I35" s="51" t="n"/>
      <c r="J35" s="51" t="n"/>
      <c r="K35" s="51" t="n"/>
      <c r="L35" s="51" t="n"/>
      <c r="M35" s="51" t="n"/>
      <c r="N35" s="52">
        <f>IF(A35="","",IF(G35="FIXED",M35,IF(G35="UNIFORM",IF(AND(ISNUMBER(H35),ISNUMBER(I35)),(H35+I35)/2,""),IF(G35="TRIANGLE",IF(ISNUMBER(L35),L35,IF(ISNUMBER(J35),J35,"")),IF(ISNUMBER(J35),J35,IF(ISNUMBER(K35),K35,""))))))</f>
        <v/>
      </c>
      <c r="O35" s="32">
        <f>IF(A35="","",IF(G35="FIXED","fixed",IF(G35="UNIFORM","midpoint_median",IF(G35="TRIANGLE",IF(ISNUMBER(L35),"mode",IF(ISNUMBER(J35),"source_median","missing")),IF(ISNUMBER(J35),"source_median",IF(ISNUMBER(K35),"source_mean","missing"))))))</f>
        <v/>
      </c>
      <c r="P35" s="18" t="n"/>
      <c r="Q35" s="18" t="n"/>
      <c r="R35" s="18" t="n"/>
      <c r="S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51" t="n"/>
      <c r="I36" s="51" t="n"/>
      <c r="J36" s="51" t="n"/>
      <c r="K36" s="51" t="n"/>
      <c r="L36" s="51" t="n"/>
      <c r="M36" s="51" t="n"/>
      <c r="N36" s="52">
        <f>IF(A36="","",IF(G36="FIXED",M36,IF(G36="UNIFORM",IF(AND(ISNUMBER(H36),ISNUMBER(I36)),(H36+I36)/2,""),IF(G36="TRIANGLE",IF(ISNUMBER(L36),L36,IF(ISNUMBER(J36),J36,"")),IF(ISNUMBER(J36),J36,IF(ISNUMBER(K36),K36,""))))))</f>
        <v/>
      </c>
      <c r="O36" s="32">
        <f>IF(A36="","",IF(G36="FIXED","fixed",IF(G36="UNIFORM","midpoint_median",IF(G36="TRIANGLE",IF(ISNUMBER(L36),"mode",IF(ISNUMBER(J36),"source_median","missing")),IF(ISNUMBER(J36),"source_median",IF(ISNUMBER(K36),"source_mean","missing"))))))</f>
        <v/>
      </c>
      <c r="P36" s="18" t="n"/>
      <c r="Q36" s="18" t="n"/>
      <c r="R36" s="18" t="n"/>
      <c r="S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51" t="n"/>
      <c r="I37" s="51" t="n"/>
      <c r="J37" s="51" t="n"/>
      <c r="K37" s="51" t="n"/>
      <c r="L37" s="51" t="n"/>
      <c r="M37" s="51" t="n"/>
      <c r="N37" s="52">
        <f>IF(A37="","",IF(G37="FIXED",M37,IF(G37="UNIFORM",IF(AND(ISNUMBER(H37),ISNUMBER(I37)),(H37+I37)/2,""),IF(G37="TRIANGLE",IF(ISNUMBER(L37),L37,IF(ISNUMBER(J37),J37,"")),IF(ISNUMBER(J37),J37,IF(ISNUMBER(K37),K37,""))))))</f>
        <v/>
      </c>
      <c r="O37" s="32">
        <f>IF(A37="","",IF(G37="FIXED","fixed",IF(G37="UNIFORM","midpoint_median",IF(G37="TRIANGLE",IF(ISNUMBER(L37),"mode",IF(ISNUMBER(J37),"source_median","missing")),IF(ISNUMBER(J37),"source_median",IF(ISNUMBER(K37),"source_mean","missing"))))))</f>
        <v/>
      </c>
      <c r="P37" s="18" t="n"/>
      <c r="Q37" s="18" t="n"/>
      <c r="R37" s="18" t="n"/>
      <c r="S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51" t="n"/>
      <c r="I38" s="51" t="n"/>
      <c r="J38" s="51" t="n"/>
      <c r="K38" s="51" t="n"/>
      <c r="L38" s="51" t="n"/>
      <c r="M38" s="51" t="n"/>
      <c r="N38" s="52">
        <f>IF(A38="","",IF(G38="FIXED",M38,IF(G38="UNIFORM",IF(AND(ISNUMBER(H38),ISNUMBER(I38)),(H38+I38)/2,""),IF(G38="TRIANGLE",IF(ISNUMBER(L38),L38,IF(ISNUMBER(J38),J38,"")),IF(ISNUMBER(J38),J38,IF(ISNUMBER(K38),K38,""))))))</f>
        <v/>
      </c>
      <c r="O38" s="32">
        <f>IF(A38="","",IF(G38="FIXED","fixed",IF(G38="UNIFORM","midpoint_median",IF(G38="TRIANGLE",IF(ISNUMBER(L38),"mode",IF(ISNUMBER(J38),"source_median","missing")),IF(ISNUMBER(J38),"source_median",IF(ISNUMBER(K38),"source_mean","missing"))))))</f>
        <v/>
      </c>
      <c r="P38" s="18" t="n"/>
      <c r="Q38" s="18" t="n"/>
      <c r="R38" s="18" t="n"/>
      <c r="S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51" t="n"/>
      <c r="I39" s="51" t="n"/>
      <c r="J39" s="51" t="n"/>
      <c r="K39" s="51" t="n"/>
      <c r="L39" s="51" t="n"/>
      <c r="M39" s="51" t="n"/>
      <c r="N39" s="52">
        <f>IF(A39="","",IF(G39="FIXED",M39,IF(G39="UNIFORM",IF(AND(ISNUMBER(H39),ISNUMBER(I39)),(H39+I39)/2,""),IF(G39="TRIANGLE",IF(ISNUMBER(L39),L39,IF(ISNUMBER(J39),J39,"")),IF(ISNUMBER(J39),J39,IF(ISNUMBER(K39),K39,""))))))</f>
        <v/>
      </c>
      <c r="O39" s="32">
        <f>IF(A39="","",IF(G39="FIXED","fixed",IF(G39="UNIFORM","midpoint_median",IF(G39="TRIANGLE",IF(ISNUMBER(L39),"mode",IF(ISNUMBER(J39),"source_median","missing")),IF(ISNUMBER(J39),"source_median",IF(ISNUMBER(K39),"source_mean","missing"))))))</f>
        <v/>
      </c>
      <c r="P39" s="18" t="n"/>
      <c r="Q39" s="18" t="n"/>
      <c r="R39" s="18" t="n"/>
      <c r="S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51" t="n"/>
      <c r="I40" s="51" t="n"/>
      <c r="J40" s="51" t="n"/>
      <c r="K40" s="51" t="n"/>
      <c r="L40" s="51" t="n"/>
      <c r="M40" s="51" t="n"/>
      <c r="N40" s="52">
        <f>IF(A40="","",IF(G40="FIXED",M40,IF(G40="UNIFORM",IF(AND(ISNUMBER(H40),ISNUMBER(I40)),(H40+I40)/2,""),IF(G40="TRIANGLE",IF(ISNUMBER(L40),L40,IF(ISNUMBER(J40),J40,"")),IF(ISNUMBER(J40),J40,IF(ISNUMBER(K40),K40,""))))))</f>
        <v/>
      </c>
      <c r="O40" s="32">
        <f>IF(A40="","",IF(G40="FIXED","fixed",IF(G40="UNIFORM","midpoint_median",IF(G40="TRIANGLE",IF(ISNUMBER(L40),"mode",IF(ISNUMBER(J40),"source_median","missing")),IF(ISNUMBER(J40),"source_median",IF(ISNUMBER(K40),"source_mean","missing"))))))</f>
        <v/>
      </c>
      <c r="P40" s="18" t="n"/>
      <c r="Q40" s="18" t="n"/>
      <c r="R40" s="18" t="n"/>
      <c r="S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51" t="n"/>
      <c r="I41" s="51" t="n"/>
      <c r="J41" s="51" t="n"/>
      <c r="K41" s="51" t="n"/>
      <c r="L41" s="51" t="n"/>
      <c r="M41" s="51" t="n"/>
      <c r="N41" s="52">
        <f>IF(A41="","",IF(G41="FIXED",M41,IF(G41="UNIFORM",IF(AND(ISNUMBER(H41),ISNUMBER(I41)),(H41+I41)/2,""),IF(G41="TRIANGLE",IF(ISNUMBER(L41),L41,IF(ISNUMBER(J41),J41,"")),IF(ISNUMBER(J41),J41,IF(ISNUMBER(K41),K41,""))))))</f>
        <v/>
      </c>
      <c r="O41" s="32">
        <f>IF(A41="","",IF(G41="FIXED","fixed",IF(G41="UNIFORM","midpoint_median",IF(G41="TRIANGLE",IF(ISNUMBER(L41),"mode",IF(ISNUMBER(J41),"source_median","missing")),IF(ISNUMBER(J41),"source_median",IF(ISNUMBER(K41),"source_mean","missing"))))))</f>
        <v/>
      </c>
      <c r="P41" s="18" t="n"/>
      <c r="Q41" s="18" t="n"/>
      <c r="R41" s="18" t="n"/>
      <c r="S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51" t="n"/>
      <c r="I42" s="51" t="n"/>
      <c r="J42" s="51" t="n"/>
      <c r="K42" s="51" t="n"/>
      <c r="L42" s="51" t="n"/>
      <c r="M42" s="51" t="n"/>
      <c r="N42" s="52">
        <f>IF(A42="","",IF(G42="FIXED",M42,IF(G42="UNIFORM",IF(AND(ISNUMBER(H42),ISNUMBER(I42)),(H42+I42)/2,""),IF(G42="TRIANGLE",IF(ISNUMBER(L42),L42,IF(ISNUMBER(J42),J42,"")),IF(ISNUMBER(J42),J42,IF(ISNUMBER(K42),K42,""))))))</f>
        <v/>
      </c>
      <c r="O42" s="32">
        <f>IF(A42="","",IF(G42="FIXED","fixed",IF(G42="UNIFORM","midpoint_median",IF(G42="TRIANGLE",IF(ISNUMBER(L42),"mode",IF(ISNUMBER(J42),"source_median","missing")),IF(ISNUMBER(J42),"source_median",IF(ISNUMBER(K42),"source_mean","missing"))))))</f>
        <v/>
      </c>
      <c r="P42" s="18" t="n"/>
      <c r="Q42" s="18" t="n"/>
      <c r="R42" s="18" t="n"/>
      <c r="S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51" t="n"/>
      <c r="I43" s="51" t="n"/>
      <c r="J43" s="51" t="n"/>
      <c r="K43" s="51" t="n"/>
      <c r="L43" s="51" t="n"/>
      <c r="M43" s="51" t="n"/>
      <c r="N43" s="52">
        <f>IF(A43="","",IF(G43="FIXED",M43,IF(G43="UNIFORM",IF(AND(ISNUMBER(H43),ISNUMBER(I43)),(H43+I43)/2,""),IF(G43="TRIANGLE",IF(ISNUMBER(L43),L43,IF(ISNUMBER(J43),J43,"")),IF(ISNUMBER(J43),J43,IF(ISNUMBER(K43),K43,""))))))</f>
        <v/>
      </c>
      <c r="O43" s="32">
        <f>IF(A43="","",IF(G43="FIXED","fixed",IF(G43="UNIFORM","midpoint_median",IF(G43="TRIANGLE",IF(ISNUMBER(L43),"mode",IF(ISNUMBER(J43),"source_median","missing")),IF(ISNUMBER(J43),"source_median",IF(ISNUMBER(K43),"source_mean","missing"))))))</f>
        <v/>
      </c>
      <c r="P43" s="18" t="n"/>
      <c r="Q43" s="18" t="n"/>
      <c r="R43" s="18" t="n"/>
      <c r="S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51" t="n"/>
      <c r="I44" s="51" t="n"/>
      <c r="J44" s="51" t="n"/>
      <c r="K44" s="51" t="n"/>
      <c r="L44" s="51" t="n"/>
      <c r="M44" s="51" t="n"/>
      <c r="N44" s="52">
        <f>IF(A44="","",IF(G44="FIXED",M44,IF(G44="UNIFORM",IF(AND(ISNUMBER(H44),ISNUMBER(I44)),(H44+I44)/2,""),IF(G44="TRIANGLE",IF(ISNUMBER(L44),L44,IF(ISNUMBER(J44),J44,"")),IF(ISNUMBER(J44),J44,IF(ISNUMBER(K44),K44,""))))))</f>
        <v/>
      </c>
      <c r="O44" s="32">
        <f>IF(A44="","",IF(G44="FIXED","fixed",IF(G44="UNIFORM","midpoint_median",IF(G44="TRIANGLE",IF(ISNUMBER(L44),"mode",IF(ISNUMBER(J44),"source_median","missing")),IF(ISNUMBER(J44),"source_median",IF(ISNUMBER(K44),"source_mean","missing"))))))</f>
        <v/>
      </c>
      <c r="P44" s="18" t="n"/>
      <c r="Q44" s="18" t="n"/>
      <c r="R44" s="18" t="n"/>
      <c r="S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51" t="n"/>
      <c r="I45" s="51" t="n"/>
      <c r="J45" s="51" t="n"/>
      <c r="K45" s="51" t="n"/>
      <c r="L45" s="51" t="n"/>
      <c r="M45" s="51" t="n"/>
      <c r="N45" s="52">
        <f>IF(A45="","",IF(G45="FIXED",M45,IF(G45="UNIFORM",IF(AND(ISNUMBER(H45),ISNUMBER(I45)),(H45+I45)/2,""),IF(G45="TRIANGLE",IF(ISNUMBER(L45),L45,IF(ISNUMBER(J45),J45,"")),IF(ISNUMBER(J45),J45,IF(ISNUMBER(K45),K45,""))))))</f>
        <v/>
      </c>
      <c r="O45" s="32">
        <f>IF(A45="","",IF(G45="FIXED","fixed",IF(G45="UNIFORM","midpoint_median",IF(G45="TRIANGLE",IF(ISNUMBER(L45),"mode",IF(ISNUMBER(J45),"source_median","missing")),IF(ISNUMBER(J45),"source_median",IF(ISNUMBER(K45),"source_mean","missing"))))))</f>
        <v/>
      </c>
      <c r="P45" s="18" t="n"/>
      <c r="Q45" s="18" t="n"/>
      <c r="R45" s="18" t="n"/>
      <c r="S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51" t="n"/>
      <c r="I46" s="51" t="n"/>
      <c r="J46" s="51" t="n"/>
      <c r="K46" s="51" t="n"/>
      <c r="L46" s="51" t="n"/>
      <c r="M46" s="51" t="n"/>
      <c r="N46" s="52">
        <f>IF(A46="","",IF(G46="FIXED",M46,IF(G46="UNIFORM",IF(AND(ISNUMBER(H46),ISNUMBER(I46)),(H46+I46)/2,""),IF(G46="TRIANGLE",IF(ISNUMBER(L46),L46,IF(ISNUMBER(J46),J46,"")),IF(ISNUMBER(J46),J46,IF(ISNUMBER(K46),K46,""))))))</f>
        <v/>
      </c>
      <c r="O46" s="32">
        <f>IF(A46="","",IF(G46="FIXED","fixed",IF(G46="UNIFORM","midpoint_median",IF(G46="TRIANGLE",IF(ISNUMBER(L46),"mode",IF(ISNUMBER(J46),"source_median","missing")),IF(ISNUMBER(J46),"source_median",IF(ISNUMBER(K46),"source_mean","missing"))))))</f>
        <v/>
      </c>
      <c r="P46" s="18" t="n"/>
      <c r="Q46" s="18" t="n"/>
      <c r="R46" s="18" t="n"/>
      <c r="S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51" t="n"/>
      <c r="I47" s="51" t="n"/>
      <c r="J47" s="51" t="n"/>
      <c r="K47" s="51" t="n"/>
      <c r="L47" s="51" t="n"/>
      <c r="M47" s="51" t="n"/>
      <c r="N47" s="52">
        <f>IF(A47="","",IF(G47="FIXED",M47,IF(G47="UNIFORM",IF(AND(ISNUMBER(H47),ISNUMBER(I47)),(H47+I47)/2,""),IF(G47="TRIANGLE",IF(ISNUMBER(L47),L47,IF(ISNUMBER(J47),J47,"")),IF(ISNUMBER(J47),J47,IF(ISNUMBER(K47),K47,""))))))</f>
        <v/>
      </c>
      <c r="O47" s="32">
        <f>IF(A47="","",IF(G47="FIXED","fixed",IF(G47="UNIFORM","midpoint_median",IF(G47="TRIANGLE",IF(ISNUMBER(L47),"mode",IF(ISNUMBER(J47),"source_median","missing")),IF(ISNUMBER(J47),"source_median",IF(ISNUMBER(K47),"source_mean","missing"))))))</f>
        <v/>
      </c>
      <c r="P47" s="18" t="n"/>
      <c r="Q47" s="18" t="n"/>
      <c r="R47" s="18" t="n"/>
      <c r="S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51" t="n"/>
      <c r="I48" s="51" t="n"/>
      <c r="J48" s="51" t="n"/>
      <c r="K48" s="51" t="n"/>
      <c r="L48" s="51" t="n"/>
      <c r="M48" s="51" t="n"/>
      <c r="N48" s="52">
        <f>IF(A48="","",IF(G48="FIXED",M48,IF(G48="UNIFORM",IF(AND(ISNUMBER(H48),ISNUMBER(I48)),(H48+I48)/2,""),IF(G48="TRIANGLE",IF(ISNUMBER(L48),L48,IF(ISNUMBER(J48),J48,"")),IF(ISNUMBER(J48),J48,IF(ISNUMBER(K48),K48,""))))))</f>
        <v/>
      </c>
      <c r="O48" s="32">
        <f>IF(A48="","",IF(G48="FIXED","fixed",IF(G48="UNIFORM","midpoint_median",IF(G48="TRIANGLE",IF(ISNUMBER(L48),"mode",IF(ISNUMBER(J48),"source_median","missing")),IF(ISNUMBER(J48),"source_median",IF(ISNUMBER(K48),"source_mean","missing"))))))</f>
        <v/>
      </c>
      <c r="P48" s="18" t="n"/>
      <c r="Q48" s="18" t="n"/>
      <c r="R48" s="18" t="n"/>
      <c r="S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51" t="n"/>
      <c r="I49" s="51" t="n"/>
      <c r="J49" s="51" t="n"/>
      <c r="K49" s="51" t="n"/>
      <c r="L49" s="51" t="n"/>
      <c r="M49" s="51" t="n"/>
      <c r="N49" s="52">
        <f>IF(A49="","",IF(G49="FIXED",M49,IF(G49="UNIFORM",IF(AND(ISNUMBER(H49),ISNUMBER(I49)),(H49+I49)/2,""),IF(G49="TRIANGLE",IF(ISNUMBER(L49),L49,IF(ISNUMBER(J49),J49,"")),IF(ISNUMBER(J49),J49,IF(ISNUMBER(K49),K49,""))))))</f>
        <v/>
      </c>
      <c r="O49" s="32">
        <f>IF(A49="","",IF(G49="FIXED","fixed",IF(G49="UNIFORM","midpoint_median",IF(G49="TRIANGLE",IF(ISNUMBER(L49),"mode",IF(ISNUMBER(J49),"source_median","missing")),IF(ISNUMBER(J49),"source_median",IF(ISNUMBER(K49),"source_mean","missing"))))))</f>
        <v/>
      </c>
      <c r="P49" s="18" t="n"/>
      <c r="Q49" s="18" t="n"/>
      <c r="R49" s="18" t="n"/>
      <c r="S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51" t="n"/>
      <c r="I50" s="51" t="n"/>
      <c r="J50" s="51" t="n"/>
      <c r="K50" s="51" t="n"/>
      <c r="L50" s="51" t="n"/>
      <c r="M50" s="51" t="n"/>
      <c r="N50" s="52">
        <f>IF(A50="","",IF(G50="FIXED",M50,IF(G50="UNIFORM",IF(AND(ISNUMBER(H50),ISNUMBER(I50)),(H50+I50)/2,""),IF(G50="TRIANGLE",IF(ISNUMBER(L50),L50,IF(ISNUMBER(J50),J50,"")),IF(ISNUMBER(J50),J50,IF(ISNUMBER(K50),K50,""))))))</f>
        <v/>
      </c>
      <c r="O50" s="32">
        <f>IF(A50="","",IF(G50="FIXED","fixed",IF(G50="UNIFORM","midpoint_median",IF(G50="TRIANGLE",IF(ISNUMBER(L50),"mode",IF(ISNUMBER(J50),"source_median","missing")),IF(ISNUMBER(J50),"source_median",IF(ISNUMBER(K50),"source_mean","missing"))))))</f>
        <v/>
      </c>
      <c r="P50" s="18" t="n"/>
      <c r="Q50" s="18" t="n"/>
      <c r="R50" s="18" t="n"/>
      <c r="S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51" t="n"/>
      <c r="I51" s="51" t="n"/>
      <c r="J51" s="51" t="n"/>
      <c r="K51" s="51" t="n"/>
      <c r="L51" s="51" t="n"/>
      <c r="M51" s="51" t="n"/>
      <c r="N51" s="52">
        <f>IF(A51="","",IF(G51="FIXED",M51,IF(G51="UNIFORM",IF(AND(ISNUMBER(H51),ISNUMBER(I51)),(H51+I51)/2,""),IF(G51="TRIANGLE",IF(ISNUMBER(L51),L51,IF(ISNUMBER(J51),J51,"")),IF(ISNUMBER(J51),J51,IF(ISNUMBER(K51),K51,""))))))</f>
        <v/>
      </c>
      <c r="O51" s="32">
        <f>IF(A51="","",IF(G51="FIXED","fixed",IF(G51="UNIFORM","midpoint_median",IF(G51="TRIANGLE",IF(ISNUMBER(L51),"mode",IF(ISNUMBER(J51),"source_median","missing")),IF(ISNUMBER(J51),"source_median",IF(ISNUMBER(K51),"source_mean","missing"))))))</f>
        <v/>
      </c>
      <c r="P51" s="18" t="n"/>
      <c r="Q51" s="18" t="n"/>
      <c r="R51" s="18" t="n"/>
      <c r="S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51" t="n"/>
      <c r="I52" s="51" t="n"/>
      <c r="J52" s="51" t="n"/>
      <c r="K52" s="51" t="n"/>
      <c r="L52" s="51" t="n"/>
      <c r="M52" s="51" t="n"/>
      <c r="N52" s="52">
        <f>IF(A52="","",IF(G52="FIXED",M52,IF(G52="UNIFORM",IF(AND(ISNUMBER(H52),ISNUMBER(I52)),(H52+I52)/2,""),IF(G52="TRIANGLE",IF(ISNUMBER(L52),L52,IF(ISNUMBER(J52),J52,"")),IF(ISNUMBER(J52),J52,IF(ISNUMBER(K52),K52,""))))))</f>
        <v/>
      </c>
      <c r="O52" s="32">
        <f>IF(A52="","",IF(G52="FIXED","fixed",IF(G52="UNIFORM","midpoint_median",IF(G52="TRIANGLE",IF(ISNUMBER(L52),"mode",IF(ISNUMBER(J52),"source_median","missing")),IF(ISNUMBER(J52),"source_median",IF(ISNUMBER(K52),"source_mean","missing"))))))</f>
        <v/>
      </c>
      <c r="P52" s="18" t="n"/>
      <c r="Q52" s="18" t="n"/>
      <c r="R52" s="18" t="n"/>
      <c r="S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51" t="n"/>
      <c r="I53" s="51" t="n"/>
      <c r="J53" s="51" t="n"/>
      <c r="K53" s="51" t="n"/>
      <c r="L53" s="51" t="n"/>
      <c r="M53" s="51" t="n"/>
      <c r="N53" s="52">
        <f>IF(A53="","",IF(G53="FIXED",M53,IF(G53="UNIFORM",IF(AND(ISNUMBER(H53),ISNUMBER(I53)),(H53+I53)/2,""),IF(G53="TRIANGLE",IF(ISNUMBER(L53),L53,IF(ISNUMBER(J53),J53,"")),IF(ISNUMBER(J53),J53,IF(ISNUMBER(K53),K53,""))))))</f>
        <v/>
      </c>
      <c r="O53" s="32">
        <f>IF(A53="","",IF(G53="FIXED","fixed",IF(G53="UNIFORM","midpoint_median",IF(G53="TRIANGLE",IF(ISNUMBER(L53),"mode",IF(ISNUMBER(J53),"source_median","missing")),IF(ISNUMBER(J53),"source_median",IF(ISNUMBER(K53),"source_mean","missing"))))))</f>
        <v/>
      </c>
      <c r="P53" s="18" t="n"/>
      <c r="Q53" s="18" t="n"/>
      <c r="R53" s="18" t="n"/>
      <c r="S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51" t="n"/>
      <c r="I54" s="51" t="n"/>
      <c r="J54" s="51" t="n"/>
      <c r="K54" s="51" t="n"/>
      <c r="L54" s="51" t="n"/>
      <c r="M54" s="51" t="n"/>
      <c r="N54" s="52">
        <f>IF(A54="","",IF(G54="FIXED",M54,IF(G54="UNIFORM",IF(AND(ISNUMBER(H54),ISNUMBER(I54)),(H54+I54)/2,""),IF(G54="TRIANGLE",IF(ISNUMBER(L54),L54,IF(ISNUMBER(J54),J54,"")),IF(ISNUMBER(J54),J54,IF(ISNUMBER(K54),K54,""))))))</f>
        <v/>
      </c>
      <c r="O54" s="32">
        <f>IF(A54="","",IF(G54="FIXED","fixed",IF(G54="UNIFORM","midpoint_median",IF(G54="TRIANGLE",IF(ISNUMBER(L54),"mode",IF(ISNUMBER(J54),"source_median","missing")),IF(ISNUMBER(J54),"source_median",IF(ISNUMBER(K54),"source_mean","missing"))))))</f>
        <v/>
      </c>
      <c r="P54" s="18" t="n"/>
      <c r="Q54" s="18" t="n"/>
      <c r="R54" s="18" t="n"/>
      <c r="S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51" t="n"/>
      <c r="I55" s="51" t="n"/>
      <c r="J55" s="51" t="n"/>
      <c r="K55" s="51" t="n"/>
      <c r="L55" s="51" t="n"/>
      <c r="M55" s="51" t="n"/>
      <c r="N55" s="52">
        <f>IF(A55="","",IF(G55="FIXED",M55,IF(G55="UNIFORM",IF(AND(ISNUMBER(H55),ISNUMBER(I55)),(H55+I55)/2,""),IF(G55="TRIANGLE",IF(ISNUMBER(L55),L55,IF(ISNUMBER(J55),J55,"")),IF(ISNUMBER(J55),J55,IF(ISNUMBER(K55),K55,""))))))</f>
        <v/>
      </c>
      <c r="O55" s="32">
        <f>IF(A55="","",IF(G55="FIXED","fixed",IF(G55="UNIFORM","midpoint_median",IF(G55="TRIANGLE",IF(ISNUMBER(L55),"mode",IF(ISNUMBER(J55),"source_median","missing")),IF(ISNUMBER(J55),"source_median",IF(ISNUMBER(K55),"source_mean","missing"))))))</f>
        <v/>
      </c>
      <c r="P55" s="18" t="n"/>
      <c r="Q55" s="18" t="n"/>
      <c r="R55" s="18" t="n"/>
      <c r="S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51" t="n"/>
      <c r="I56" s="51" t="n"/>
      <c r="J56" s="51" t="n"/>
      <c r="K56" s="51" t="n"/>
      <c r="L56" s="51" t="n"/>
      <c r="M56" s="51" t="n"/>
      <c r="N56" s="52">
        <f>IF(A56="","",IF(G56="FIXED",M56,IF(G56="UNIFORM",IF(AND(ISNUMBER(H56),ISNUMBER(I56)),(H56+I56)/2,""),IF(G56="TRIANGLE",IF(ISNUMBER(L56),L56,IF(ISNUMBER(J56),J56,"")),IF(ISNUMBER(J56),J56,IF(ISNUMBER(K56),K56,""))))))</f>
        <v/>
      </c>
      <c r="O56" s="32">
        <f>IF(A56="","",IF(G56="FIXED","fixed",IF(G56="UNIFORM","midpoint_median",IF(G56="TRIANGLE",IF(ISNUMBER(L56),"mode",IF(ISNUMBER(J56),"source_median","missing")),IF(ISNUMBER(J56),"source_median",IF(ISNUMBER(K56),"source_mean","missing"))))))</f>
        <v/>
      </c>
      <c r="P56" s="18" t="n"/>
      <c r="Q56" s="18" t="n"/>
      <c r="R56" s="18" t="n"/>
      <c r="S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51" t="n"/>
      <c r="I57" s="51" t="n"/>
      <c r="J57" s="51" t="n"/>
      <c r="K57" s="51" t="n"/>
      <c r="L57" s="51" t="n"/>
      <c r="M57" s="51" t="n"/>
      <c r="N57" s="52">
        <f>IF(A57="","",IF(G57="FIXED",M57,IF(G57="UNIFORM",IF(AND(ISNUMBER(H57),ISNUMBER(I57)),(H57+I57)/2,""),IF(G57="TRIANGLE",IF(ISNUMBER(L57),L57,IF(ISNUMBER(J57),J57,"")),IF(ISNUMBER(J57),J57,IF(ISNUMBER(K57),K57,""))))))</f>
        <v/>
      </c>
      <c r="O57" s="32">
        <f>IF(A57="","",IF(G57="FIXED","fixed",IF(G57="UNIFORM","midpoint_median",IF(G57="TRIANGLE",IF(ISNUMBER(L57),"mode",IF(ISNUMBER(J57),"source_median","missing")),IF(ISNUMBER(J57),"source_median",IF(ISNUMBER(K57),"source_mean","missing"))))))</f>
        <v/>
      </c>
      <c r="P57" s="18" t="n"/>
      <c r="Q57" s="18" t="n"/>
      <c r="R57" s="18" t="n"/>
      <c r="S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51" t="n"/>
      <c r="I58" s="51" t="n"/>
      <c r="J58" s="51" t="n"/>
      <c r="K58" s="51" t="n"/>
      <c r="L58" s="51" t="n"/>
      <c r="M58" s="51" t="n"/>
      <c r="N58" s="52">
        <f>IF(A58="","",IF(G58="FIXED",M58,IF(G58="UNIFORM",IF(AND(ISNUMBER(H58),ISNUMBER(I58)),(H58+I58)/2,""),IF(G58="TRIANGLE",IF(ISNUMBER(L58),L58,IF(ISNUMBER(J58),J58,"")),IF(ISNUMBER(J58),J58,IF(ISNUMBER(K58),K58,""))))))</f>
        <v/>
      </c>
      <c r="O58" s="32">
        <f>IF(A58="","",IF(G58="FIXED","fixed",IF(G58="UNIFORM","midpoint_median",IF(G58="TRIANGLE",IF(ISNUMBER(L58),"mode",IF(ISNUMBER(J58),"source_median","missing")),IF(ISNUMBER(J58),"source_median",IF(ISNUMBER(K58),"source_mean","missing"))))))</f>
        <v/>
      </c>
      <c r="P58" s="18" t="n"/>
      <c r="Q58" s="18" t="n"/>
      <c r="R58" s="18" t="n"/>
      <c r="S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51" t="n"/>
      <c r="I59" s="51" t="n"/>
      <c r="J59" s="51" t="n"/>
      <c r="K59" s="51" t="n"/>
      <c r="L59" s="51" t="n"/>
      <c r="M59" s="51" t="n"/>
      <c r="N59" s="52">
        <f>IF(A59="","",IF(G59="FIXED",M59,IF(G59="UNIFORM",IF(AND(ISNUMBER(H59),ISNUMBER(I59)),(H59+I59)/2,""),IF(G59="TRIANGLE",IF(ISNUMBER(L59),L59,IF(ISNUMBER(J59),J59,"")),IF(ISNUMBER(J59),J59,IF(ISNUMBER(K59),K59,""))))))</f>
        <v/>
      </c>
      <c r="O59" s="32">
        <f>IF(A59="","",IF(G59="FIXED","fixed",IF(G59="UNIFORM","midpoint_median",IF(G59="TRIANGLE",IF(ISNUMBER(L59),"mode",IF(ISNUMBER(J59),"source_median","missing")),IF(ISNUMBER(J59),"source_median",IF(ISNUMBER(K59),"source_mean","missing"))))))</f>
        <v/>
      </c>
      <c r="P59" s="18" t="n"/>
      <c r="Q59" s="18" t="n"/>
      <c r="R59" s="18" t="n"/>
      <c r="S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51" t="n"/>
      <c r="I60" s="51" t="n"/>
      <c r="J60" s="51" t="n"/>
      <c r="K60" s="51" t="n"/>
      <c r="L60" s="51" t="n"/>
      <c r="M60" s="51" t="n"/>
      <c r="N60" s="52">
        <f>IF(A60="","",IF(G60="FIXED",M60,IF(G60="UNIFORM",IF(AND(ISNUMBER(H60),ISNUMBER(I60)),(H60+I60)/2,""),IF(G60="TRIANGLE",IF(ISNUMBER(L60),L60,IF(ISNUMBER(J60),J60,"")),IF(ISNUMBER(J60),J60,IF(ISNUMBER(K60),K60,""))))))</f>
        <v/>
      </c>
      <c r="O60" s="32">
        <f>IF(A60="","",IF(G60="FIXED","fixed",IF(G60="UNIFORM","midpoint_median",IF(G60="TRIANGLE",IF(ISNUMBER(L60),"mode",IF(ISNUMBER(J60),"source_median","missing")),IF(ISNUMBER(J60),"source_median",IF(ISNUMBER(K60),"source_mean","missing"))))))</f>
        <v/>
      </c>
      <c r="P60" s="18" t="n"/>
      <c r="Q60" s="18" t="n"/>
      <c r="R60" s="18" t="n"/>
      <c r="S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51" t="n"/>
      <c r="I61" s="51" t="n"/>
      <c r="J61" s="51" t="n"/>
      <c r="K61" s="51" t="n"/>
      <c r="L61" s="51" t="n"/>
      <c r="M61" s="51" t="n"/>
      <c r="N61" s="52">
        <f>IF(A61="","",IF(G61="FIXED",M61,IF(G61="UNIFORM",IF(AND(ISNUMBER(H61),ISNUMBER(I61)),(H61+I61)/2,""),IF(G61="TRIANGLE",IF(ISNUMBER(L61),L61,IF(ISNUMBER(J61),J61,"")),IF(ISNUMBER(J61),J61,IF(ISNUMBER(K61),K61,""))))))</f>
        <v/>
      </c>
      <c r="O61" s="32">
        <f>IF(A61="","",IF(G61="FIXED","fixed",IF(G61="UNIFORM","midpoint_median",IF(G61="TRIANGLE",IF(ISNUMBER(L61),"mode",IF(ISNUMBER(J61),"source_median","missing")),IF(ISNUMBER(J61),"source_median",IF(ISNUMBER(K61),"source_mean","missing"))))))</f>
        <v/>
      </c>
      <c r="P61" s="18" t="n"/>
      <c r="Q61" s="18" t="n"/>
      <c r="R61" s="18" t="n"/>
      <c r="S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51" t="n"/>
      <c r="I62" s="51" t="n"/>
      <c r="J62" s="51" t="n"/>
      <c r="K62" s="51" t="n"/>
      <c r="L62" s="51" t="n"/>
      <c r="M62" s="51" t="n"/>
      <c r="N62" s="52">
        <f>IF(A62="","",IF(G62="FIXED",M62,IF(G62="UNIFORM",IF(AND(ISNUMBER(H62),ISNUMBER(I62)),(H62+I62)/2,""),IF(G62="TRIANGLE",IF(ISNUMBER(L62),L62,IF(ISNUMBER(J62),J62,"")),IF(ISNUMBER(J62),J62,IF(ISNUMBER(K62),K62,""))))))</f>
        <v/>
      </c>
      <c r="O62" s="32">
        <f>IF(A62="","",IF(G62="FIXED","fixed",IF(G62="UNIFORM","midpoint_median",IF(G62="TRIANGLE",IF(ISNUMBER(L62),"mode",IF(ISNUMBER(J62),"source_median","missing")),IF(ISNUMBER(J62),"source_median",IF(ISNUMBER(K62),"source_mean","missing"))))))</f>
        <v/>
      </c>
      <c r="P62" s="18" t="n"/>
      <c r="Q62" s="18" t="n"/>
      <c r="R62" s="18" t="n"/>
      <c r="S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51" t="n"/>
      <c r="I63" s="51" t="n"/>
      <c r="J63" s="51" t="n"/>
      <c r="K63" s="51" t="n"/>
      <c r="L63" s="51" t="n"/>
      <c r="M63" s="51" t="n"/>
      <c r="N63" s="52">
        <f>IF(A63="","",IF(G63="FIXED",M63,IF(G63="UNIFORM",IF(AND(ISNUMBER(H63),ISNUMBER(I63)),(H63+I63)/2,""),IF(G63="TRIANGLE",IF(ISNUMBER(L63),L63,IF(ISNUMBER(J63),J63,"")),IF(ISNUMBER(J63),J63,IF(ISNUMBER(K63),K63,""))))))</f>
        <v/>
      </c>
      <c r="O63" s="32">
        <f>IF(A63="","",IF(G63="FIXED","fixed",IF(G63="UNIFORM","midpoint_median",IF(G63="TRIANGLE",IF(ISNUMBER(L63),"mode",IF(ISNUMBER(J63),"source_median","missing")),IF(ISNUMBER(J63),"source_median",IF(ISNUMBER(K63),"source_mean","missing"))))))</f>
        <v/>
      </c>
      <c r="P63" s="18" t="n"/>
      <c r="Q63" s="18" t="n"/>
      <c r="R63" s="18" t="n"/>
      <c r="S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51" t="n"/>
      <c r="I64" s="51" t="n"/>
      <c r="J64" s="51" t="n"/>
      <c r="K64" s="51" t="n"/>
      <c r="L64" s="51" t="n"/>
      <c r="M64" s="51" t="n"/>
      <c r="N64" s="52">
        <f>IF(A64="","",IF(G64="FIXED",M64,IF(G64="UNIFORM",IF(AND(ISNUMBER(H64),ISNUMBER(I64)),(H64+I64)/2,""),IF(G64="TRIANGLE",IF(ISNUMBER(L64),L64,IF(ISNUMBER(J64),J64,"")),IF(ISNUMBER(J64),J64,IF(ISNUMBER(K64),K64,""))))))</f>
        <v/>
      </c>
      <c r="O64" s="32">
        <f>IF(A64="","",IF(G64="FIXED","fixed",IF(G64="UNIFORM","midpoint_median",IF(G64="TRIANGLE",IF(ISNUMBER(L64),"mode",IF(ISNUMBER(J64),"source_median","missing")),IF(ISNUMBER(J64),"source_median",IF(ISNUMBER(K64),"source_mean","missing"))))))</f>
        <v/>
      </c>
      <c r="P64" s="18" t="n"/>
      <c r="Q64" s="18" t="n"/>
      <c r="R64" s="18" t="n"/>
      <c r="S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51" t="n"/>
      <c r="I65" s="51" t="n"/>
      <c r="J65" s="51" t="n"/>
      <c r="K65" s="51" t="n"/>
      <c r="L65" s="51" t="n"/>
      <c r="M65" s="51" t="n"/>
      <c r="N65" s="52">
        <f>IF(A65="","",IF(G65="FIXED",M65,IF(G65="UNIFORM",IF(AND(ISNUMBER(H65),ISNUMBER(I65)),(H65+I65)/2,""),IF(G65="TRIANGLE",IF(ISNUMBER(L65),L65,IF(ISNUMBER(J65),J65,"")),IF(ISNUMBER(J65),J65,IF(ISNUMBER(K65),K65,""))))))</f>
        <v/>
      </c>
      <c r="O65" s="32">
        <f>IF(A65="","",IF(G65="FIXED","fixed",IF(G65="UNIFORM","midpoint_median",IF(G65="TRIANGLE",IF(ISNUMBER(L65),"mode",IF(ISNUMBER(J65),"source_median","missing")),IF(ISNUMBER(J65),"source_median",IF(ISNUMBER(K65),"source_mean","missing"))))))</f>
        <v/>
      </c>
      <c r="P65" s="18" t="n"/>
      <c r="Q65" s="18" t="n"/>
      <c r="R65" s="18" t="n"/>
      <c r="S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51" t="n"/>
      <c r="I66" s="51" t="n"/>
      <c r="J66" s="51" t="n"/>
      <c r="K66" s="51" t="n"/>
      <c r="L66" s="51" t="n"/>
      <c r="M66" s="51" t="n"/>
      <c r="N66" s="52">
        <f>IF(A66="","",IF(G66="FIXED",M66,IF(G66="UNIFORM",IF(AND(ISNUMBER(H66),ISNUMBER(I66)),(H66+I66)/2,""),IF(G66="TRIANGLE",IF(ISNUMBER(L66),L66,IF(ISNUMBER(J66),J66,"")),IF(ISNUMBER(J66),J66,IF(ISNUMBER(K66),K66,""))))))</f>
        <v/>
      </c>
      <c r="O66" s="32">
        <f>IF(A66="","",IF(G66="FIXED","fixed",IF(G66="UNIFORM","midpoint_median",IF(G66="TRIANGLE",IF(ISNUMBER(L66),"mode",IF(ISNUMBER(J66),"source_median","missing")),IF(ISNUMBER(J66),"source_median",IF(ISNUMBER(K66),"source_mean","missing"))))))</f>
        <v/>
      </c>
      <c r="P66" s="18" t="n"/>
      <c r="Q66" s="18" t="n"/>
      <c r="R66" s="18" t="n"/>
      <c r="S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51" t="n"/>
      <c r="I67" s="51" t="n"/>
      <c r="J67" s="51" t="n"/>
      <c r="K67" s="51" t="n"/>
      <c r="L67" s="51" t="n"/>
      <c r="M67" s="51" t="n"/>
      <c r="N67" s="52">
        <f>IF(A67="","",IF(G67="FIXED",M67,IF(G67="UNIFORM",IF(AND(ISNUMBER(H67),ISNUMBER(I67)),(H67+I67)/2,""),IF(G67="TRIANGLE",IF(ISNUMBER(L67),L67,IF(ISNUMBER(J67),J67,"")),IF(ISNUMBER(J67),J67,IF(ISNUMBER(K67),K67,""))))))</f>
        <v/>
      </c>
      <c r="O67" s="32">
        <f>IF(A67="","",IF(G67="FIXED","fixed",IF(G67="UNIFORM","midpoint_median",IF(G67="TRIANGLE",IF(ISNUMBER(L67),"mode",IF(ISNUMBER(J67),"source_median","missing")),IF(ISNUMBER(J67),"source_median",IF(ISNUMBER(K67),"source_mean","missing"))))))</f>
        <v/>
      </c>
      <c r="P67" s="18" t="n"/>
      <c r="Q67" s="18" t="n"/>
      <c r="R67" s="18" t="n"/>
      <c r="S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51" t="n"/>
      <c r="I68" s="51" t="n"/>
      <c r="J68" s="51" t="n"/>
      <c r="K68" s="51" t="n"/>
      <c r="L68" s="51" t="n"/>
      <c r="M68" s="51" t="n"/>
      <c r="N68" s="52">
        <f>IF(A68="","",IF(G68="FIXED",M68,IF(G68="UNIFORM",IF(AND(ISNUMBER(H68),ISNUMBER(I68)),(H68+I68)/2,""),IF(G68="TRIANGLE",IF(ISNUMBER(L68),L68,IF(ISNUMBER(J68),J68,"")),IF(ISNUMBER(J68),J68,IF(ISNUMBER(K68),K68,""))))))</f>
        <v/>
      </c>
      <c r="O68" s="32">
        <f>IF(A68="","",IF(G68="FIXED","fixed",IF(G68="UNIFORM","midpoint_median",IF(G68="TRIANGLE",IF(ISNUMBER(L68),"mode",IF(ISNUMBER(J68),"source_median","missing")),IF(ISNUMBER(J68),"source_median",IF(ISNUMBER(K68),"source_mean","missing"))))))</f>
        <v/>
      </c>
      <c r="P68" s="18" t="n"/>
      <c r="Q68" s="18" t="n"/>
      <c r="R68" s="18" t="n"/>
      <c r="S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51" t="n"/>
      <c r="I69" s="51" t="n"/>
      <c r="J69" s="51" t="n"/>
      <c r="K69" s="51" t="n"/>
      <c r="L69" s="51" t="n"/>
      <c r="M69" s="51" t="n"/>
      <c r="N69" s="52">
        <f>IF(A69="","",IF(G69="FIXED",M69,IF(G69="UNIFORM",IF(AND(ISNUMBER(H69),ISNUMBER(I69)),(H69+I69)/2,""),IF(G69="TRIANGLE",IF(ISNUMBER(L69),L69,IF(ISNUMBER(J69),J69,"")),IF(ISNUMBER(J69),J69,IF(ISNUMBER(K69),K69,""))))))</f>
        <v/>
      </c>
      <c r="O69" s="32">
        <f>IF(A69="","",IF(G69="FIXED","fixed",IF(G69="UNIFORM","midpoint_median",IF(G69="TRIANGLE",IF(ISNUMBER(L69),"mode",IF(ISNUMBER(J69),"source_median","missing")),IF(ISNUMBER(J69),"source_median",IF(ISNUMBER(K69),"source_mean","missing"))))))</f>
        <v/>
      </c>
      <c r="P69" s="18" t="n"/>
      <c r="Q69" s="18" t="n"/>
      <c r="R69" s="18" t="n"/>
      <c r="S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51" t="n"/>
      <c r="I70" s="51" t="n"/>
      <c r="J70" s="51" t="n"/>
      <c r="K70" s="51" t="n"/>
      <c r="L70" s="51" t="n"/>
      <c r="M70" s="51" t="n"/>
      <c r="N70" s="52">
        <f>IF(A70="","",IF(G70="FIXED",M70,IF(G70="UNIFORM",IF(AND(ISNUMBER(H70),ISNUMBER(I70)),(H70+I70)/2,""),IF(G70="TRIANGLE",IF(ISNUMBER(L70),L70,IF(ISNUMBER(J70),J70,"")),IF(ISNUMBER(J70),J70,IF(ISNUMBER(K70),K70,""))))))</f>
        <v/>
      </c>
      <c r="O70" s="32">
        <f>IF(A70="","",IF(G70="FIXED","fixed",IF(G70="UNIFORM","midpoint_median",IF(G70="TRIANGLE",IF(ISNUMBER(L70),"mode",IF(ISNUMBER(J70),"source_median","missing")),IF(ISNUMBER(J70),"source_median",IF(ISNUMBER(K70),"source_mean","missing"))))))</f>
        <v/>
      </c>
      <c r="P70" s="18" t="n"/>
      <c r="Q70" s="18" t="n"/>
      <c r="R70" s="18" t="n"/>
      <c r="S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51" t="n"/>
      <c r="I71" s="51" t="n"/>
      <c r="J71" s="51" t="n"/>
      <c r="K71" s="51" t="n"/>
      <c r="L71" s="51" t="n"/>
      <c r="M71" s="51" t="n"/>
      <c r="N71" s="52">
        <f>IF(A71="","",IF(G71="FIXED",M71,IF(G71="UNIFORM",IF(AND(ISNUMBER(H71),ISNUMBER(I71)),(H71+I71)/2,""),IF(G71="TRIANGLE",IF(ISNUMBER(L71),L71,IF(ISNUMBER(J71),J71,"")),IF(ISNUMBER(J71),J71,IF(ISNUMBER(K71),K71,""))))))</f>
        <v/>
      </c>
      <c r="O71" s="32">
        <f>IF(A71="","",IF(G71="FIXED","fixed",IF(G71="UNIFORM","midpoint_median",IF(G71="TRIANGLE",IF(ISNUMBER(L71),"mode",IF(ISNUMBER(J71),"source_median","missing")),IF(ISNUMBER(J71),"source_median",IF(ISNUMBER(K71),"source_mean","missing"))))))</f>
        <v/>
      </c>
      <c r="P71" s="18" t="n"/>
      <c r="Q71" s="18" t="n"/>
      <c r="R71" s="18" t="n"/>
      <c r="S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51" t="n"/>
      <c r="I72" s="51" t="n"/>
      <c r="J72" s="51" t="n"/>
      <c r="K72" s="51" t="n"/>
      <c r="L72" s="51" t="n"/>
      <c r="M72" s="51" t="n"/>
      <c r="N72" s="52">
        <f>IF(A72="","",IF(G72="FIXED",M72,IF(G72="UNIFORM",IF(AND(ISNUMBER(H72),ISNUMBER(I72)),(H72+I72)/2,""),IF(G72="TRIANGLE",IF(ISNUMBER(L72),L72,IF(ISNUMBER(J72),J72,"")),IF(ISNUMBER(J72),J72,IF(ISNUMBER(K72),K72,""))))))</f>
        <v/>
      </c>
      <c r="O72" s="32">
        <f>IF(A72="","",IF(G72="FIXED","fixed",IF(G72="UNIFORM","midpoint_median",IF(G72="TRIANGLE",IF(ISNUMBER(L72),"mode",IF(ISNUMBER(J72),"source_median","missing")),IF(ISNUMBER(J72),"source_median",IF(ISNUMBER(K72),"source_mean","missing"))))))</f>
        <v/>
      </c>
      <c r="P72" s="18" t="n"/>
      <c r="Q72" s="18" t="n"/>
      <c r="R72" s="18" t="n"/>
      <c r="S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51" t="n"/>
      <c r="I73" s="51" t="n"/>
      <c r="J73" s="51" t="n"/>
      <c r="K73" s="51" t="n"/>
      <c r="L73" s="51" t="n"/>
      <c r="M73" s="51" t="n"/>
      <c r="N73" s="52">
        <f>IF(A73="","",IF(G73="FIXED",M73,IF(G73="UNIFORM",IF(AND(ISNUMBER(H73),ISNUMBER(I73)),(H73+I73)/2,""),IF(G73="TRIANGLE",IF(ISNUMBER(L73),L73,IF(ISNUMBER(J73),J73,"")),IF(ISNUMBER(J73),J73,IF(ISNUMBER(K73),K73,""))))))</f>
        <v/>
      </c>
      <c r="O73" s="32">
        <f>IF(A73="","",IF(G73="FIXED","fixed",IF(G73="UNIFORM","midpoint_median",IF(G73="TRIANGLE",IF(ISNUMBER(L73),"mode",IF(ISNUMBER(J73),"source_median","missing")),IF(ISNUMBER(J73),"source_median",IF(ISNUMBER(K73),"source_mean","missing"))))))</f>
        <v/>
      </c>
      <c r="P73" s="18" t="n"/>
      <c r="Q73" s="18" t="n"/>
      <c r="R73" s="18" t="n"/>
      <c r="S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51" t="n"/>
      <c r="I74" s="51" t="n"/>
      <c r="J74" s="51" t="n"/>
      <c r="K74" s="51" t="n"/>
      <c r="L74" s="51" t="n"/>
      <c r="M74" s="51" t="n"/>
      <c r="N74" s="52">
        <f>IF(A74="","",IF(G74="FIXED",M74,IF(G74="UNIFORM",IF(AND(ISNUMBER(H74),ISNUMBER(I74)),(H74+I74)/2,""),IF(G74="TRIANGLE",IF(ISNUMBER(L74),L74,IF(ISNUMBER(J74),J74,"")),IF(ISNUMBER(J74),J74,IF(ISNUMBER(K74),K74,""))))))</f>
        <v/>
      </c>
      <c r="O74" s="32">
        <f>IF(A74="","",IF(G74="FIXED","fixed",IF(G74="UNIFORM","midpoint_median",IF(G74="TRIANGLE",IF(ISNUMBER(L74),"mode",IF(ISNUMBER(J74),"source_median","missing")),IF(ISNUMBER(J74),"source_median",IF(ISNUMBER(K74),"source_mean","missing"))))))</f>
        <v/>
      </c>
      <c r="P74" s="18" t="n"/>
      <c r="Q74" s="18" t="n"/>
      <c r="R74" s="18" t="n"/>
      <c r="S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51" t="n"/>
      <c r="I75" s="51" t="n"/>
      <c r="J75" s="51" t="n"/>
      <c r="K75" s="51" t="n"/>
      <c r="L75" s="51" t="n"/>
      <c r="M75" s="51" t="n"/>
      <c r="N75" s="52">
        <f>IF(A75="","",IF(G75="FIXED",M75,IF(G75="UNIFORM",IF(AND(ISNUMBER(H75),ISNUMBER(I75)),(H75+I75)/2,""),IF(G75="TRIANGLE",IF(ISNUMBER(L75),L75,IF(ISNUMBER(J75),J75,"")),IF(ISNUMBER(J75),J75,IF(ISNUMBER(K75),K75,""))))))</f>
        <v/>
      </c>
      <c r="O75" s="32">
        <f>IF(A75="","",IF(G75="FIXED","fixed",IF(G75="UNIFORM","midpoint_median",IF(G75="TRIANGLE",IF(ISNUMBER(L75),"mode",IF(ISNUMBER(J75),"source_median","missing")),IF(ISNUMBER(J75),"source_median",IF(ISNUMBER(K75),"source_mean","missing"))))))</f>
        <v/>
      </c>
      <c r="P75" s="18" t="n"/>
      <c r="Q75" s="18" t="n"/>
      <c r="R75" s="18" t="n"/>
      <c r="S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51" t="n"/>
      <c r="I76" s="51" t="n"/>
      <c r="J76" s="51" t="n"/>
      <c r="K76" s="51" t="n"/>
      <c r="L76" s="51" t="n"/>
      <c r="M76" s="51" t="n"/>
      <c r="N76" s="52">
        <f>IF(A76="","",IF(G76="FIXED",M76,IF(G76="UNIFORM",IF(AND(ISNUMBER(H76),ISNUMBER(I76)),(H76+I76)/2,""),IF(G76="TRIANGLE",IF(ISNUMBER(L76),L76,IF(ISNUMBER(J76),J76,"")),IF(ISNUMBER(J76),J76,IF(ISNUMBER(K76),K76,""))))))</f>
        <v/>
      </c>
      <c r="O76" s="32">
        <f>IF(A76="","",IF(G76="FIXED","fixed",IF(G76="UNIFORM","midpoint_median",IF(G76="TRIANGLE",IF(ISNUMBER(L76),"mode",IF(ISNUMBER(J76),"source_median","missing")),IF(ISNUMBER(J76),"source_median",IF(ISNUMBER(K76),"source_mean","missing"))))))</f>
        <v/>
      </c>
      <c r="P76" s="18" t="n"/>
      <c r="Q76" s="18" t="n"/>
      <c r="R76" s="18" t="n"/>
      <c r="S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51" t="n"/>
      <c r="I77" s="51" t="n"/>
      <c r="J77" s="51" t="n"/>
      <c r="K77" s="51" t="n"/>
      <c r="L77" s="51" t="n"/>
      <c r="M77" s="51" t="n"/>
      <c r="N77" s="52">
        <f>IF(A77="","",IF(G77="FIXED",M77,IF(G77="UNIFORM",IF(AND(ISNUMBER(H77),ISNUMBER(I77)),(H77+I77)/2,""),IF(G77="TRIANGLE",IF(ISNUMBER(L77),L77,IF(ISNUMBER(J77),J77,"")),IF(ISNUMBER(J77),J77,IF(ISNUMBER(K77),K77,""))))))</f>
        <v/>
      </c>
      <c r="O77" s="32">
        <f>IF(A77="","",IF(G77="FIXED","fixed",IF(G77="UNIFORM","midpoint_median",IF(G77="TRIANGLE",IF(ISNUMBER(L77),"mode",IF(ISNUMBER(J77),"source_median","missing")),IF(ISNUMBER(J77),"source_median",IF(ISNUMBER(K77),"source_mean","missing"))))))</f>
        <v/>
      </c>
      <c r="P77" s="18" t="n"/>
      <c r="Q77" s="18" t="n"/>
      <c r="R77" s="18" t="n"/>
      <c r="S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51" t="n"/>
      <c r="I78" s="51" t="n"/>
      <c r="J78" s="51" t="n"/>
      <c r="K78" s="51" t="n"/>
      <c r="L78" s="51" t="n"/>
      <c r="M78" s="51" t="n"/>
      <c r="N78" s="52">
        <f>IF(A78="","",IF(G78="FIXED",M78,IF(G78="UNIFORM",IF(AND(ISNUMBER(H78),ISNUMBER(I78)),(H78+I78)/2,""),IF(G78="TRIANGLE",IF(ISNUMBER(L78),L78,IF(ISNUMBER(J78),J78,"")),IF(ISNUMBER(J78),J78,IF(ISNUMBER(K78),K78,""))))))</f>
        <v/>
      </c>
      <c r="O78" s="32">
        <f>IF(A78="","",IF(G78="FIXED","fixed",IF(G78="UNIFORM","midpoint_median",IF(G78="TRIANGLE",IF(ISNUMBER(L78),"mode",IF(ISNUMBER(J78),"source_median","missing")),IF(ISNUMBER(J78),"source_median",IF(ISNUMBER(K78),"source_mean","missing"))))))</f>
        <v/>
      </c>
      <c r="P78" s="18" t="n"/>
      <c r="Q78" s="18" t="n"/>
      <c r="R78" s="18" t="n"/>
      <c r="S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51" t="n"/>
      <c r="I79" s="51" t="n"/>
      <c r="J79" s="51" t="n"/>
      <c r="K79" s="51" t="n"/>
      <c r="L79" s="51" t="n"/>
      <c r="M79" s="51" t="n"/>
      <c r="N79" s="52">
        <f>IF(A79="","",IF(G79="FIXED",M79,IF(G79="UNIFORM",IF(AND(ISNUMBER(H79),ISNUMBER(I79)),(H79+I79)/2,""),IF(G79="TRIANGLE",IF(ISNUMBER(L79),L79,IF(ISNUMBER(J79),J79,"")),IF(ISNUMBER(J79),J79,IF(ISNUMBER(K79),K79,""))))))</f>
        <v/>
      </c>
      <c r="O79" s="32">
        <f>IF(A79="","",IF(G79="FIXED","fixed",IF(G79="UNIFORM","midpoint_median",IF(G79="TRIANGLE",IF(ISNUMBER(L79),"mode",IF(ISNUMBER(J79),"source_median","missing")),IF(ISNUMBER(J79),"source_median",IF(ISNUMBER(K79),"source_mean","missing"))))))</f>
        <v/>
      </c>
      <c r="P79" s="18" t="n"/>
      <c r="Q79" s="18" t="n"/>
      <c r="R79" s="18" t="n"/>
      <c r="S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51" t="n"/>
      <c r="I80" s="51" t="n"/>
      <c r="J80" s="51" t="n"/>
      <c r="K80" s="51" t="n"/>
      <c r="L80" s="51" t="n"/>
      <c r="M80" s="51" t="n"/>
      <c r="N80" s="52">
        <f>IF(A80="","",IF(G80="FIXED",M80,IF(G80="UNIFORM",IF(AND(ISNUMBER(H80),ISNUMBER(I80)),(H80+I80)/2,""),IF(G80="TRIANGLE",IF(ISNUMBER(L80),L80,IF(ISNUMBER(J80),J80,"")),IF(ISNUMBER(J80),J80,IF(ISNUMBER(K80),K80,""))))))</f>
        <v/>
      </c>
      <c r="O80" s="32">
        <f>IF(A80="","",IF(G80="FIXED","fixed",IF(G80="UNIFORM","midpoint_median",IF(G80="TRIANGLE",IF(ISNUMBER(L80),"mode",IF(ISNUMBER(J80),"source_median","missing")),IF(ISNUMBER(J80),"source_median",IF(ISNUMBER(K80),"source_mean","missing"))))))</f>
        <v/>
      </c>
      <c r="P80" s="18" t="n"/>
      <c r="Q80" s="18" t="n"/>
      <c r="R80" s="18" t="n"/>
      <c r="S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51" t="n"/>
      <c r="I81" s="51" t="n"/>
      <c r="J81" s="51" t="n"/>
      <c r="K81" s="51" t="n"/>
      <c r="L81" s="51" t="n"/>
      <c r="M81" s="51" t="n"/>
      <c r="N81" s="52">
        <f>IF(A81="","",IF(G81="FIXED",M81,IF(G81="UNIFORM",IF(AND(ISNUMBER(H81),ISNUMBER(I81)),(H81+I81)/2,""),IF(G81="TRIANGLE",IF(ISNUMBER(L81),L81,IF(ISNUMBER(J81),J81,"")),IF(ISNUMBER(J81),J81,IF(ISNUMBER(K81),K81,""))))))</f>
        <v/>
      </c>
      <c r="O81" s="32">
        <f>IF(A81="","",IF(G81="FIXED","fixed",IF(G81="UNIFORM","midpoint_median",IF(G81="TRIANGLE",IF(ISNUMBER(L81),"mode",IF(ISNUMBER(J81),"source_median","missing")),IF(ISNUMBER(J81),"source_median",IF(ISNUMBER(K81),"source_mean","missing"))))))</f>
        <v/>
      </c>
      <c r="P81" s="18" t="n"/>
      <c r="Q81" s="18" t="n"/>
      <c r="R81" s="18" t="n"/>
      <c r="S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51" t="n"/>
      <c r="I82" s="51" t="n"/>
      <c r="J82" s="51" t="n"/>
      <c r="K82" s="51" t="n"/>
      <c r="L82" s="51" t="n"/>
      <c r="M82" s="51" t="n"/>
      <c r="N82" s="52">
        <f>IF(A82="","",IF(G82="FIXED",M82,IF(G82="UNIFORM",IF(AND(ISNUMBER(H82),ISNUMBER(I82)),(H82+I82)/2,""),IF(G82="TRIANGLE",IF(ISNUMBER(L82),L82,IF(ISNUMBER(J82),J82,"")),IF(ISNUMBER(J82),J82,IF(ISNUMBER(K82),K82,""))))))</f>
        <v/>
      </c>
      <c r="O82" s="32">
        <f>IF(A82="","",IF(G82="FIXED","fixed",IF(G82="UNIFORM","midpoint_median",IF(G82="TRIANGLE",IF(ISNUMBER(L82),"mode",IF(ISNUMBER(J82),"source_median","missing")),IF(ISNUMBER(J82),"source_median",IF(ISNUMBER(K82),"source_mean","missing"))))))</f>
        <v/>
      </c>
      <c r="P82" s="18" t="n"/>
      <c r="Q82" s="18" t="n"/>
      <c r="R82" s="18" t="n"/>
      <c r="S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51" t="n"/>
      <c r="I83" s="51" t="n"/>
      <c r="J83" s="51" t="n"/>
      <c r="K83" s="51" t="n"/>
      <c r="L83" s="51" t="n"/>
      <c r="M83" s="51" t="n"/>
      <c r="N83" s="52">
        <f>IF(A83="","",IF(G83="FIXED",M83,IF(G83="UNIFORM",IF(AND(ISNUMBER(H83),ISNUMBER(I83)),(H83+I83)/2,""),IF(G83="TRIANGLE",IF(ISNUMBER(L83),L83,IF(ISNUMBER(J83),J83,"")),IF(ISNUMBER(J83),J83,IF(ISNUMBER(K83),K83,""))))))</f>
        <v/>
      </c>
      <c r="O83" s="32">
        <f>IF(A83="","",IF(G83="FIXED","fixed",IF(G83="UNIFORM","midpoint_median",IF(G83="TRIANGLE",IF(ISNUMBER(L83),"mode",IF(ISNUMBER(J83),"source_median","missing")),IF(ISNUMBER(J83),"source_median",IF(ISNUMBER(K83),"source_mean","missing"))))))</f>
        <v/>
      </c>
      <c r="P83" s="18" t="n"/>
      <c r="Q83" s="18" t="n"/>
      <c r="R83" s="18" t="n"/>
      <c r="S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51" t="n"/>
      <c r="I84" s="51" t="n"/>
      <c r="J84" s="51" t="n"/>
      <c r="K84" s="51" t="n"/>
      <c r="L84" s="51" t="n"/>
      <c r="M84" s="51" t="n"/>
      <c r="N84" s="52">
        <f>IF(A84="","",IF(G84="FIXED",M84,IF(G84="UNIFORM",IF(AND(ISNUMBER(H84),ISNUMBER(I84)),(H84+I84)/2,""),IF(G84="TRIANGLE",IF(ISNUMBER(L84),L84,IF(ISNUMBER(J84),J84,"")),IF(ISNUMBER(J84),J84,IF(ISNUMBER(K84),K84,""))))))</f>
        <v/>
      </c>
      <c r="O84" s="32">
        <f>IF(A84="","",IF(G84="FIXED","fixed",IF(G84="UNIFORM","midpoint_median",IF(G84="TRIANGLE",IF(ISNUMBER(L84),"mode",IF(ISNUMBER(J84),"source_median","missing")),IF(ISNUMBER(J84),"source_median",IF(ISNUMBER(K84),"source_mean","missing"))))))</f>
        <v/>
      </c>
      <c r="P84" s="18" t="n"/>
      <c r="Q84" s="18" t="n"/>
      <c r="R84" s="18" t="n"/>
      <c r="S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51" t="n"/>
      <c r="I85" s="51" t="n"/>
      <c r="J85" s="51" t="n"/>
      <c r="K85" s="51" t="n"/>
      <c r="L85" s="51" t="n"/>
      <c r="M85" s="51" t="n"/>
      <c r="N85" s="52">
        <f>IF(A85="","",IF(G85="FIXED",M85,IF(G85="UNIFORM",IF(AND(ISNUMBER(H85),ISNUMBER(I85)),(H85+I85)/2,""),IF(G85="TRIANGLE",IF(ISNUMBER(L85),L85,IF(ISNUMBER(J85),J85,"")),IF(ISNUMBER(J85),J85,IF(ISNUMBER(K85),K85,""))))))</f>
        <v/>
      </c>
      <c r="O85" s="32">
        <f>IF(A85="","",IF(G85="FIXED","fixed",IF(G85="UNIFORM","midpoint_median",IF(G85="TRIANGLE",IF(ISNUMBER(L85),"mode",IF(ISNUMBER(J85),"source_median","missing")),IF(ISNUMBER(J85),"source_median",IF(ISNUMBER(K85),"source_mean","missing"))))))</f>
        <v/>
      </c>
      <c r="P85" s="18" t="n"/>
      <c r="Q85" s="18" t="n"/>
      <c r="R85" s="18" t="n"/>
      <c r="S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51" t="n"/>
      <c r="I86" s="51" t="n"/>
      <c r="J86" s="51" t="n"/>
      <c r="K86" s="51" t="n"/>
      <c r="L86" s="51" t="n"/>
      <c r="M86" s="51" t="n"/>
      <c r="N86" s="52">
        <f>IF(A86="","",IF(G86="FIXED",M86,IF(G86="UNIFORM",IF(AND(ISNUMBER(H86),ISNUMBER(I86)),(H86+I86)/2,""),IF(G86="TRIANGLE",IF(ISNUMBER(L86),L86,IF(ISNUMBER(J86),J86,"")),IF(ISNUMBER(J86),J86,IF(ISNUMBER(K86),K86,""))))))</f>
        <v/>
      </c>
      <c r="O86" s="32">
        <f>IF(A86="","",IF(G86="FIXED","fixed",IF(G86="UNIFORM","midpoint_median",IF(G86="TRIANGLE",IF(ISNUMBER(L86),"mode",IF(ISNUMBER(J86),"source_median","missing")),IF(ISNUMBER(J86),"source_median",IF(ISNUMBER(K86),"source_mean","missing"))))))</f>
        <v/>
      </c>
      <c r="P86" s="18" t="n"/>
      <c r="Q86" s="18" t="n"/>
      <c r="R86" s="18" t="n"/>
      <c r="S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51" t="n"/>
      <c r="I87" s="51" t="n"/>
      <c r="J87" s="51" t="n"/>
      <c r="K87" s="51" t="n"/>
      <c r="L87" s="51" t="n"/>
      <c r="M87" s="51" t="n"/>
      <c r="N87" s="52">
        <f>IF(A87="","",IF(G87="FIXED",M87,IF(G87="UNIFORM",IF(AND(ISNUMBER(H87),ISNUMBER(I87)),(H87+I87)/2,""),IF(G87="TRIANGLE",IF(ISNUMBER(L87),L87,IF(ISNUMBER(J87),J87,"")),IF(ISNUMBER(J87),J87,IF(ISNUMBER(K87),K87,""))))))</f>
        <v/>
      </c>
      <c r="O87" s="32">
        <f>IF(A87="","",IF(G87="FIXED","fixed",IF(G87="UNIFORM","midpoint_median",IF(G87="TRIANGLE",IF(ISNUMBER(L87),"mode",IF(ISNUMBER(J87),"source_median","missing")),IF(ISNUMBER(J87),"source_median",IF(ISNUMBER(K87),"source_mean","missing"))))))</f>
        <v/>
      </c>
      <c r="P87" s="18" t="n"/>
      <c r="Q87" s="18" t="n"/>
      <c r="R87" s="18" t="n"/>
      <c r="S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51" t="n"/>
      <c r="I88" s="51" t="n"/>
      <c r="J88" s="51" t="n"/>
      <c r="K88" s="51" t="n"/>
      <c r="L88" s="51" t="n"/>
      <c r="M88" s="51" t="n"/>
      <c r="N88" s="52">
        <f>IF(A88="","",IF(G88="FIXED",M88,IF(G88="UNIFORM",IF(AND(ISNUMBER(H88),ISNUMBER(I88)),(H88+I88)/2,""),IF(G88="TRIANGLE",IF(ISNUMBER(L88),L88,IF(ISNUMBER(J88),J88,"")),IF(ISNUMBER(J88),J88,IF(ISNUMBER(K88),K88,""))))))</f>
        <v/>
      </c>
      <c r="O88" s="32">
        <f>IF(A88="","",IF(G88="FIXED","fixed",IF(G88="UNIFORM","midpoint_median",IF(G88="TRIANGLE",IF(ISNUMBER(L88),"mode",IF(ISNUMBER(J88),"source_median","missing")),IF(ISNUMBER(J88),"source_median",IF(ISNUMBER(K88),"source_mean","missing"))))))</f>
        <v/>
      </c>
      <c r="P88" s="18" t="n"/>
      <c r="Q88" s="18" t="n"/>
      <c r="R88" s="18" t="n"/>
      <c r="S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51" t="n"/>
      <c r="I89" s="51" t="n"/>
      <c r="J89" s="51" t="n"/>
      <c r="K89" s="51" t="n"/>
      <c r="L89" s="51" t="n"/>
      <c r="M89" s="51" t="n"/>
      <c r="N89" s="52">
        <f>IF(A89="","",IF(G89="FIXED",M89,IF(G89="UNIFORM",IF(AND(ISNUMBER(H89),ISNUMBER(I89)),(H89+I89)/2,""),IF(G89="TRIANGLE",IF(ISNUMBER(L89),L89,IF(ISNUMBER(J89),J89,"")),IF(ISNUMBER(J89),J89,IF(ISNUMBER(K89),K89,""))))))</f>
        <v/>
      </c>
      <c r="O89" s="32">
        <f>IF(A89="","",IF(G89="FIXED","fixed",IF(G89="UNIFORM","midpoint_median",IF(G89="TRIANGLE",IF(ISNUMBER(L89),"mode",IF(ISNUMBER(J89),"source_median","missing")),IF(ISNUMBER(J89),"source_median",IF(ISNUMBER(K89),"source_mean","missing"))))))</f>
        <v/>
      </c>
      <c r="P89" s="18" t="n"/>
      <c r="Q89" s="18" t="n"/>
      <c r="R89" s="18" t="n"/>
      <c r="S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51" t="n"/>
      <c r="I90" s="51" t="n"/>
      <c r="J90" s="51" t="n"/>
      <c r="K90" s="51" t="n"/>
      <c r="L90" s="51" t="n"/>
      <c r="M90" s="51" t="n"/>
      <c r="N90" s="52">
        <f>IF(A90="","",IF(G90="FIXED",M90,IF(G90="UNIFORM",IF(AND(ISNUMBER(H90),ISNUMBER(I90)),(H90+I90)/2,""),IF(G90="TRIANGLE",IF(ISNUMBER(L90),L90,IF(ISNUMBER(J90),J90,"")),IF(ISNUMBER(J90),J90,IF(ISNUMBER(K90),K90,""))))))</f>
        <v/>
      </c>
      <c r="O90" s="32">
        <f>IF(A90="","",IF(G90="FIXED","fixed",IF(G90="UNIFORM","midpoint_median",IF(G90="TRIANGLE",IF(ISNUMBER(L90),"mode",IF(ISNUMBER(J90),"source_median","missing")),IF(ISNUMBER(J90),"source_median",IF(ISNUMBER(K90),"source_mean","missing"))))))</f>
        <v/>
      </c>
      <c r="P90" s="18" t="n"/>
      <c r="Q90" s="18" t="n"/>
      <c r="R90" s="18" t="n"/>
      <c r="S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51" t="n"/>
      <c r="I91" s="51" t="n"/>
      <c r="J91" s="51" t="n"/>
      <c r="K91" s="51" t="n"/>
      <c r="L91" s="51" t="n"/>
      <c r="M91" s="51" t="n"/>
      <c r="N91" s="52">
        <f>IF(A91="","",IF(G91="FIXED",M91,IF(G91="UNIFORM",IF(AND(ISNUMBER(H91),ISNUMBER(I91)),(H91+I91)/2,""),IF(G91="TRIANGLE",IF(ISNUMBER(L91),L91,IF(ISNUMBER(J91),J91,"")),IF(ISNUMBER(J91),J91,IF(ISNUMBER(K91),K91,""))))))</f>
        <v/>
      </c>
      <c r="O91" s="32">
        <f>IF(A91="","",IF(G91="FIXED","fixed",IF(G91="UNIFORM","midpoint_median",IF(G91="TRIANGLE",IF(ISNUMBER(L91),"mode",IF(ISNUMBER(J91),"source_median","missing")),IF(ISNUMBER(J91),"source_median",IF(ISNUMBER(K91),"source_mean","missing"))))))</f>
        <v/>
      </c>
      <c r="P91" s="18" t="n"/>
      <c r="Q91" s="18" t="n"/>
      <c r="R91" s="18" t="n"/>
      <c r="S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51" t="n"/>
      <c r="I92" s="51" t="n"/>
      <c r="J92" s="51" t="n"/>
      <c r="K92" s="51" t="n"/>
      <c r="L92" s="51" t="n"/>
      <c r="M92" s="51" t="n"/>
      <c r="N92" s="52">
        <f>IF(A92="","",IF(G92="FIXED",M92,IF(G92="UNIFORM",IF(AND(ISNUMBER(H92),ISNUMBER(I92)),(H92+I92)/2,""),IF(G92="TRIANGLE",IF(ISNUMBER(L92),L92,IF(ISNUMBER(J92),J92,"")),IF(ISNUMBER(J92),J92,IF(ISNUMBER(K92),K92,""))))))</f>
        <v/>
      </c>
      <c r="O92" s="32">
        <f>IF(A92="","",IF(G92="FIXED","fixed",IF(G92="UNIFORM","midpoint_median",IF(G92="TRIANGLE",IF(ISNUMBER(L92),"mode",IF(ISNUMBER(J92),"source_median","missing")),IF(ISNUMBER(J92),"source_median",IF(ISNUMBER(K92),"source_mean","missing"))))))</f>
        <v/>
      </c>
      <c r="P92" s="18" t="n"/>
      <c r="Q92" s="18" t="n"/>
      <c r="R92" s="18" t="n"/>
      <c r="S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51" t="n"/>
      <c r="I93" s="51" t="n"/>
      <c r="J93" s="51" t="n"/>
      <c r="K93" s="51" t="n"/>
      <c r="L93" s="51" t="n"/>
      <c r="M93" s="51" t="n"/>
      <c r="N93" s="52">
        <f>IF(A93="","",IF(G93="FIXED",M93,IF(G93="UNIFORM",IF(AND(ISNUMBER(H93),ISNUMBER(I93)),(H93+I93)/2,""),IF(G93="TRIANGLE",IF(ISNUMBER(L93),L93,IF(ISNUMBER(J93),J93,"")),IF(ISNUMBER(J93),J93,IF(ISNUMBER(K93),K93,""))))))</f>
        <v/>
      </c>
      <c r="O93" s="32">
        <f>IF(A93="","",IF(G93="FIXED","fixed",IF(G93="UNIFORM","midpoint_median",IF(G93="TRIANGLE",IF(ISNUMBER(L93),"mode",IF(ISNUMBER(J93),"source_median","missing")),IF(ISNUMBER(J93),"source_median",IF(ISNUMBER(K93),"source_mean","missing"))))))</f>
        <v/>
      </c>
      <c r="P93" s="18" t="n"/>
      <c r="Q93" s="18" t="n"/>
      <c r="R93" s="18" t="n"/>
      <c r="S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51" t="n"/>
      <c r="I94" s="51" t="n"/>
      <c r="J94" s="51" t="n"/>
      <c r="K94" s="51" t="n"/>
      <c r="L94" s="51" t="n"/>
      <c r="M94" s="51" t="n"/>
      <c r="N94" s="52">
        <f>IF(A94="","",IF(G94="FIXED",M94,IF(G94="UNIFORM",IF(AND(ISNUMBER(H94),ISNUMBER(I94)),(H94+I94)/2,""),IF(G94="TRIANGLE",IF(ISNUMBER(L94),L94,IF(ISNUMBER(J94),J94,"")),IF(ISNUMBER(J94),J94,IF(ISNUMBER(K94),K94,""))))))</f>
        <v/>
      </c>
      <c r="O94" s="32">
        <f>IF(A94="","",IF(G94="FIXED","fixed",IF(G94="UNIFORM","midpoint_median",IF(G94="TRIANGLE",IF(ISNUMBER(L94),"mode",IF(ISNUMBER(J94),"source_median","missing")),IF(ISNUMBER(J94),"source_median",IF(ISNUMBER(K94),"source_mean","missing"))))))</f>
        <v/>
      </c>
      <c r="P94" s="18" t="n"/>
      <c r="Q94" s="18" t="n"/>
      <c r="R94" s="18" t="n"/>
      <c r="S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51" t="n"/>
      <c r="I95" s="51" t="n"/>
      <c r="J95" s="51" t="n"/>
      <c r="K95" s="51" t="n"/>
      <c r="L95" s="51" t="n"/>
      <c r="M95" s="51" t="n"/>
      <c r="N95" s="52">
        <f>IF(A95="","",IF(G95="FIXED",M95,IF(G95="UNIFORM",IF(AND(ISNUMBER(H95),ISNUMBER(I95)),(H95+I95)/2,""),IF(G95="TRIANGLE",IF(ISNUMBER(L95),L95,IF(ISNUMBER(J95),J95,"")),IF(ISNUMBER(J95),J95,IF(ISNUMBER(K95),K95,""))))))</f>
        <v/>
      </c>
      <c r="O95" s="32">
        <f>IF(A95="","",IF(G95="FIXED","fixed",IF(G95="UNIFORM","midpoint_median",IF(G95="TRIANGLE",IF(ISNUMBER(L95),"mode",IF(ISNUMBER(J95),"source_median","missing")),IF(ISNUMBER(J95),"source_median",IF(ISNUMBER(K95),"source_mean","missing"))))))</f>
        <v/>
      </c>
      <c r="P95" s="18" t="n"/>
      <c r="Q95" s="18" t="n"/>
      <c r="R95" s="18" t="n"/>
      <c r="S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51" t="n"/>
      <c r="I96" s="51" t="n"/>
      <c r="J96" s="51" t="n"/>
      <c r="K96" s="51" t="n"/>
      <c r="L96" s="51" t="n"/>
      <c r="M96" s="51" t="n"/>
      <c r="N96" s="52">
        <f>IF(A96="","",IF(G96="FIXED",M96,IF(G96="UNIFORM",IF(AND(ISNUMBER(H96),ISNUMBER(I96)),(H96+I96)/2,""),IF(G96="TRIANGLE",IF(ISNUMBER(L96),L96,IF(ISNUMBER(J96),J96,"")),IF(ISNUMBER(J96),J96,IF(ISNUMBER(K96),K96,""))))))</f>
        <v/>
      </c>
      <c r="O96" s="32">
        <f>IF(A96="","",IF(G96="FIXED","fixed",IF(G96="UNIFORM","midpoint_median",IF(G96="TRIANGLE",IF(ISNUMBER(L96),"mode",IF(ISNUMBER(J96),"source_median","missing")),IF(ISNUMBER(J96),"source_median",IF(ISNUMBER(K96),"source_mean","missing"))))))</f>
        <v/>
      </c>
      <c r="P96" s="18" t="n"/>
      <c r="Q96" s="18" t="n"/>
      <c r="R96" s="18" t="n"/>
      <c r="S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51" t="n"/>
      <c r="I97" s="51" t="n"/>
      <c r="J97" s="51" t="n"/>
      <c r="K97" s="51" t="n"/>
      <c r="L97" s="51" t="n"/>
      <c r="M97" s="51" t="n"/>
      <c r="N97" s="52">
        <f>IF(A97="","",IF(G97="FIXED",M97,IF(G97="UNIFORM",IF(AND(ISNUMBER(H97),ISNUMBER(I97)),(H97+I97)/2,""),IF(G97="TRIANGLE",IF(ISNUMBER(L97),L97,IF(ISNUMBER(J97),J97,"")),IF(ISNUMBER(J97),J97,IF(ISNUMBER(K97),K97,""))))))</f>
        <v/>
      </c>
      <c r="O97" s="32">
        <f>IF(A97="","",IF(G97="FIXED","fixed",IF(G97="UNIFORM","midpoint_median",IF(G97="TRIANGLE",IF(ISNUMBER(L97),"mode",IF(ISNUMBER(J97),"source_median","missing")),IF(ISNUMBER(J97),"source_median",IF(ISNUMBER(K97),"source_mean","missing"))))))</f>
        <v/>
      </c>
      <c r="P97" s="18" t="n"/>
      <c r="Q97" s="18" t="n"/>
      <c r="R97" s="18" t="n"/>
      <c r="S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51" t="n"/>
      <c r="I98" s="51" t="n"/>
      <c r="J98" s="51" t="n"/>
      <c r="K98" s="51" t="n"/>
      <c r="L98" s="51" t="n"/>
      <c r="M98" s="51" t="n"/>
      <c r="N98" s="52">
        <f>IF(A98="","",IF(G98="FIXED",M98,IF(G98="UNIFORM",IF(AND(ISNUMBER(H98),ISNUMBER(I98)),(H98+I98)/2,""),IF(G98="TRIANGLE",IF(ISNUMBER(L98),L98,IF(ISNUMBER(J98),J98,"")),IF(ISNUMBER(J98),J98,IF(ISNUMBER(K98),K98,""))))))</f>
        <v/>
      </c>
      <c r="O98" s="32">
        <f>IF(A98="","",IF(G98="FIXED","fixed",IF(G98="UNIFORM","midpoint_median",IF(G98="TRIANGLE",IF(ISNUMBER(L98),"mode",IF(ISNUMBER(J98),"source_median","missing")),IF(ISNUMBER(J98),"source_median",IF(ISNUMBER(K98),"source_mean","missing"))))))</f>
        <v/>
      </c>
      <c r="P98" s="18" t="n"/>
      <c r="Q98" s="18" t="n"/>
      <c r="R98" s="18" t="n"/>
      <c r="S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51" t="n"/>
      <c r="I99" s="51" t="n"/>
      <c r="J99" s="51" t="n"/>
      <c r="K99" s="51" t="n"/>
      <c r="L99" s="51" t="n"/>
      <c r="M99" s="51" t="n"/>
      <c r="N99" s="52">
        <f>IF(A99="","",IF(G99="FIXED",M99,IF(G99="UNIFORM",IF(AND(ISNUMBER(H99),ISNUMBER(I99)),(H99+I99)/2,""),IF(G99="TRIANGLE",IF(ISNUMBER(L99),L99,IF(ISNUMBER(J99),J99,"")),IF(ISNUMBER(J99),J99,IF(ISNUMBER(K99),K99,""))))))</f>
        <v/>
      </c>
      <c r="O99" s="32">
        <f>IF(A99="","",IF(G99="FIXED","fixed",IF(G99="UNIFORM","midpoint_median",IF(G99="TRIANGLE",IF(ISNUMBER(L99),"mode",IF(ISNUMBER(J99),"source_median","missing")),IF(ISNUMBER(J99),"source_median",IF(ISNUMBER(K99),"source_mean","missing"))))))</f>
        <v/>
      </c>
      <c r="P99" s="18" t="n"/>
      <c r="Q99" s="18" t="n"/>
      <c r="R99" s="18" t="n"/>
      <c r="S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51" t="n"/>
      <c r="I100" s="51" t="n"/>
      <c r="J100" s="51" t="n"/>
      <c r="K100" s="51" t="n"/>
      <c r="L100" s="51" t="n"/>
      <c r="M100" s="51" t="n"/>
      <c r="N100" s="52">
        <f>IF(A100="","",IF(G100="FIXED",M100,IF(G100="UNIFORM",IF(AND(ISNUMBER(H100),ISNUMBER(I100)),(H100+I100)/2,""),IF(G100="TRIANGLE",IF(ISNUMBER(L100),L100,IF(ISNUMBER(J100),J100,"")),IF(ISNUMBER(J100),J100,IF(ISNUMBER(K100),K100,""))))))</f>
        <v/>
      </c>
      <c r="O100" s="32">
        <f>IF(A100="","",IF(G100="FIXED","fixed",IF(G100="UNIFORM","midpoint_median",IF(G100="TRIANGLE",IF(ISNUMBER(L100),"mode",IF(ISNUMBER(J100),"source_median","missing")),IF(ISNUMBER(J100),"source_median",IF(ISNUMBER(K100),"source_mean","missing"))))))</f>
        <v/>
      </c>
      <c r="P100" s="18" t="n"/>
      <c r="Q100" s="18" t="n"/>
      <c r="R100" s="18" t="n"/>
      <c r="S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51" t="n"/>
      <c r="I101" s="51" t="n"/>
      <c r="J101" s="51" t="n"/>
      <c r="K101" s="51" t="n"/>
      <c r="L101" s="51" t="n"/>
      <c r="M101" s="51" t="n"/>
      <c r="N101" s="52">
        <f>IF(A101="","",IF(G101="FIXED",M101,IF(G101="UNIFORM",IF(AND(ISNUMBER(H101),ISNUMBER(I101)),(H101+I101)/2,""),IF(G101="TRIANGLE",IF(ISNUMBER(L101),L101,IF(ISNUMBER(J101),J101,"")),IF(ISNUMBER(J101),J101,IF(ISNUMBER(K101),K101,""))))))</f>
        <v/>
      </c>
      <c r="O101" s="32">
        <f>IF(A101="","",IF(G101="FIXED","fixed",IF(G101="UNIFORM","midpoint_median",IF(G101="TRIANGLE",IF(ISNUMBER(L101),"mode",IF(ISNUMBER(J101),"source_median","missing")),IF(ISNUMBER(J101),"source_median",IF(ISNUMBER(K101),"source_mean","missing"))))))</f>
        <v/>
      </c>
      <c r="P101" s="18" t="n"/>
      <c r="Q101" s="18" t="n"/>
      <c r="R101" s="18" t="n"/>
      <c r="S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51" t="n"/>
      <c r="I102" s="51" t="n"/>
      <c r="J102" s="51" t="n"/>
      <c r="K102" s="51" t="n"/>
      <c r="L102" s="51" t="n"/>
      <c r="M102" s="51" t="n"/>
      <c r="N102" s="52">
        <f>IF(A102="","",IF(G102="FIXED",M102,IF(G102="UNIFORM",IF(AND(ISNUMBER(H102),ISNUMBER(I102)),(H102+I102)/2,""),IF(G102="TRIANGLE",IF(ISNUMBER(L102),L102,IF(ISNUMBER(J102),J102,"")),IF(ISNUMBER(J102),J102,IF(ISNUMBER(K102),K102,""))))))</f>
        <v/>
      </c>
      <c r="O102" s="32">
        <f>IF(A102="","",IF(G102="FIXED","fixed",IF(G102="UNIFORM","midpoint_median",IF(G102="TRIANGLE",IF(ISNUMBER(L102),"mode",IF(ISNUMBER(J102),"source_median","missing")),IF(ISNUMBER(J102),"source_median",IF(ISNUMBER(K102),"source_mean","missing"))))))</f>
        <v/>
      </c>
      <c r="P102" s="18" t="n"/>
      <c r="Q102" s="18" t="n"/>
      <c r="R102" s="18" t="n"/>
      <c r="S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51" t="n"/>
      <c r="I103" s="51" t="n"/>
      <c r="J103" s="51" t="n"/>
      <c r="K103" s="51" t="n"/>
      <c r="L103" s="51" t="n"/>
      <c r="M103" s="51" t="n"/>
      <c r="N103" s="52">
        <f>IF(A103="","",IF(G103="FIXED",M103,IF(G103="UNIFORM",IF(AND(ISNUMBER(H103),ISNUMBER(I103)),(H103+I103)/2,""),IF(G103="TRIANGLE",IF(ISNUMBER(L103),L103,IF(ISNUMBER(J103),J103,"")),IF(ISNUMBER(J103),J103,IF(ISNUMBER(K103),K103,""))))))</f>
        <v/>
      </c>
      <c r="O103" s="32">
        <f>IF(A103="","",IF(G103="FIXED","fixed",IF(G103="UNIFORM","midpoint_median",IF(G103="TRIANGLE",IF(ISNUMBER(L103),"mode",IF(ISNUMBER(J103),"source_median","missing")),IF(ISNUMBER(J103),"source_median",IF(ISNUMBER(K103),"source_mean","missing"))))))</f>
        <v/>
      </c>
      <c r="P103" s="18" t="n"/>
      <c r="Q103" s="18" t="n"/>
      <c r="R103" s="18" t="n"/>
      <c r="S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51" t="n"/>
      <c r="I104" s="51" t="n"/>
      <c r="J104" s="51" t="n"/>
      <c r="K104" s="51" t="n"/>
      <c r="L104" s="51" t="n"/>
      <c r="M104" s="51" t="n"/>
      <c r="N104" s="52">
        <f>IF(A104="","",IF(G104="FIXED",M104,IF(G104="UNIFORM",IF(AND(ISNUMBER(H104),ISNUMBER(I104)),(H104+I104)/2,""),IF(G104="TRIANGLE",IF(ISNUMBER(L104),L104,IF(ISNUMBER(J104),J104,"")),IF(ISNUMBER(J104),J104,IF(ISNUMBER(K104),K104,""))))))</f>
        <v/>
      </c>
      <c r="O104" s="32">
        <f>IF(A104="","",IF(G104="FIXED","fixed",IF(G104="UNIFORM","midpoint_median",IF(G104="TRIANGLE",IF(ISNUMBER(L104),"mode",IF(ISNUMBER(J104),"source_median","missing")),IF(ISNUMBER(J104),"source_median",IF(ISNUMBER(K104),"source_mean","missing"))))))</f>
        <v/>
      </c>
      <c r="P104" s="18" t="n"/>
      <c r="Q104" s="18" t="n"/>
      <c r="R104" s="18" t="n"/>
      <c r="S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51" t="n"/>
      <c r="I105" s="51" t="n"/>
      <c r="J105" s="51" t="n"/>
      <c r="K105" s="51" t="n"/>
      <c r="L105" s="51" t="n"/>
      <c r="M105" s="51" t="n"/>
      <c r="N105" s="52">
        <f>IF(A105="","",IF(G105="FIXED",M105,IF(G105="UNIFORM",IF(AND(ISNUMBER(H105),ISNUMBER(I105)),(H105+I105)/2,""),IF(G105="TRIANGLE",IF(ISNUMBER(L105),L105,IF(ISNUMBER(J105),J105,"")),IF(ISNUMBER(J105),J105,IF(ISNUMBER(K105),K105,""))))))</f>
        <v/>
      </c>
      <c r="O105" s="32">
        <f>IF(A105="","",IF(G105="FIXED","fixed",IF(G105="UNIFORM","midpoint_median",IF(G105="TRIANGLE",IF(ISNUMBER(L105),"mode",IF(ISNUMBER(J105),"source_median","missing")),IF(ISNUMBER(J105),"source_median",IF(ISNUMBER(K105),"source_mean","missing"))))))</f>
        <v/>
      </c>
      <c r="P105" s="18" t="n"/>
      <c r="Q105" s="18" t="n"/>
      <c r="R105" s="18" t="n"/>
      <c r="S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51" t="n"/>
      <c r="I106" s="51" t="n"/>
      <c r="J106" s="51" t="n"/>
      <c r="K106" s="51" t="n"/>
      <c r="L106" s="51" t="n"/>
      <c r="M106" s="51" t="n"/>
      <c r="N106" s="52">
        <f>IF(A106="","",IF(G106="FIXED",M106,IF(G106="UNIFORM",IF(AND(ISNUMBER(H106),ISNUMBER(I106)),(H106+I106)/2,""),IF(G106="TRIANGLE",IF(ISNUMBER(L106),L106,IF(ISNUMBER(J106),J106,"")),IF(ISNUMBER(J106),J106,IF(ISNUMBER(K106),K106,""))))))</f>
        <v/>
      </c>
      <c r="O106" s="32">
        <f>IF(A106="","",IF(G106="FIXED","fixed",IF(G106="UNIFORM","midpoint_median",IF(G106="TRIANGLE",IF(ISNUMBER(L106),"mode",IF(ISNUMBER(J106),"source_median","missing")),IF(ISNUMBER(J106),"source_median",IF(ISNUMBER(K106),"source_mean","missing"))))))</f>
        <v/>
      </c>
      <c r="P106" s="18" t="n"/>
      <c r="Q106" s="18" t="n"/>
      <c r="R106" s="18" t="n"/>
      <c r="S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51" t="n"/>
      <c r="I107" s="51" t="n"/>
      <c r="J107" s="51" t="n"/>
      <c r="K107" s="51" t="n"/>
      <c r="L107" s="51" t="n"/>
      <c r="M107" s="51" t="n"/>
      <c r="N107" s="52">
        <f>IF(A107="","",IF(G107="FIXED",M107,IF(G107="UNIFORM",IF(AND(ISNUMBER(H107),ISNUMBER(I107)),(H107+I107)/2,""),IF(G107="TRIANGLE",IF(ISNUMBER(L107),L107,IF(ISNUMBER(J107),J107,"")),IF(ISNUMBER(J107),J107,IF(ISNUMBER(K107),K107,""))))))</f>
        <v/>
      </c>
      <c r="O107" s="32">
        <f>IF(A107="","",IF(G107="FIXED","fixed",IF(G107="UNIFORM","midpoint_median",IF(G107="TRIANGLE",IF(ISNUMBER(L107),"mode",IF(ISNUMBER(J107),"source_median","missing")),IF(ISNUMBER(J107),"source_median",IF(ISNUMBER(K107),"source_mean","missing"))))))</f>
        <v/>
      </c>
      <c r="P107" s="18" t="n"/>
      <c r="Q107" s="18" t="n"/>
      <c r="R107" s="18" t="n"/>
      <c r="S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51" t="n"/>
      <c r="I108" s="51" t="n"/>
      <c r="J108" s="51" t="n"/>
      <c r="K108" s="51" t="n"/>
      <c r="L108" s="51" t="n"/>
      <c r="M108" s="51" t="n"/>
      <c r="N108" s="52">
        <f>IF(A108="","",IF(G108="FIXED",M108,IF(G108="UNIFORM",IF(AND(ISNUMBER(H108),ISNUMBER(I108)),(H108+I108)/2,""),IF(G108="TRIANGLE",IF(ISNUMBER(L108),L108,IF(ISNUMBER(J108),J108,"")),IF(ISNUMBER(J108),J108,IF(ISNUMBER(K108),K108,""))))))</f>
        <v/>
      </c>
      <c r="O108" s="32">
        <f>IF(A108="","",IF(G108="FIXED","fixed",IF(G108="UNIFORM","midpoint_median",IF(G108="TRIANGLE",IF(ISNUMBER(L108),"mode",IF(ISNUMBER(J108),"source_median","missing")),IF(ISNUMBER(J108),"source_median",IF(ISNUMBER(K108),"source_mean","missing"))))))</f>
        <v/>
      </c>
      <c r="P108" s="18" t="n"/>
      <c r="Q108" s="18" t="n"/>
      <c r="R108" s="18" t="n"/>
      <c r="S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51" t="n"/>
      <c r="I109" s="51" t="n"/>
      <c r="J109" s="51" t="n"/>
      <c r="K109" s="51" t="n"/>
      <c r="L109" s="51" t="n"/>
      <c r="M109" s="51" t="n"/>
      <c r="N109" s="52">
        <f>IF(A109="","",IF(G109="FIXED",M109,IF(G109="UNIFORM",IF(AND(ISNUMBER(H109),ISNUMBER(I109)),(H109+I109)/2,""),IF(G109="TRIANGLE",IF(ISNUMBER(L109),L109,IF(ISNUMBER(J109),J109,"")),IF(ISNUMBER(J109),J109,IF(ISNUMBER(K109),K109,""))))))</f>
        <v/>
      </c>
      <c r="O109" s="32">
        <f>IF(A109="","",IF(G109="FIXED","fixed",IF(G109="UNIFORM","midpoint_median",IF(G109="TRIANGLE",IF(ISNUMBER(L109),"mode",IF(ISNUMBER(J109),"source_median","missing")),IF(ISNUMBER(J109),"source_median",IF(ISNUMBER(K109),"source_mean","missing"))))))</f>
        <v/>
      </c>
      <c r="P109" s="18" t="n"/>
      <c r="Q109" s="18" t="n"/>
      <c r="R109" s="18" t="n"/>
      <c r="S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51" t="n"/>
      <c r="I110" s="51" t="n"/>
      <c r="J110" s="51" t="n"/>
      <c r="K110" s="51" t="n"/>
      <c r="L110" s="51" t="n"/>
      <c r="M110" s="51" t="n"/>
      <c r="N110" s="52">
        <f>IF(A110="","",IF(G110="FIXED",M110,IF(G110="UNIFORM",IF(AND(ISNUMBER(H110),ISNUMBER(I110)),(H110+I110)/2,""),IF(G110="TRIANGLE",IF(ISNUMBER(L110),L110,IF(ISNUMBER(J110),J110,"")),IF(ISNUMBER(J110),J110,IF(ISNUMBER(K110),K110,""))))))</f>
        <v/>
      </c>
      <c r="O110" s="32">
        <f>IF(A110="","",IF(G110="FIXED","fixed",IF(G110="UNIFORM","midpoint_median",IF(G110="TRIANGLE",IF(ISNUMBER(L110),"mode",IF(ISNUMBER(J110),"source_median","missing")),IF(ISNUMBER(J110),"source_median",IF(ISNUMBER(K110),"source_mean","missing"))))))</f>
        <v/>
      </c>
      <c r="P110" s="18" t="n"/>
      <c r="Q110" s="18" t="n"/>
      <c r="R110" s="18" t="n"/>
      <c r="S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51" t="n"/>
      <c r="I111" s="51" t="n"/>
      <c r="J111" s="51" t="n"/>
      <c r="K111" s="51" t="n"/>
      <c r="L111" s="51" t="n"/>
      <c r="M111" s="51" t="n"/>
      <c r="N111" s="52">
        <f>IF(A111="","",IF(G111="FIXED",M111,IF(G111="UNIFORM",IF(AND(ISNUMBER(H111),ISNUMBER(I111)),(H111+I111)/2,""),IF(G111="TRIANGLE",IF(ISNUMBER(L111),L111,IF(ISNUMBER(J111),J111,"")),IF(ISNUMBER(J111),J111,IF(ISNUMBER(K111),K111,""))))))</f>
        <v/>
      </c>
      <c r="O111" s="32">
        <f>IF(A111="","",IF(G111="FIXED","fixed",IF(G111="UNIFORM","midpoint_median",IF(G111="TRIANGLE",IF(ISNUMBER(L111),"mode",IF(ISNUMBER(J111),"source_median","missing")),IF(ISNUMBER(J111),"source_median",IF(ISNUMBER(K111),"source_mean","missing"))))))</f>
        <v/>
      </c>
      <c r="P111" s="18" t="n"/>
      <c r="Q111" s="18" t="n"/>
      <c r="R111" s="18" t="n"/>
      <c r="S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51" t="n"/>
      <c r="I112" s="51" t="n"/>
      <c r="J112" s="51" t="n"/>
      <c r="K112" s="51" t="n"/>
      <c r="L112" s="51" t="n"/>
      <c r="M112" s="51" t="n"/>
      <c r="N112" s="52">
        <f>IF(A112="","",IF(G112="FIXED",M112,IF(G112="UNIFORM",IF(AND(ISNUMBER(H112),ISNUMBER(I112)),(H112+I112)/2,""),IF(G112="TRIANGLE",IF(ISNUMBER(L112),L112,IF(ISNUMBER(J112),J112,"")),IF(ISNUMBER(J112),J112,IF(ISNUMBER(K112),K112,""))))))</f>
        <v/>
      </c>
      <c r="O112" s="32">
        <f>IF(A112="","",IF(G112="FIXED","fixed",IF(G112="UNIFORM","midpoint_median",IF(G112="TRIANGLE",IF(ISNUMBER(L112),"mode",IF(ISNUMBER(J112),"source_median","missing")),IF(ISNUMBER(J112),"source_median",IF(ISNUMBER(K112),"source_mean","missing"))))))</f>
        <v/>
      </c>
      <c r="P112" s="18" t="n"/>
      <c r="Q112" s="18" t="n"/>
      <c r="R112" s="18" t="n"/>
      <c r="S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51" t="n"/>
      <c r="I113" s="51" t="n"/>
      <c r="J113" s="51" t="n"/>
      <c r="K113" s="51" t="n"/>
      <c r="L113" s="51" t="n"/>
      <c r="M113" s="51" t="n"/>
      <c r="N113" s="52">
        <f>IF(A113="","",IF(G113="FIXED",M113,IF(G113="UNIFORM",IF(AND(ISNUMBER(H113),ISNUMBER(I113)),(H113+I113)/2,""),IF(G113="TRIANGLE",IF(ISNUMBER(L113),L113,IF(ISNUMBER(J113),J113,"")),IF(ISNUMBER(J113),J113,IF(ISNUMBER(K113),K113,""))))))</f>
        <v/>
      </c>
      <c r="O113" s="32">
        <f>IF(A113="","",IF(G113="FIXED","fixed",IF(G113="UNIFORM","midpoint_median",IF(G113="TRIANGLE",IF(ISNUMBER(L113),"mode",IF(ISNUMBER(J113),"source_median","missing")),IF(ISNUMBER(J113),"source_median",IF(ISNUMBER(K113),"source_mean","missing"))))))</f>
        <v/>
      </c>
      <c r="P113" s="18" t="n"/>
      <c r="Q113" s="18" t="n"/>
      <c r="R113" s="18" t="n"/>
      <c r="S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51" t="n"/>
      <c r="I114" s="51" t="n"/>
      <c r="J114" s="51" t="n"/>
      <c r="K114" s="51" t="n"/>
      <c r="L114" s="51" t="n"/>
      <c r="M114" s="51" t="n"/>
      <c r="N114" s="52">
        <f>IF(A114="","",IF(G114="FIXED",M114,IF(G114="UNIFORM",IF(AND(ISNUMBER(H114),ISNUMBER(I114)),(H114+I114)/2,""),IF(G114="TRIANGLE",IF(ISNUMBER(L114),L114,IF(ISNUMBER(J114),J114,"")),IF(ISNUMBER(J114),J114,IF(ISNUMBER(K114),K114,""))))))</f>
        <v/>
      </c>
      <c r="O114" s="32">
        <f>IF(A114="","",IF(G114="FIXED","fixed",IF(G114="UNIFORM","midpoint_median",IF(G114="TRIANGLE",IF(ISNUMBER(L114),"mode",IF(ISNUMBER(J114),"source_median","missing")),IF(ISNUMBER(J114),"source_median",IF(ISNUMBER(K114),"source_mean","missing"))))))</f>
        <v/>
      </c>
      <c r="P114" s="18" t="n"/>
      <c r="Q114" s="18" t="n"/>
      <c r="R114" s="18" t="n"/>
      <c r="S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51" t="n"/>
      <c r="I115" s="51" t="n"/>
      <c r="J115" s="51" t="n"/>
      <c r="K115" s="51" t="n"/>
      <c r="L115" s="51" t="n"/>
      <c r="M115" s="51" t="n"/>
      <c r="N115" s="52">
        <f>IF(A115="","",IF(G115="FIXED",M115,IF(G115="UNIFORM",IF(AND(ISNUMBER(H115),ISNUMBER(I115)),(H115+I115)/2,""),IF(G115="TRIANGLE",IF(ISNUMBER(L115),L115,IF(ISNUMBER(J115),J115,"")),IF(ISNUMBER(J115),J115,IF(ISNUMBER(K115),K115,""))))))</f>
        <v/>
      </c>
      <c r="O115" s="32">
        <f>IF(A115="","",IF(G115="FIXED","fixed",IF(G115="UNIFORM","midpoint_median",IF(G115="TRIANGLE",IF(ISNUMBER(L115),"mode",IF(ISNUMBER(J115),"source_median","missing")),IF(ISNUMBER(J115),"source_median",IF(ISNUMBER(K115),"source_mean","missing"))))))</f>
        <v/>
      </c>
      <c r="P115" s="18" t="n"/>
      <c r="Q115" s="18" t="n"/>
      <c r="R115" s="18" t="n"/>
      <c r="S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51" t="n"/>
      <c r="I116" s="51" t="n"/>
      <c r="J116" s="51" t="n"/>
      <c r="K116" s="51" t="n"/>
      <c r="L116" s="51" t="n"/>
      <c r="M116" s="51" t="n"/>
      <c r="N116" s="52">
        <f>IF(A116="","",IF(G116="FIXED",M116,IF(G116="UNIFORM",IF(AND(ISNUMBER(H116),ISNUMBER(I116)),(H116+I116)/2,""),IF(G116="TRIANGLE",IF(ISNUMBER(L116),L116,IF(ISNUMBER(J116),J116,"")),IF(ISNUMBER(J116),J116,IF(ISNUMBER(K116),K116,""))))))</f>
        <v/>
      </c>
      <c r="O116" s="32">
        <f>IF(A116="","",IF(G116="FIXED","fixed",IF(G116="UNIFORM","midpoint_median",IF(G116="TRIANGLE",IF(ISNUMBER(L116),"mode",IF(ISNUMBER(J116),"source_median","missing")),IF(ISNUMBER(J116),"source_median",IF(ISNUMBER(K116),"source_mean","missing"))))))</f>
        <v/>
      </c>
      <c r="P116" s="18" t="n"/>
      <c r="Q116" s="18" t="n"/>
      <c r="R116" s="18" t="n"/>
      <c r="S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51" t="n"/>
      <c r="I117" s="51" t="n"/>
      <c r="J117" s="51" t="n"/>
      <c r="K117" s="51" t="n"/>
      <c r="L117" s="51" t="n"/>
      <c r="M117" s="51" t="n"/>
      <c r="N117" s="52">
        <f>IF(A117="","",IF(G117="FIXED",M117,IF(G117="UNIFORM",IF(AND(ISNUMBER(H117),ISNUMBER(I117)),(H117+I117)/2,""),IF(G117="TRIANGLE",IF(ISNUMBER(L117),L117,IF(ISNUMBER(J117),J117,"")),IF(ISNUMBER(J117),J117,IF(ISNUMBER(K117),K117,""))))))</f>
        <v/>
      </c>
      <c r="O117" s="32">
        <f>IF(A117="","",IF(G117="FIXED","fixed",IF(G117="UNIFORM","midpoint_median",IF(G117="TRIANGLE",IF(ISNUMBER(L117),"mode",IF(ISNUMBER(J117),"source_median","missing")),IF(ISNUMBER(J117),"source_median",IF(ISNUMBER(K117),"source_mean","missing"))))))</f>
        <v/>
      </c>
      <c r="P117" s="18" t="n"/>
      <c r="Q117" s="18" t="n"/>
      <c r="R117" s="18" t="n"/>
      <c r="S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51" t="n"/>
      <c r="I118" s="51" t="n"/>
      <c r="J118" s="51" t="n"/>
      <c r="K118" s="51" t="n"/>
      <c r="L118" s="51" t="n"/>
      <c r="M118" s="51" t="n"/>
      <c r="N118" s="52">
        <f>IF(A118="","",IF(G118="FIXED",M118,IF(G118="UNIFORM",IF(AND(ISNUMBER(H118),ISNUMBER(I118)),(H118+I118)/2,""),IF(G118="TRIANGLE",IF(ISNUMBER(L118),L118,IF(ISNUMBER(J118),J118,"")),IF(ISNUMBER(J118),J118,IF(ISNUMBER(K118),K118,""))))))</f>
        <v/>
      </c>
      <c r="O118" s="32">
        <f>IF(A118="","",IF(G118="FIXED","fixed",IF(G118="UNIFORM","midpoint_median",IF(G118="TRIANGLE",IF(ISNUMBER(L118),"mode",IF(ISNUMBER(J118),"source_median","missing")),IF(ISNUMBER(J118),"source_median",IF(ISNUMBER(K118),"source_mean","missing"))))))</f>
        <v/>
      </c>
      <c r="P118" s="18" t="n"/>
      <c r="Q118" s="18" t="n"/>
      <c r="R118" s="18" t="n"/>
      <c r="S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51" t="n"/>
      <c r="I119" s="51" t="n"/>
      <c r="J119" s="51" t="n"/>
      <c r="K119" s="51" t="n"/>
      <c r="L119" s="51" t="n"/>
      <c r="M119" s="51" t="n"/>
      <c r="N119" s="52">
        <f>IF(A119="","",IF(G119="FIXED",M119,IF(G119="UNIFORM",IF(AND(ISNUMBER(H119),ISNUMBER(I119)),(H119+I119)/2,""),IF(G119="TRIANGLE",IF(ISNUMBER(L119),L119,IF(ISNUMBER(J119),J119,"")),IF(ISNUMBER(J119),J119,IF(ISNUMBER(K119),K119,""))))))</f>
        <v/>
      </c>
      <c r="O119" s="32">
        <f>IF(A119="","",IF(G119="FIXED","fixed",IF(G119="UNIFORM","midpoint_median",IF(G119="TRIANGLE",IF(ISNUMBER(L119),"mode",IF(ISNUMBER(J119),"source_median","missing")),IF(ISNUMBER(J119),"source_median",IF(ISNUMBER(K119),"source_mean","missing"))))))</f>
        <v/>
      </c>
      <c r="P119" s="18" t="n"/>
      <c r="Q119" s="18" t="n"/>
      <c r="R119" s="18" t="n"/>
      <c r="S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51" t="n"/>
      <c r="I120" s="51" t="n"/>
      <c r="J120" s="51" t="n"/>
      <c r="K120" s="51" t="n"/>
      <c r="L120" s="51" t="n"/>
      <c r="M120" s="51" t="n"/>
      <c r="N120" s="52">
        <f>IF(A120="","",IF(G120="FIXED",M120,IF(G120="UNIFORM",IF(AND(ISNUMBER(H120),ISNUMBER(I120)),(H120+I120)/2,""),IF(G120="TRIANGLE",IF(ISNUMBER(L120),L120,IF(ISNUMBER(J120),J120,"")),IF(ISNUMBER(J120),J120,IF(ISNUMBER(K120),K120,""))))))</f>
        <v/>
      </c>
      <c r="O120" s="32">
        <f>IF(A120="","",IF(G120="FIXED","fixed",IF(G120="UNIFORM","midpoint_median",IF(G120="TRIANGLE",IF(ISNUMBER(L120),"mode",IF(ISNUMBER(J120),"source_median","missing")),IF(ISNUMBER(J120),"source_median",IF(ISNUMBER(K120),"source_mean","missing"))))))</f>
        <v/>
      </c>
      <c r="P120" s="18" t="n"/>
      <c r="Q120" s="18" t="n"/>
      <c r="R120" s="18" t="n"/>
      <c r="S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51" t="n"/>
      <c r="I121" s="51" t="n"/>
      <c r="J121" s="51" t="n"/>
      <c r="K121" s="51" t="n"/>
      <c r="L121" s="51" t="n"/>
      <c r="M121" s="51" t="n"/>
      <c r="N121" s="52">
        <f>IF(A121="","",IF(G121="FIXED",M121,IF(G121="UNIFORM",IF(AND(ISNUMBER(H121),ISNUMBER(I121)),(H121+I121)/2,""),IF(G121="TRIANGLE",IF(ISNUMBER(L121),L121,IF(ISNUMBER(J121),J121,"")),IF(ISNUMBER(J121),J121,IF(ISNUMBER(K121),K121,""))))))</f>
        <v/>
      </c>
      <c r="O121" s="32">
        <f>IF(A121="","",IF(G121="FIXED","fixed",IF(G121="UNIFORM","midpoint_median",IF(G121="TRIANGLE",IF(ISNUMBER(L121),"mode",IF(ISNUMBER(J121),"source_median","missing")),IF(ISNUMBER(J121),"source_median",IF(ISNUMBER(K121),"source_mean","missing"))))))</f>
        <v/>
      </c>
      <c r="P121" s="18" t="n"/>
      <c r="Q121" s="18" t="n"/>
      <c r="R121" s="18" t="n"/>
      <c r="S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51" t="n"/>
      <c r="I122" s="51" t="n"/>
      <c r="J122" s="51" t="n"/>
      <c r="K122" s="51" t="n"/>
      <c r="L122" s="51" t="n"/>
      <c r="M122" s="51" t="n"/>
      <c r="N122" s="52">
        <f>IF(A122="","",IF(G122="FIXED",M122,IF(G122="UNIFORM",IF(AND(ISNUMBER(H122),ISNUMBER(I122)),(H122+I122)/2,""),IF(G122="TRIANGLE",IF(ISNUMBER(L122),L122,IF(ISNUMBER(J122),J122,"")),IF(ISNUMBER(J122),J122,IF(ISNUMBER(K122),K122,""))))))</f>
        <v/>
      </c>
      <c r="O122" s="32">
        <f>IF(A122="","",IF(G122="FIXED","fixed",IF(G122="UNIFORM","midpoint_median",IF(G122="TRIANGLE",IF(ISNUMBER(L122),"mode",IF(ISNUMBER(J122),"source_median","missing")),IF(ISNUMBER(J122),"source_median",IF(ISNUMBER(K122),"source_mean","missing"))))))</f>
        <v/>
      </c>
      <c r="P122" s="18" t="n"/>
      <c r="Q122" s="18" t="n"/>
      <c r="R122" s="18" t="n"/>
      <c r="S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51" t="n"/>
      <c r="I123" s="51" t="n"/>
      <c r="J123" s="51" t="n"/>
      <c r="K123" s="51" t="n"/>
      <c r="L123" s="51" t="n"/>
      <c r="M123" s="51" t="n"/>
      <c r="N123" s="52">
        <f>IF(A123="","",IF(G123="FIXED",M123,IF(G123="UNIFORM",IF(AND(ISNUMBER(H123),ISNUMBER(I123)),(H123+I123)/2,""),IF(G123="TRIANGLE",IF(ISNUMBER(L123),L123,IF(ISNUMBER(J123),J123,"")),IF(ISNUMBER(J123),J123,IF(ISNUMBER(K123),K123,""))))))</f>
        <v/>
      </c>
      <c r="O123" s="32">
        <f>IF(A123="","",IF(G123="FIXED","fixed",IF(G123="UNIFORM","midpoint_median",IF(G123="TRIANGLE",IF(ISNUMBER(L123),"mode",IF(ISNUMBER(J123),"source_median","missing")),IF(ISNUMBER(J123),"source_median",IF(ISNUMBER(K123),"source_mean","missing"))))))</f>
        <v/>
      </c>
      <c r="P123" s="18" t="n"/>
      <c r="Q123" s="18" t="n"/>
      <c r="R123" s="18" t="n"/>
      <c r="S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51" t="n"/>
      <c r="I124" s="51" t="n"/>
      <c r="J124" s="51" t="n"/>
      <c r="K124" s="51" t="n"/>
      <c r="L124" s="51" t="n"/>
      <c r="M124" s="51" t="n"/>
      <c r="N124" s="52">
        <f>IF(A124="","",IF(G124="FIXED",M124,IF(G124="UNIFORM",IF(AND(ISNUMBER(H124),ISNUMBER(I124)),(H124+I124)/2,""),IF(G124="TRIANGLE",IF(ISNUMBER(L124),L124,IF(ISNUMBER(J124),J124,"")),IF(ISNUMBER(J124),J124,IF(ISNUMBER(K124),K124,""))))))</f>
        <v/>
      </c>
      <c r="O124" s="32">
        <f>IF(A124="","",IF(G124="FIXED","fixed",IF(G124="UNIFORM","midpoint_median",IF(G124="TRIANGLE",IF(ISNUMBER(L124),"mode",IF(ISNUMBER(J124),"source_median","missing")),IF(ISNUMBER(J124),"source_median",IF(ISNUMBER(K124),"source_mean","missing"))))))</f>
        <v/>
      </c>
      <c r="P124" s="18" t="n"/>
      <c r="Q124" s="18" t="n"/>
      <c r="R124" s="18" t="n"/>
      <c r="S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51" t="n"/>
      <c r="I125" s="51" t="n"/>
      <c r="J125" s="51" t="n"/>
      <c r="K125" s="51" t="n"/>
      <c r="L125" s="51" t="n"/>
      <c r="M125" s="51" t="n"/>
      <c r="N125" s="52">
        <f>IF(A125="","",IF(G125="FIXED",M125,IF(G125="UNIFORM",IF(AND(ISNUMBER(H125),ISNUMBER(I125)),(H125+I125)/2,""),IF(G125="TRIANGLE",IF(ISNUMBER(L125),L125,IF(ISNUMBER(J125),J125,"")),IF(ISNUMBER(J125),J125,IF(ISNUMBER(K125),K125,""))))))</f>
        <v/>
      </c>
      <c r="O125" s="32">
        <f>IF(A125="","",IF(G125="FIXED","fixed",IF(G125="UNIFORM","midpoint_median",IF(G125="TRIANGLE",IF(ISNUMBER(L125),"mode",IF(ISNUMBER(J125),"source_median","missing")),IF(ISNUMBER(J125),"source_median",IF(ISNUMBER(K125),"source_mean","missing"))))))</f>
        <v/>
      </c>
      <c r="P125" s="18" t="n"/>
      <c r="Q125" s="18" t="n"/>
      <c r="R125" s="18" t="n"/>
      <c r="S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51" t="n"/>
      <c r="I126" s="51" t="n"/>
      <c r="J126" s="51" t="n"/>
      <c r="K126" s="51" t="n"/>
      <c r="L126" s="51" t="n"/>
      <c r="M126" s="51" t="n"/>
      <c r="N126" s="52">
        <f>IF(A126="","",IF(G126="FIXED",M126,IF(G126="UNIFORM",IF(AND(ISNUMBER(H126),ISNUMBER(I126)),(H126+I126)/2,""),IF(G126="TRIANGLE",IF(ISNUMBER(L126),L126,IF(ISNUMBER(J126),J126,"")),IF(ISNUMBER(J126),J126,IF(ISNUMBER(K126),K126,""))))))</f>
        <v/>
      </c>
      <c r="O126" s="32">
        <f>IF(A126="","",IF(G126="FIXED","fixed",IF(G126="UNIFORM","midpoint_median",IF(G126="TRIANGLE",IF(ISNUMBER(L126),"mode",IF(ISNUMBER(J126),"source_median","missing")),IF(ISNUMBER(J126),"source_median",IF(ISNUMBER(K126),"source_mean","missing"))))))</f>
        <v/>
      </c>
      <c r="P126" s="18" t="n"/>
      <c r="Q126" s="18" t="n"/>
      <c r="R126" s="18" t="n"/>
      <c r="S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51" t="n"/>
      <c r="I127" s="51" t="n"/>
      <c r="J127" s="51" t="n"/>
      <c r="K127" s="51" t="n"/>
      <c r="L127" s="51" t="n"/>
      <c r="M127" s="51" t="n"/>
      <c r="N127" s="52">
        <f>IF(A127="","",IF(G127="FIXED",M127,IF(G127="UNIFORM",IF(AND(ISNUMBER(H127),ISNUMBER(I127)),(H127+I127)/2,""),IF(G127="TRIANGLE",IF(ISNUMBER(L127),L127,IF(ISNUMBER(J127),J127,"")),IF(ISNUMBER(J127),J127,IF(ISNUMBER(K127),K127,""))))))</f>
        <v/>
      </c>
      <c r="O127" s="32">
        <f>IF(A127="","",IF(G127="FIXED","fixed",IF(G127="UNIFORM","midpoint_median",IF(G127="TRIANGLE",IF(ISNUMBER(L127),"mode",IF(ISNUMBER(J127),"source_median","missing")),IF(ISNUMBER(J127),"source_median",IF(ISNUMBER(K127),"source_mean","missing"))))))</f>
        <v/>
      </c>
      <c r="P127" s="18" t="n"/>
      <c r="Q127" s="18" t="n"/>
      <c r="R127" s="18" t="n"/>
      <c r="S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51" t="n"/>
      <c r="I128" s="51" t="n"/>
      <c r="J128" s="51" t="n"/>
      <c r="K128" s="51" t="n"/>
      <c r="L128" s="51" t="n"/>
      <c r="M128" s="51" t="n"/>
      <c r="N128" s="52">
        <f>IF(A128="","",IF(G128="FIXED",M128,IF(G128="UNIFORM",IF(AND(ISNUMBER(H128),ISNUMBER(I128)),(H128+I128)/2,""),IF(G128="TRIANGLE",IF(ISNUMBER(L128),L128,IF(ISNUMBER(J128),J128,"")),IF(ISNUMBER(J128),J128,IF(ISNUMBER(K128),K128,""))))))</f>
        <v/>
      </c>
      <c r="O128" s="32">
        <f>IF(A128="","",IF(G128="FIXED","fixed",IF(G128="UNIFORM","midpoint_median",IF(G128="TRIANGLE",IF(ISNUMBER(L128),"mode",IF(ISNUMBER(J128),"source_median","missing")),IF(ISNUMBER(J128),"source_median",IF(ISNUMBER(K128),"source_mean","missing"))))))</f>
        <v/>
      </c>
      <c r="P128" s="18" t="n"/>
      <c r="Q128" s="18" t="n"/>
      <c r="R128" s="18" t="n"/>
      <c r="S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51" t="n"/>
      <c r="I129" s="51" t="n"/>
      <c r="J129" s="51" t="n"/>
      <c r="K129" s="51" t="n"/>
      <c r="L129" s="51" t="n"/>
      <c r="M129" s="51" t="n"/>
      <c r="N129" s="52">
        <f>IF(A129="","",IF(G129="FIXED",M129,IF(G129="UNIFORM",IF(AND(ISNUMBER(H129),ISNUMBER(I129)),(H129+I129)/2,""),IF(G129="TRIANGLE",IF(ISNUMBER(L129),L129,IF(ISNUMBER(J129),J129,"")),IF(ISNUMBER(J129),J129,IF(ISNUMBER(K129),K129,""))))))</f>
        <v/>
      </c>
      <c r="O129" s="32">
        <f>IF(A129="","",IF(G129="FIXED","fixed",IF(G129="UNIFORM","midpoint_median",IF(G129="TRIANGLE",IF(ISNUMBER(L129),"mode",IF(ISNUMBER(J129),"source_median","missing")),IF(ISNUMBER(J129),"source_median",IF(ISNUMBER(K129),"source_mean","missing"))))))</f>
        <v/>
      </c>
      <c r="P129" s="18" t="n"/>
      <c r="Q129" s="18" t="n"/>
      <c r="R129" s="18" t="n"/>
      <c r="S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51" t="n"/>
      <c r="I130" s="51" t="n"/>
      <c r="J130" s="51" t="n"/>
      <c r="K130" s="51" t="n"/>
      <c r="L130" s="51" t="n"/>
      <c r="M130" s="51" t="n"/>
      <c r="N130" s="52">
        <f>IF(A130="","",IF(G130="FIXED",M130,IF(G130="UNIFORM",IF(AND(ISNUMBER(H130),ISNUMBER(I130)),(H130+I130)/2,""),IF(G130="TRIANGLE",IF(ISNUMBER(L130),L130,IF(ISNUMBER(J130),J130,"")),IF(ISNUMBER(J130),J130,IF(ISNUMBER(K130),K130,""))))))</f>
        <v/>
      </c>
      <c r="O130" s="32">
        <f>IF(A130="","",IF(G130="FIXED","fixed",IF(G130="UNIFORM","midpoint_median",IF(G130="TRIANGLE",IF(ISNUMBER(L130),"mode",IF(ISNUMBER(J130),"source_median","missing")),IF(ISNUMBER(J130),"source_median",IF(ISNUMBER(K130),"source_mean","missing"))))))</f>
        <v/>
      </c>
      <c r="P130" s="18" t="n"/>
      <c r="Q130" s="18" t="n"/>
      <c r="R130" s="18" t="n"/>
      <c r="S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51" t="n"/>
      <c r="I131" s="51" t="n"/>
      <c r="J131" s="51" t="n"/>
      <c r="K131" s="51" t="n"/>
      <c r="L131" s="51" t="n"/>
      <c r="M131" s="51" t="n"/>
      <c r="N131" s="52">
        <f>IF(A131="","",IF(G131="FIXED",M131,IF(G131="UNIFORM",IF(AND(ISNUMBER(H131),ISNUMBER(I131)),(H131+I131)/2,""),IF(G131="TRIANGLE",IF(ISNUMBER(L131),L131,IF(ISNUMBER(J131),J131,"")),IF(ISNUMBER(J131),J131,IF(ISNUMBER(K131),K131,""))))))</f>
        <v/>
      </c>
      <c r="O131" s="32">
        <f>IF(A131="","",IF(G131="FIXED","fixed",IF(G131="UNIFORM","midpoint_median",IF(G131="TRIANGLE",IF(ISNUMBER(L131),"mode",IF(ISNUMBER(J131),"source_median","missing")),IF(ISNUMBER(J131),"source_median",IF(ISNUMBER(K131),"source_mean","missing"))))))</f>
        <v/>
      </c>
      <c r="P131" s="18" t="n"/>
      <c r="Q131" s="18" t="n"/>
      <c r="R131" s="18" t="n"/>
      <c r="S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51" t="n"/>
      <c r="I132" s="51" t="n"/>
      <c r="J132" s="51" t="n"/>
      <c r="K132" s="51" t="n"/>
      <c r="L132" s="51" t="n"/>
      <c r="M132" s="51" t="n"/>
      <c r="N132" s="52">
        <f>IF(A132="","",IF(G132="FIXED",M132,IF(G132="UNIFORM",IF(AND(ISNUMBER(H132),ISNUMBER(I132)),(H132+I132)/2,""),IF(G132="TRIANGLE",IF(ISNUMBER(L132),L132,IF(ISNUMBER(J132),J132,"")),IF(ISNUMBER(J132),J132,IF(ISNUMBER(K132),K132,""))))))</f>
        <v/>
      </c>
      <c r="O132" s="32">
        <f>IF(A132="","",IF(G132="FIXED","fixed",IF(G132="UNIFORM","midpoint_median",IF(G132="TRIANGLE",IF(ISNUMBER(L132),"mode",IF(ISNUMBER(J132),"source_median","missing")),IF(ISNUMBER(J132),"source_median",IF(ISNUMBER(K132),"source_mean","missing"))))))</f>
        <v/>
      </c>
      <c r="P132" s="18" t="n"/>
      <c r="Q132" s="18" t="n"/>
      <c r="R132" s="18" t="n"/>
      <c r="S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51" t="n"/>
      <c r="I133" s="51" t="n"/>
      <c r="J133" s="51" t="n"/>
      <c r="K133" s="51" t="n"/>
      <c r="L133" s="51" t="n"/>
      <c r="M133" s="51" t="n"/>
      <c r="N133" s="52">
        <f>IF(A133="","",IF(G133="FIXED",M133,IF(G133="UNIFORM",IF(AND(ISNUMBER(H133),ISNUMBER(I133)),(H133+I133)/2,""),IF(G133="TRIANGLE",IF(ISNUMBER(L133),L133,IF(ISNUMBER(J133),J133,"")),IF(ISNUMBER(J133),J133,IF(ISNUMBER(K133),K133,""))))))</f>
        <v/>
      </c>
      <c r="O133" s="32">
        <f>IF(A133="","",IF(G133="FIXED","fixed",IF(G133="UNIFORM","midpoint_median",IF(G133="TRIANGLE",IF(ISNUMBER(L133),"mode",IF(ISNUMBER(J133),"source_median","missing")),IF(ISNUMBER(J133),"source_median",IF(ISNUMBER(K133),"source_mean","missing"))))))</f>
        <v/>
      </c>
      <c r="P133" s="18" t="n"/>
      <c r="Q133" s="18" t="n"/>
      <c r="R133" s="18" t="n"/>
      <c r="S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51" t="n"/>
      <c r="I134" s="51" t="n"/>
      <c r="J134" s="51" t="n"/>
      <c r="K134" s="51" t="n"/>
      <c r="L134" s="51" t="n"/>
      <c r="M134" s="51" t="n"/>
      <c r="N134" s="52">
        <f>IF(A134="","",IF(G134="FIXED",M134,IF(G134="UNIFORM",IF(AND(ISNUMBER(H134),ISNUMBER(I134)),(H134+I134)/2,""),IF(G134="TRIANGLE",IF(ISNUMBER(L134),L134,IF(ISNUMBER(J134),J134,"")),IF(ISNUMBER(J134),J134,IF(ISNUMBER(K134),K134,""))))))</f>
        <v/>
      </c>
      <c r="O134" s="32">
        <f>IF(A134="","",IF(G134="FIXED","fixed",IF(G134="UNIFORM","midpoint_median",IF(G134="TRIANGLE",IF(ISNUMBER(L134),"mode",IF(ISNUMBER(J134),"source_median","missing")),IF(ISNUMBER(J134),"source_median",IF(ISNUMBER(K134),"source_mean","missing"))))))</f>
        <v/>
      </c>
      <c r="P134" s="18" t="n"/>
      <c r="Q134" s="18" t="n"/>
      <c r="R134" s="18" t="n"/>
      <c r="S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51" t="n"/>
      <c r="I135" s="51" t="n"/>
      <c r="J135" s="51" t="n"/>
      <c r="K135" s="51" t="n"/>
      <c r="L135" s="51" t="n"/>
      <c r="M135" s="51" t="n"/>
      <c r="N135" s="52">
        <f>IF(A135="","",IF(G135="FIXED",M135,IF(G135="UNIFORM",IF(AND(ISNUMBER(H135),ISNUMBER(I135)),(H135+I135)/2,""),IF(G135="TRIANGLE",IF(ISNUMBER(L135),L135,IF(ISNUMBER(J135),J135,"")),IF(ISNUMBER(J135),J135,IF(ISNUMBER(K135),K135,""))))))</f>
        <v/>
      </c>
      <c r="O135" s="32">
        <f>IF(A135="","",IF(G135="FIXED","fixed",IF(G135="UNIFORM","midpoint_median",IF(G135="TRIANGLE",IF(ISNUMBER(L135),"mode",IF(ISNUMBER(J135),"source_median","missing")),IF(ISNUMBER(J135),"source_median",IF(ISNUMBER(K135),"source_mean","missing"))))))</f>
        <v/>
      </c>
      <c r="P135" s="18" t="n"/>
      <c r="Q135" s="18" t="n"/>
      <c r="R135" s="18" t="n"/>
      <c r="S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51" t="n"/>
      <c r="I136" s="51" t="n"/>
      <c r="J136" s="51" t="n"/>
      <c r="K136" s="51" t="n"/>
      <c r="L136" s="51" t="n"/>
      <c r="M136" s="51" t="n"/>
      <c r="N136" s="52">
        <f>IF(A136="","",IF(G136="FIXED",M136,IF(G136="UNIFORM",IF(AND(ISNUMBER(H136),ISNUMBER(I136)),(H136+I136)/2,""),IF(G136="TRIANGLE",IF(ISNUMBER(L136),L136,IF(ISNUMBER(J136),J136,"")),IF(ISNUMBER(J136),J136,IF(ISNUMBER(K136),K136,""))))))</f>
        <v/>
      </c>
      <c r="O136" s="32">
        <f>IF(A136="","",IF(G136="FIXED","fixed",IF(G136="UNIFORM","midpoint_median",IF(G136="TRIANGLE",IF(ISNUMBER(L136),"mode",IF(ISNUMBER(J136),"source_median","missing")),IF(ISNUMBER(J136),"source_median",IF(ISNUMBER(K136),"source_mean","missing"))))))</f>
        <v/>
      </c>
      <c r="P136" s="18" t="n"/>
      <c r="Q136" s="18" t="n"/>
      <c r="R136" s="18" t="n"/>
      <c r="S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51" t="n"/>
      <c r="I137" s="51" t="n"/>
      <c r="J137" s="51" t="n"/>
      <c r="K137" s="51" t="n"/>
      <c r="L137" s="51" t="n"/>
      <c r="M137" s="51" t="n"/>
      <c r="N137" s="52">
        <f>IF(A137="","",IF(G137="FIXED",M137,IF(G137="UNIFORM",IF(AND(ISNUMBER(H137),ISNUMBER(I137)),(H137+I137)/2,""),IF(G137="TRIANGLE",IF(ISNUMBER(L137),L137,IF(ISNUMBER(J137),J137,"")),IF(ISNUMBER(J137),J137,IF(ISNUMBER(K137),K137,""))))))</f>
        <v/>
      </c>
      <c r="O137" s="32">
        <f>IF(A137="","",IF(G137="FIXED","fixed",IF(G137="UNIFORM","midpoint_median",IF(G137="TRIANGLE",IF(ISNUMBER(L137),"mode",IF(ISNUMBER(J137),"source_median","missing")),IF(ISNUMBER(J137),"source_median",IF(ISNUMBER(K137),"source_mean","missing"))))))</f>
        <v/>
      </c>
      <c r="P137" s="18" t="n"/>
      <c r="Q137" s="18" t="n"/>
      <c r="R137" s="18" t="n"/>
      <c r="S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51" t="n"/>
      <c r="I138" s="51" t="n"/>
      <c r="J138" s="51" t="n"/>
      <c r="K138" s="51" t="n"/>
      <c r="L138" s="51" t="n"/>
      <c r="M138" s="51" t="n"/>
      <c r="N138" s="52">
        <f>IF(A138="","",IF(G138="FIXED",M138,IF(G138="UNIFORM",IF(AND(ISNUMBER(H138),ISNUMBER(I138)),(H138+I138)/2,""),IF(G138="TRIANGLE",IF(ISNUMBER(L138),L138,IF(ISNUMBER(J138),J138,"")),IF(ISNUMBER(J138),J138,IF(ISNUMBER(K138),K138,""))))))</f>
        <v/>
      </c>
      <c r="O138" s="32">
        <f>IF(A138="","",IF(G138="FIXED","fixed",IF(G138="UNIFORM","midpoint_median",IF(G138="TRIANGLE",IF(ISNUMBER(L138),"mode",IF(ISNUMBER(J138),"source_median","missing")),IF(ISNUMBER(J138),"source_median",IF(ISNUMBER(K138),"source_mean","missing"))))))</f>
        <v/>
      </c>
      <c r="P138" s="18" t="n"/>
      <c r="Q138" s="18" t="n"/>
      <c r="R138" s="18" t="n"/>
      <c r="S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51" t="n"/>
      <c r="I139" s="51" t="n"/>
      <c r="J139" s="51" t="n"/>
      <c r="K139" s="51" t="n"/>
      <c r="L139" s="51" t="n"/>
      <c r="M139" s="51" t="n"/>
      <c r="N139" s="52">
        <f>IF(A139="","",IF(G139="FIXED",M139,IF(G139="UNIFORM",IF(AND(ISNUMBER(H139),ISNUMBER(I139)),(H139+I139)/2,""),IF(G139="TRIANGLE",IF(ISNUMBER(L139),L139,IF(ISNUMBER(J139),J139,"")),IF(ISNUMBER(J139),J139,IF(ISNUMBER(K139),K139,""))))))</f>
        <v/>
      </c>
      <c r="O139" s="32">
        <f>IF(A139="","",IF(G139="FIXED","fixed",IF(G139="UNIFORM","midpoint_median",IF(G139="TRIANGLE",IF(ISNUMBER(L139),"mode",IF(ISNUMBER(J139),"source_median","missing")),IF(ISNUMBER(J139),"source_median",IF(ISNUMBER(K139),"source_mean","missing"))))))</f>
        <v/>
      </c>
      <c r="P139" s="18" t="n"/>
      <c r="Q139" s="18" t="n"/>
      <c r="R139" s="18" t="n"/>
      <c r="S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51" t="n"/>
      <c r="I140" s="51" t="n"/>
      <c r="J140" s="51" t="n"/>
      <c r="K140" s="51" t="n"/>
      <c r="L140" s="51" t="n"/>
      <c r="M140" s="51" t="n"/>
      <c r="N140" s="52">
        <f>IF(A140="","",IF(G140="FIXED",M140,IF(G140="UNIFORM",IF(AND(ISNUMBER(H140),ISNUMBER(I140)),(H140+I140)/2,""),IF(G140="TRIANGLE",IF(ISNUMBER(L140),L140,IF(ISNUMBER(J140),J140,"")),IF(ISNUMBER(J140),J140,IF(ISNUMBER(K140),K140,""))))))</f>
        <v/>
      </c>
      <c r="O140" s="32">
        <f>IF(A140="","",IF(G140="FIXED","fixed",IF(G140="UNIFORM","midpoint_median",IF(G140="TRIANGLE",IF(ISNUMBER(L140),"mode",IF(ISNUMBER(J140),"source_median","missing")),IF(ISNUMBER(J140),"source_median",IF(ISNUMBER(K140),"source_mean","missing"))))))</f>
        <v/>
      </c>
      <c r="P140" s="18" t="n"/>
      <c r="Q140" s="18" t="n"/>
      <c r="R140" s="18" t="n"/>
      <c r="S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51" t="n"/>
      <c r="I141" s="51" t="n"/>
      <c r="J141" s="51" t="n"/>
      <c r="K141" s="51" t="n"/>
      <c r="L141" s="51" t="n"/>
      <c r="M141" s="51" t="n"/>
      <c r="N141" s="52">
        <f>IF(A141="","",IF(G141="FIXED",M141,IF(G141="UNIFORM",IF(AND(ISNUMBER(H141),ISNUMBER(I141)),(H141+I141)/2,""),IF(G141="TRIANGLE",IF(ISNUMBER(L141),L141,IF(ISNUMBER(J141),J141,"")),IF(ISNUMBER(J141),J141,IF(ISNUMBER(K141),K141,""))))))</f>
        <v/>
      </c>
      <c r="O141" s="32">
        <f>IF(A141="","",IF(G141="FIXED","fixed",IF(G141="UNIFORM","midpoint_median",IF(G141="TRIANGLE",IF(ISNUMBER(L141),"mode",IF(ISNUMBER(J141),"source_median","missing")),IF(ISNUMBER(J141),"source_median",IF(ISNUMBER(K141),"source_mean","missing"))))))</f>
        <v/>
      </c>
      <c r="P141" s="18" t="n"/>
      <c r="Q141" s="18" t="n"/>
      <c r="R141" s="18" t="n"/>
      <c r="S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51" t="n"/>
      <c r="I142" s="51" t="n"/>
      <c r="J142" s="51" t="n"/>
      <c r="K142" s="51" t="n"/>
      <c r="L142" s="51" t="n"/>
      <c r="M142" s="51" t="n"/>
      <c r="N142" s="52">
        <f>IF(A142="","",IF(G142="FIXED",M142,IF(G142="UNIFORM",IF(AND(ISNUMBER(H142),ISNUMBER(I142)),(H142+I142)/2,""),IF(G142="TRIANGLE",IF(ISNUMBER(L142),L142,IF(ISNUMBER(J142),J142,"")),IF(ISNUMBER(J142),J142,IF(ISNUMBER(K142),K142,""))))))</f>
        <v/>
      </c>
      <c r="O142" s="32">
        <f>IF(A142="","",IF(G142="FIXED","fixed",IF(G142="UNIFORM","midpoint_median",IF(G142="TRIANGLE",IF(ISNUMBER(L142),"mode",IF(ISNUMBER(J142),"source_median","missing")),IF(ISNUMBER(J142),"source_median",IF(ISNUMBER(K142),"source_mean","missing"))))))</f>
        <v/>
      </c>
      <c r="P142" s="18" t="n"/>
      <c r="Q142" s="18" t="n"/>
      <c r="R142" s="18" t="n"/>
      <c r="S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51" t="n"/>
      <c r="I143" s="51" t="n"/>
      <c r="J143" s="51" t="n"/>
      <c r="K143" s="51" t="n"/>
      <c r="L143" s="51" t="n"/>
      <c r="M143" s="51" t="n"/>
      <c r="N143" s="52">
        <f>IF(A143="","",IF(G143="FIXED",M143,IF(G143="UNIFORM",IF(AND(ISNUMBER(H143),ISNUMBER(I143)),(H143+I143)/2,""),IF(G143="TRIANGLE",IF(ISNUMBER(L143),L143,IF(ISNUMBER(J143),J143,"")),IF(ISNUMBER(J143),J143,IF(ISNUMBER(K143),K143,""))))))</f>
        <v/>
      </c>
      <c r="O143" s="32">
        <f>IF(A143="","",IF(G143="FIXED","fixed",IF(G143="UNIFORM","midpoint_median",IF(G143="TRIANGLE",IF(ISNUMBER(L143),"mode",IF(ISNUMBER(J143),"source_median","missing")),IF(ISNUMBER(J143),"source_median",IF(ISNUMBER(K143),"source_mean","missing"))))))</f>
        <v/>
      </c>
      <c r="P143" s="18" t="n"/>
      <c r="Q143" s="18" t="n"/>
      <c r="R143" s="18" t="n"/>
      <c r="S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51" t="n"/>
      <c r="I144" s="51" t="n"/>
      <c r="J144" s="51" t="n"/>
      <c r="K144" s="51" t="n"/>
      <c r="L144" s="51" t="n"/>
      <c r="M144" s="51" t="n"/>
      <c r="N144" s="52">
        <f>IF(A144="","",IF(G144="FIXED",M144,IF(G144="UNIFORM",IF(AND(ISNUMBER(H144),ISNUMBER(I144)),(H144+I144)/2,""),IF(G144="TRIANGLE",IF(ISNUMBER(L144),L144,IF(ISNUMBER(J144),J144,"")),IF(ISNUMBER(J144),J144,IF(ISNUMBER(K144),K144,""))))))</f>
        <v/>
      </c>
      <c r="O144" s="32">
        <f>IF(A144="","",IF(G144="FIXED","fixed",IF(G144="UNIFORM","midpoint_median",IF(G144="TRIANGLE",IF(ISNUMBER(L144),"mode",IF(ISNUMBER(J144),"source_median","missing")),IF(ISNUMBER(J144),"source_median",IF(ISNUMBER(K144),"source_mean","missing"))))))</f>
        <v/>
      </c>
      <c r="P144" s="18" t="n"/>
      <c r="Q144" s="18" t="n"/>
      <c r="R144" s="18" t="n"/>
      <c r="S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51" t="n"/>
      <c r="I145" s="51" t="n"/>
      <c r="J145" s="51" t="n"/>
      <c r="K145" s="51" t="n"/>
      <c r="L145" s="51" t="n"/>
      <c r="M145" s="51" t="n"/>
      <c r="N145" s="52">
        <f>IF(A145="","",IF(G145="FIXED",M145,IF(G145="UNIFORM",IF(AND(ISNUMBER(H145),ISNUMBER(I145)),(H145+I145)/2,""),IF(G145="TRIANGLE",IF(ISNUMBER(L145),L145,IF(ISNUMBER(J145),J145,"")),IF(ISNUMBER(J145),J145,IF(ISNUMBER(K145),K145,""))))))</f>
        <v/>
      </c>
      <c r="O145" s="32">
        <f>IF(A145="","",IF(G145="FIXED","fixed",IF(G145="UNIFORM","midpoint_median",IF(G145="TRIANGLE",IF(ISNUMBER(L145),"mode",IF(ISNUMBER(J145),"source_median","missing")),IF(ISNUMBER(J145),"source_median",IF(ISNUMBER(K145),"source_mean","missing"))))))</f>
        <v/>
      </c>
      <c r="P145" s="18" t="n"/>
      <c r="Q145" s="18" t="n"/>
      <c r="R145" s="18" t="n"/>
      <c r="S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51" t="n"/>
      <c r="I146" s="51" t="n"/>
      <c r="J146" s="51" t="n"/>
      <c r="K146" s="51" t="n"/>
      <c r="L146" s="51" t="n"/>
      <c r="M146" s="51" t="n"/>
      <c r="N146" s="52">
        <f>IF(A146="","",IF(G146="FIXED",M146,IF(G146="UNIFORM",IF(AND(ISNUMBER(H146),ISNUMBER(I146)),(H146+I146)/2,""),IF(G146="TRIANGLE",IF(ISNUMBER(L146),L146,IF(ISNUMBER(J146),J146,"")),IF(ISNUMBER(J146),J146,IF(ISNUMBER(K146),K146,""))))))</f>
        <v/>
      </c>
      <c r="O146" s="32">
        <f>IF(A146="","",IF(G146="FIXED","fixed",IF(G146="UNIFORM","midpoint_median",IF(G146="TRIANGLE",IF(ISNUMBER(L146),"mode",IF(ISNUMBER(J146),"source_median","missing")),IF(ISNUMBER(J146),"source_median",IF(ISNUMBER(K146),"source_mean","missing"))))))</f>
        <v/>
      </c>
      <c r="P146" s="18" t="n"/>
      <c r="Q146" s="18" t="n"/>
      <c r="R146" s="18" t="n"/>
      <c r="S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51" t="n"/>
      <c r="I147" s="51" t="n"/>
      <c r="J147" s="51" t="n"/>
      <c r="K147" s="51" t="n"/>
      <c r="L147" s="51" t="n"/>
      <c r="M147" s="51" t="n"/>
      <c r="N147" s="52">
        <f>IF(A147="","",IF(G147="FIXED",M147,IF(G147="UNIFORM",IF(AND(ISNUMBER(H147),ISNUMBER(I147)),(H147+I147)/2,""),IF(G147="TRIANGLE",IF(ISNUMBER(L147),L147,IF(ISNUMBER(J147),J147,"")),IF(ISNUMBER(J147),J147,IF(ISNUMBER(K147),K147,""))))))</f>
        <v/>
      </c>
      <c r="O147" s="32">
        <f>IF(A147="","",IF(G147="FIXED","fixed",IF(G147="UNIFORM","midpoint_median",IF(G147="TRIANGLE",IF(ISNUMBER(L147),"mode",IF(ISNUMBER(J147),"source_median","missing")),IF(ISNUMBER(J147),"source_median",IF(ISNUMBER(K147),"source_mean","missing"))))))</f>
        <v/>
      </c>
      <c r="P147" s="18" t="n"/>
      <c r="Q147" s="18" t="n"/>
      <c r="R147" s="18" t="n"/>
      <c r="S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51" t="n"/>
      <c r="I148" s="51" t="n"/>
      <c r="J148" s="51" t="n"/>
      <c r="K148" s="51" t="n"/>
      <c r="L148" s="51" t="n"/>
      <c r="M148" s="51" t="n"/>
      <c r="N148" s="52">
        <f>IF(A148="","",IF(G148="FIXED",M148,IF(G148="UNIFORM",IF(AND(ISNUMBER(H148),ISNUMBER(I148)),(H148+I148)/2,""),IF(G148="TRIANGLE",IF(ISNUMBER(L148),L148,IF(ISNUMBER(J148),J148,"")),IF(ISNUMBER(J148),J148,IF(ISNUMBER(K148),K148,""))))))</f>
        <v/>
      </c>
      <c r="O148" s="32">
        <f>IF(A148="","",IF(G148="FIXED","fixed",IF(G148="UNIFORM","midpoint_median",IF(G148="TRIANGLE",IF(ISNUMBER(L148),"mode",IF(ISNUMBER(J148),"source_median","missing")),IF(ISNUMBER(J148),"source_median",IF(ISNUMBER(K148),"source_mean","missing"))))))</f>
        <v/>
      </c>
      <c r="P148" s="18" t="n"/>
      <c r="Q148" s="18" t="n"/>
      <c r="R148" s="18" t="n"/>
      <c r="S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51" t="n"/>
      <c r="I149" s="51" t="n"/>
      <c r="J149" s="51" t="n"/>
      <c r="K149" s="51" t="n"/>
      <c r="L149" s="51" t="n"/>
      <c r="M149" s="51" t="n"/>
      <c r="N149" s="52">
        <f>IF(A149="","",IF(G149="FIXED",M149,IF(G149="UNIFORM",IF(AND(ISNUMBER(H149),ISNUMBER(I149)),(H149+I149)/2,""),IF(G149="TRIANGLE",IF(ISNUMBER(L149),L149,IF(ISNUMBER(J149),J149,"")),IF(ISNUMBER(J149),J149,IF(ISNUMBER(K149),K149,""))))))</f>
        <v/>
      </c>
      <c r="O149" s="32">
        <f>IF(A149="","",IF(G149="FIXED","fixed",IF(G149="UNIFORM","midpoint_median",IF(G149="TRIANGLE",IF(ISNUMBER(L149),"mode",IF(ISNUMBER(J149),"source_median","missing")),IF(ISNUMBER(J149),"source_median",IF(ISNUMBER(K149),"source_mean","missing"))))))</f>
        <v/>
      </c>
      <c r="P149" s="18" t="n"/>
      <c r="Q149" s="18" t="n"/>
      <c r="R149" s="18" t="n"/>
      <c r="S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51" t="n"/>
      <c r="I150" s="51" t="n"/>
      <c r="J150" s="51" t="n"/>
      <c r="K150" s="51" t="n"/>
      <c r="L150" s="51" t="n"/>
      <c r="M150" s="51" t="n"/>
      <c r="N150" s="52">
        <f>IF(A150="","",IF(G150="FIXED",M150,IF(G150="UNIFORM",IF(AND(ISNUMBER(H150),ISNUMBER(I150)),(H150+I150)/2,""),IF(G150="TRIANGLE",IF(ISNUMBER(L150),L150,IF(ISNUMBER(J150),J150,"")),IF(ISNUMBER(J150),J150,IF(ISNUMBER(K150),K150,""))))))</f>
        <v/>
      </c>
      <c r="O150" s="32">
        <f>IF(A150="","",IF(G150="FIXED","fixed",IF(G150="UNIFORM","midpoint_median",IF(G150="TRIANGLE",IF(ISNUMBER(L150),"mode",IF(ISNUMBER(J150),"source_median","missing")),IF(ISNUMBER(J150),"source_median",IF(ISNUMBER(K150),"source_mean","missing"))))))</f>
        <v/>
      </c>
      <c r="P150" s="18" t="n"/>
      <c r="Q150" s="18" t="n"/>
      <c r="R150" s="18" t="n"/>
      <c r="S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51" t="n"/>
      <c r="I151" s="51" t="n"/>
      <c r="J151" s="51" t="n"/>
      <c r="K151" s="51" t="n"/>
      <c r="L151" s="51" t="n"/>
      <c r="M151" s="51" t="n"/>
      <c r="N151" s="52">
        <f>IF(A151="","",IF(G151="FIXED",M151,IF(G151="UNIFORM",IF(AND(ISNUMBER(H151),ISNUMBER(I151)),(H151+I151)/2,""),IF(G151="TRIANGLE",IF(ISNUMBER(L151),L151,IF(ISNUMBER(J151),J151,"")),IF(ISNUMBER(J151),J151,IF(ISNUMBER(K151),K151,""))))))</f>
        <v/>
      </c>
      <c r="O151" s="32">
        <f>IF(A151="","",IF(G151="FIXED","fixed",IF(G151="UNIFORM","midpoint_median",IF(G151="TRIANGLE",IF(ISNUMBER(L151),"mode",IF(ISNUMBER(J151),"source_median","missing")),IF(ISNUMBER(J151),"source_median",IF(ISNUMBER(K151),"source_mean","missing"))))))</f>
        <v/>
      </c>
      <c r="P151" s="18" t="n"/>
      <c r="Q151" s="18" t="n"/>
      <c r="R151" s="18" t="n"/>
      <c r="S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51" t="n"/>
      <c r="I152" s="51" t="n"/>
      <c r="J152" s="51" t="n"/>
      <c r="K152" s="51" t="n"/>
      <c r="L152" s="51" t="n"/>
      <c r="M152" s="51" t="n"/>
      <c r="N152" s="52">
        <f>IF(A152="","",IF(G152="FIXED",M152,IF(G152="UNIFORM",IF(AND(ISNUMBER(H152),ISNUMBER(I152)),(H152+I152)/2,""),IF(G152="TRIANGLE",IF(ISNUMBER(L152),L152,IF(ISNUMBER(J152),J152,"")),IF(ISNUMBER(J152),J152,IF(ISNUMBER(K152),K152,""))))))</f>
        <v/>
      </c>
      <c r="O152" s="32">
        <f>IF(A152="","",IF(G152="FIXED","fixed",IF(G152="UNIFORM","midpoint_median",IF(G152="TRIANGLE",IF(ISNUMBER(L152),"mode",IF(ISNUMBER(J152),"source_median","missing")),IF(ISNUMBER(J152),"source_median",IF(ISNUMBER(K152),"source_mean","missing"))))))</f>
        <v/>
      </c>
      <c r="P152" s="18" t="n"/>
      <c r="Q152" s="18" t="n"/>
      <c r="R152" s="18" t="n"/>
      <c r="S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51" t="n"/>
      <c r="I153" s="51" t="n"/>
      <c r="J153" s="51" t="n"/>
      <c r="K153" s="51" t="n"/>
      <c r="L153" s="51" t="n"/>
      <c r="M153" s="51" t="n"/>
      <c r="N153" s="52">
        <f>IF(A153="","",IF(G153="FIXED",M153,IF(G153="UNIFORM",IF(AND(ISNUMBER(H153),ISNUMBER(I153)),(H153+I153)/2,""),IF(G153="TRIANGLE",IF(ISNUMBER(L153),L153,IF(ISNUMBER(J153),J153,"")),IF(ISNUMBER(J153),J153,IF(ISNUMBER(K153),K153,""))))))</f>
        <v/>
      </c>
      <c r="O153" s="32">
        <f>IF(A153="","",IF(G153="FIXED","fixed",IF(G153="UNIFORM","midpoint_median",IF(G153="TRIANGLE",IF(ISNUMBER(L153),"mode",IF(ISNUMBER(J153),"source_median","missing")),IF(ISNUMBER(J153),"source_median",IF(ISNUMBER(K153),"source_mean","missing"))))))</f>
        <v/>
      </c>
      <c r="P153" s="18" t="n"/>
      <c r="Q153" s="18" t="n"/>
      <c r="R153" s="18" t="n"/>
      <c r="S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51" t="n"/>
      <c r="I154" s="51" t="n"/>
      <c r="J154" s="51" t="n"/>
      <c r="K154" s="51" t="n"/>
      <c r="L154" s="51" t="n"/>
      <c r="M154" s="51" t="n"/>
      <c r="N154" s="52">
        <f>IF(A154="","",IF(G154="FIXED",M154,IF(G154="UNIFORM",IF(AND(ISNUMBER(H154),ISNUMBER(I154)),(H154+I154)/2,""),IF(G154="TRIANGLE",IF(ISNUMBER(L154),L154,IF(ISNUMBER(J154),J154,"")),IF(ISNUMBER(J154),J154,IF(ISNUMBER(K154),K154,""))))))</f>
        <v/>
      </c>
      <c r="O154" s="32">
        <f>IF(A154="","",IF(G154="FIXED","fixed",IF(G154="UNIFORM","midpoint_median",IF(G154="TRIANGLE",IF(ISNUMBER(L154),"mode",IF(ISNUMBER(J154),"source_median","missing")),IF(ISNUMBER(J154),"source_median",IF(ISNUMBER(K154),"source_mean","missing"))))))</f>
        <v/>
      </c>
      <c r="P154" s="18" t="n"/>
      <c r="Q154" s="18" t="n"/>
      <c r="R154" s="18" t="n"/>
      <c r="S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51" t="n"/>
      <c r="I155" s="51" t="n"/>
      <c r="J155" s="51" t="n"/>
      <c r="K155" s="51" t="n"/>
      <c r="L155" s="51" t="n"/>
      <c r="M155" s="51" t="n"/>
      <c r="N155" s="52">
        <f>IF(A155="","",IF(G155="FIXED",M155,IF(G155="UNIFORM",IF(AND(ISNUMBER(H155),ISNUMBER(I155)),(H155+I155)/2,""),IF(G155="TRIANGLE",IF(ISNUMBER(L155),L155,IF(ISNUMBER(J155),J155,"")),IF(ISNUMBER(J155),J155,IF(ISNUMBER(K155),K155,""))))))</f>
        <v/>
      </c>
      <c r="O155" s="32">
        <f>IF(A155="","",IF(G155="FIXED","fixed",IF(G155="UNIFORM","midpoint_median",IF(G155="TRIANGLE",IF(ISNUMBER(L155),"mode",IF(ISNUMBER(J155),"source_median","missing")),IF(ISNUMBER(J155),"source_median",IF(ISNUMBER(K155),"source_mean","missing"))))))</f>
        <v/>
      </c>
      <c r="P155" s="18" t="n"/>
      <c r="Q155" s="18" t="n"/>
      <c r="R155" s="18" t="n"/>
      <c r="S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51" t="n"/>
      <c r="I156" s="51" t="n"/>
      <c r="J156" s="51" t="n"/>
      <c r="K156" s="51" t="n"/>
      <c r="L156" s="51" t="n"/>
      <c r="M156" s="51" t="n"/>
      <c r="N156" s="52">
        <f>IF(A156="","",IF(G156="FIXED",M156,IF(G156="UNIFORM",IF(AND(ISNUMBER(H156),ISNUMBER(I156)),(H156+I156)/2,""),IF(G156="TRIANGLE",IF(ISNUMBER(L156),L156,IF(ISNUMBER(J156),J156,"")),IF(ISNUMBER(J156),J156,IF(ISNUMBER(K156),K156,""))))))</f>
        <v/>
      </c>
      <c r="O156" s="32">
        <f>IF(A156="","",IF(G156="FIXED","fixed",IF(G156="UNIFORM","midpoint_median",IF(G156="TRIANGLE",IF(ISNUMBER(L156),"mode",IF(ISNUMBER(J156),"source_median","missing")),IF(ISNUMBER(J156),"source_median",IF(ISNUMBER(K156),"source_mean","missing"))))))</f>
        <v/>
      </c>
      <c r="P156" s="18" t="n"/>
      <c r="Q156" s="18" t="n"/>
      <c r="R156" s="18" t="n"/>
      <c r="S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51" t="n"/>
      <c r="I157" s="51" t="n"/>
      <c r="J157" s="51" t="n"/>
      <c r="K157" s="51" t="n"/>
      <c r="L157" s="51" t="n"/>
      <c r="M157" s="51" t="n"/>
      <c r="N157" s="52">
        <f>IF(A157="","",IF(G157="FIXED",M157,IF(G157="UNIFORM",IF(AND(ISNUMBER(H157),ISNUMBER(I157)),(H157+I157)/2,""),IF(G157="TRIANGLE",IF(ISNUMBER(L157),L157,IF(ISNUMBER(J157),J157,"")),IF(ISNUMBER(J157),J157,IF(ISNUMBER(K157),K157,""))))))</f>
        <v/>
      </c>
      <c r="O157" s="32">
        <f>IF(A157="","",IF(G157="FIXED","fixed",IF(G157="UNIFORM","midpoint_median",IF(G157="TRIANGLE",IF(ISNUMBER(L157),"mode",IF(ISNUMBER(J157),"source_median","missing")),IF(ISNUMBER(J157),"source_median",IF(ISNUMBER(K157),"source_mean","missing"))))))</f>
        <v/>
      </c>
      <c r="P157" s="18" t="n"/>
      <c r="Q157" s="18" t="n"/>
      <c r="R157" s="18" t="n"/>
      <c r="S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51" t="n"/>
      <c r="I158" s="51" t="n"/>
      <c r="J158" s="51" t="n"/>
      <c r="K158" s="51" t="n"/>
      <c r="L158" s="51" t="n"/>
      <c r="M158" s="51" t="n"/>
      <c r="N158" s="52">
        <f>IF(A158="","",IF(G158="FIXED",M158,IF(G158="UNIFORM",IF(AND(ISNUMBER(H158),ISNUMBER(I158)),(H158+I158)/2,""),IF(G158="TRIANGLE",IF(ISNUMBER(L158),L158,IF(ISNUMBER(J158),J158,"")),IF(ISNUMBER(J158),J158,IF(ISNUMBER(K158),K158,""))))))</f>
        <v/>
      </c>
      <c r="O158" s="32">
        <f>IF(A158="","",IF(G158="FIXED","fixed",IF(G158="UNIFORM","midpoint_median",IF(G158="TRIANGLE",IF(ISNUMBER(L158),"mode",IF(ISNUMBER(J158),"source_median","missing")),IF(ISNUMBER(J158),"source_median",IF(ISNUMBER(K158),"source_mean","missing"))))))</f>
        <v/>
      </c>
      <c r="P158" s="18" t="n"/>
      <c r="Q158" s="18" t="n"/>
      <c r="R158" s="18" t="n"/>
      <c r="S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51" t="n"/>
      <c r="I159" s="51" t="n"/>
      <c r="J159" s="51" t="n"/>
      <c r="K159" s="51" t="n"/>
      <c r="L159" s="51" t="n"/>
      <c r="M159" s="51" t="n"/>
      <c r="N159" s="52">
        <f>IF(A159="","",IF(G159="FIXED",M159,IF(G159="UNIFORM",IF(AND(ISNUMBER(H159),ISNUMBER(I159)),(H159+I159)/2,""),IF(G159="TRIANGLE",IF(ISNUMBER(L159),L159,IF(ISNUMBER(J159),J159,"")),IF(ISNUMBER(J159),J159,IF(ISNUMBER(K159),K159,""))))))</f>
        <v/>
      </c>
      <c r="O159" s="32">
        <f>IF(A159="","",IF(G159="FIXED","fixed",IF(G159="UNIFORM","midpoint_median",IF(G159="TRIANGLE",IF(ISNUMBER(L159),"mode",IF(ISNUMBER(J159),"source_median","missing")),IF(ISNUMBER(J159),"source_median",IF(ISNUMBER(K159),"source_mean","missing"))))))</f>
        <v/>
      </c>
      <c r="P159" s="18" t="n"/>
      <c r="Q159" s="18" t="n"/>
      <c r="R159" s="18" t="n"/>
      <c r="S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51" t="n"/>
      <c r="I160" s="51" t="n"/>
      <c r="J160" s="51" t="n"/>
      <c r="K160" s="51" t="n"/>
      <c r="L160" s="51" t="n"/>
      <c r="M160" s="51" t="n"/>
      <c r="N160" s="52">
        <f>IF(A160="","",IF(G160="FIXED",M160,IF(G160="UNIFORM",IF(AND(ISNUMBER(H160),ISNUMBER(I160)),(H160+I160)/2,""),IF(G160="TRIANGLE",IF(ISNUMBER(L160),L160,IF(ISNUMBER(J160),J160,"")),IF(ISNUMBER(J160),J160,IF(ISNUMBER(K160),K160,""))))))</f>
        <v/>
      </c>
      <c r="O160" s="32">
        <f>IF(A160="","",IF(G160="FIXED","fixed",IF(G160="UNIFORM","midpoint_median",IF(G160="TRIANGLE",IF(ISNUMBER(L160),"mode",IF(ISNUMBER(J160),"source_median","missing")),IF(ISNUMBER(J160),"source_median",IF(ISNUMBER(K160),"source_mean","missing"))))))</f>
        <v/>
      </c>
      <c r="P160" s="18" t="n"/>
      <c r="Q160" s="18" t="n"/>
      <c r="R160" s="18" t="n"/>
      <c r="S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51" t="n"/>
      <c r="I161" s="51" t="n"/>
      <c r="J161" s="51" t="n"/>
      <c r="K161" s="51" t="n"/>
      <c r="L161" s="51" t="n"/>
      <c r="M161" s="51" t="n"/>
      <c r="N161" s="52">
        <f>IF(A161="","",IF(G161="FIXED",M161,IF(G161="UNIFORM",IF(AND(ISNUMBER(H161),ISNUMBER(I161)),(H161+I161)/2,""),IF(G161="TRIANGLE",IF(ISNUMBER(L161),L161,IF(ISNUMBER(J161),J161,"")),IF(ISNUMBER(J161),J161,IF(ISNUMBER(K161),K161,""))))))</f>
        <v/>
      </c>
      <c r="O161" s="32">
        <f>IF(A161="","",IF(G161="FIXED","fixed",IF(G161="UNIFORM","midpoint_median",IF(G161="TRIANGLE",IF(ISNUMBER(L161),"mode",IF(ISNUMBER(J161),"source_median","missing")),IF(ISNUMBER(J161),"source_median",IF(ISNUMBER(K161),"source_mean","missing"))))))</f>
        <v/>
      </c>
      <c r="P161" s="18" t="n"/>
      <c r="Q161" s="18" t="n"/>
      <c r="R161" s="18" t="n"/>
      <c r="S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51" t="n"/>
      <c r="I162" s="51" t="n"/>
      <c r="J162" s="51" t="n"/>
      <c r="K162" s="51" t="n"/>
      <c r="L162" s="51" t="n"/>
      <c r="M162" s="51" t="n"/>
      <c r="N162" s="52">
        <f>IF(A162="","",IF(G162="FIXED",M162,IF(G162="UNIFORM",IF(AND(ISNUMBER(H162),ISNUMBER(I162)),(H162+I162)/2,""),IF(G162="TRIANGLE",IF(ISNUMBER(L162),L162,IF(ISNUMBER(J162),J162,"")),IF(ISNUMBER(J162),J162,IF(ISNUMBER(K162),K162,""))))))</f>
        <v/>
      </c>
      <c r="O162" s="32">
        <f>IF(A162="","",IF(G162="FIXED","fixed",IF(G162="UNIFORM","midpoint_median",IF(G162="TRIANGLE",IF(ISNUMBER(L162),"mode",IF(ISNUMBER(J162),"source_median","missing")),IF(ISNUMBER(J162),"source_median",IF(ISNUMBER(K162),"source_mean","missing"))))))</f>
        <v/>
      </c>
      <c r="P162" s="18" t="n"/>
      <c r="Q162" s="18" t="n"/>
      <c r="R162" s="18" t="n"/>
      <c r="S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51" t="n"/>
      <c r="I163" s="51" t="n"/>
      <c r="J163" s="51" t="n"/>
      <c r="K163" s="51" t="n"/>
      <c r="L163" s="51" t="n"/>
      <c r="M163" s="51" t="n"/>
      <c r="N163" s="52">
        <f>IF(A163="","",IF(G163="FIXED",M163,IF(G163="UNIFORM",IF(AND(ISNUMBER(H163),ISNUMBER(I163)),(H163+I163)/2,""),IF(G163="TRIANGLE",IF(ISNUMBER(L163),L163,IF(ISNUMBER(J163),J163,"")),IF(ISNUMBER(J163),J163,IF(ISNUMBER(K163),K163,""))))))</f>
        <v/>
      </c>
      <c r="O163" s="32">
        <f>IF(A163="","",IF(G163="FIXED","fixed",IF(G163="UNIFORM","midpoint_median",IF(G163="TRIANGLE",IF(ISNUMBER(L163),"mode",IF(ISNUMBER(J163),"source_median","missing")),IF(ISNUMBER(J163),"source_median",IF(ISNUMBER(K163),"source_mean","missing"))))))</f>
        <v/>
      </c>
      <c r="P163" s="18" t="n"/>
      <c r="Q163" s="18" t="n"/>
      <c r="R163" s="18" t="n"/>
      <c r="S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51" t="n"/>
      <c r="I164" s="51" t="n"/>
      <c r="J164" s="51" t="n"/>
      <c r="K164" s="51" t="n"/>
      <c r="L164" s="51" t="n"/>
      <c r="M164" s="51" t="n"/>
      <c r="N164" s="52">
        <f>IF(A164="","",IF(G164="FIXED",M164,IF(G164="UNIFORM",IF(AND(ISNUMBER(H164),ISNUMBER(I164)),(H164+I164)/2,""),IF(G164="TRIANGLE",IF(ISNUMBER(L164),L164,IF(ISNUMBER(J164),J164,"")),IF(ISNUMBER(J164),J164,IF(ISNUMBER(K164),K164,""))))))</f>
        <v/>
      </c>
      <c r="O164" s="32">
        <f>IF(A164="","",IF(G164="FIXED","fixed",IF(G164="UNIFORM","midpoint_median",IF(G164="TRIANGLE",IF(ISNUMBER(L164),"mode",IF(ISNUMBER(J164),"source_median","missing")),IF(ISNUMBER(J164),"source_median",IF(ISNUMBER(K164),"source_mean","missing"))))))</f>
        <v/>
      </c>
      <c r="P164" s="18" t="n"/>
      <c r="Q164" s="18" t="n"/>
      <c r="R164" s="18" t="n"/>
      <c r="S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51" t="n"/>
      <c r="I165" s="51" t="n"/>
      <c r="J165" s="51" t="n"/>
      <c r="K165" s="51" t="n"/>
      <c r="L165" s="51" t="n"/>
      <c r="M165" s="51" t="n"/>
      <c r="N165" s="52">
        <f>IF(A165="","",IF(G165="FIXED",M165,IF(G165="UNIFORM",IF(AND(ISNUMBER(H165),ISNUMBER(I165)),(H165+I165)/2,""),IF(G165="TRIANGLE",IF(ISNUMBER(L165),L165,IF(ISNUMBER(J165),J165,"")),IF(ISNUMBER(J165),J165,IF(ISNUMBER(K165),K165,""))))))</f>
        <v/>
      </c>
      <c r="O165" s="32">
        <f>IF(A165="","",IF(G165="FIXED","fixed",IF(G165="UNIFORM","midpoint_median",IF(G165="TRIANGLE",IF(ISNUMBER(L165),"mode",IF(ISNUMBER(J165),"source_median","missing")),IF(ISNUMBER(J165),"source_median",IF(ISNUMBER(K165),"source_mean","missing"))))))</f>
        <v/>
      </c>
      <c r="P165" s="18" t="n"/>
      <c r="Q165" s="18" t="n"/>
      <c r="R165" s="18" t="n"/>
      <c r="S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51" t="n"/>
      <c r="I166" s="51" t="n"/>
      <c r="J166" s="51" t="n"/>
      <c r="K166" s="51" t="n"/>
      <c r="L166" s="51" t="n"/>
      <c r="M166" s="51" t="n"/>
      <c r="N166" s="52">
        <f>IF(A166="","",IF(G166="FIXED",M166,IF(G166="UNIFORM",IF(AND(ISNUMBER(H166),ISNUMBER(I166)),(H166+I166)/2,""),IF(G166="TRIANGLE",IF(ISNUMBER(L166),L166,IF(ISNUMBER(J166),J166,"")),IF(ISNUMBER(J166),J166,IF(ISNUMBER(K166),K166,""))))))</f>
        <v/>
      </c>
      <c r="O166" s="32">
        <f>IF(A166="","",IF(G166="FIXED","fixed",IF(G166="UNIFORM","midpoint_median",IF(G166="TRIANGLE",IF(ISNUMBER(L166),"mode",IF(ISNUMBER(J166),"source_median","missing")),IF(ISNUMBER(J166),"source_median",IF(ISNUMBER(K166),"source_mean","missing"))))))</f>
        <v/>
      </c>
      <c r="P166" s="18" t="n"/>
      <c r="Q166" s="18" t="n"/>
      <c r="R166" s="18" t="n"/>
      <c r="S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51" t="n"/>
      <c r="I167" s="51" t="n"/>
      <c r="J167" s="51" t="n"/>
      <c r="K167" s="51" t="n"/>
      <c r="L167" s="51" t="n"/>
      <c r="M167" s="51" t="n"/>
      <c r="N167" s="52">
        <f>IF(A167="","",IF(G167="FIXED",M167,IF(G167="UNIFORM",IF(AND(ISNUMBER(H167),ISNUMBER(I167)),(H167+I167)/2,""),IF(G167="TRIANGLE",IF(ISNUMBER(L167),L167,IF(ISNUMBER(J167),J167,"")),IF(ISNUMBER(J167),J167,IF(ISNUMBER(K167),K167,""))))))</f>
        <v/>
      </c>
      <c r="O167" s="32">
        <f>IF(A167="","",IF(G167="FIXED","fixed",IF(G167="UNIFORM","midpoint_median",IF(G167="TRIANGLE",IF(ISNUMBER(L167),"mode",IF(ISNUMBER(J167),"source_median","missing")),IF(ISNUMBER(J167),"source_median",IF(ISNUMBER(K167),"source_mean","missing"))))))</f>
        <v/>
      </c>
      <c r="P167" s="18" t="n"/>
      <c r="Q167" s="18" t="n"/>
      <c r="R167" s="18" t="n"/>
      <c r="S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51" t="n"/>
      <c r="I168" s="51" t="n"/>
      <c r="J168" s="51" t="n"/>
      <c r="K168" s="51" t="n"/>
      <c r="L168" s="51" t="n"/>
      <c r="M168" s="51" t="n"/>
      <c r="N168" s="52">
        <f>IF(A168="","",IF(G168="FIXED",M168,IF(G168="UNIFORM",IF(AND(ISNUMBER(H168),ISNUMBER(I168)),(H168+I168)/2,""),IF(G168="TRIANGLE",IF(ISNUMBER(L168),L168,IF(ISNUMBER(J168),J168,"")),IF(ISNUMBER(J168),J168,IF(ISNUMBER(K168),K168,""))))))</f>
        <v/>
      </c>
      <c r="O168" s="32">
        <f>IF(A168="","",IF(G168="FIXED","fixed",IF(G168="UNIFORM","midpoint_median",IF(G168="TRIANGLE",IF(ISNUMBER(L168),"mode",IF(ISNUMBER(J168),"source_median","missing")),IF(ISNUMBER(J168),"source_median",IF(ISNUMBER(K168),"source_mean","missing"))))))</f>
        <v/>
      </c>
      <c r="P168" s="18" t="n"/>
      <c r="Q168" s="18" t="n"/>
      <c r="R168" s="18" t="n"/>
      <c r="S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51" t="n"/>
      <c r="I169" s="51" t="n"/>
      <c r="J169" s="51" t="n"/>
      <c r="K169" s="51" t="n"/>
      <c r="L169" s="51" t="n"/>
      <c r="M169" s="51" t="n"/>
      <c r="N169" s="52">
        <f>IF(A169="","",IF(G169="FIXED",M169,IF(G169="UNIFORM",IF(AND(ISNUMBER(H169),ISNUMBER(I169)),(H169+I169)/2,""),IF(G169="TRIANGLE",IF(ISNUMBER(L169),L169,IF(ISNUMBER(J169),J169,"")),IF(ISNUMBER(J169),J169,IF(ISNUMBER(K169),K169,""))))))</f>
        <v/>
      </c>
      <c r="O169" s="32">
        <f>IF(A169="","",IF(G169="FIXED","fixed",IF(G169="UNIFORM","midpoint_median",IF(G169="TRIANGLE",IF(ISNUMBER(L169),"mode",IF(ISNUMBER(J169),"source_median","missing")),IF(ISNUMBER(J169),"source_median",IF(ISNUMBER(K169),"source_mean","missing"))))))</f>
        <v/>
      </c>
      <c r="P169" s="18" t="n"/>
      <c r="Q169" s="18" t="n"/>
      <c r="R169" s="18" t="n"/>
      <c r="S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51" t="n"/>
      <c r="I170" s="51" t="n"/>
      <c r="J170" s="51" t="n"/>
      <c r="K170" s="51" t="n"/>
      <c r="L170" s="51" t="n"/>
      <c r="M170" s="51" t="n"/>
      <c r="N170" s="52">
        <f>IF(A170="","",IF(G170="FIXED",M170,IF(G170="UNIFORM",IF(AND(ISNUMBER(H170),ISNUMBER(I170)),(H170+I170)/2,""),IF(G170="TRIANGLE",IF(ISNUMBER(L170),L170,IF(ISNUMBER(J170),J170,"")),IF(ISNUMBER(J170),J170,IF(ISNUMBER(K170),K170,""))))))</f>
        <v/>
      </c>
      <c r="O170" s="32">
        <f>IF(A170="","",IF(G170="FIXED","fixed",IF(G170="UNIFORM","midpoint_median",IF(G170="TRIANGLE",IF(ISNUMBER(L170),"mode",IF(ISNUMBER(J170),"source_median","missing")),IF(ISNUMBER(J170),"source_median",IF(ISNUMBER(K170),"source_mean","missing"))))))</f>
        <v/>
      </c>
      <c r="P170" s="18" t="n"/>
      <c r="Q170" s="18" t="n"/>
      <c r="R170" s="18" t="n"/>
      <c r="S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51" t="n"/>
      <c r="I171" s="51" t="n"/>
      <c r="J171" s="51" t="n"/>
      <c r="K171" s="51" t="n"/>
      <c r="L171" s="51" t="n"/>
      <c r="M171" s="51" t="n"/>
      <c r="N171" s="52">
        <f>IF(A171="","",IF(G171="FIXED",M171,IF(G171="UNIFORM",IF(AND(ISNUMBER(H171),ISNUMBER(I171)),(H171+I171)/2,""),IF(G171="TRIANGLE",IF(ISNUMBER(L171),L171,IF(ISNUMBER(J171),J171,"")),IF(ISNUMBER(J171),J171,IF(ISNUMBER(K171),K171,""))))))</f>
        <v/>
      </c>
      <c r="O171" s="32">
        <f>IF(A171="","",IF(G171="FIXED","fixed",IF(G171="UNIFORM","midpoint_median",IF(G171="TRIANGLE",IF(ISNUMBER(L171),"mode",IF(ISNUMBER(J171),"source_median","missing")),IF(ISNUMBER(J171),"source_median",IF(ISNUMBER(K171),"source_mean","missing"))))))</f>
        <v/>
      </c>
      <c r="P171" s="18" t="n"/>
      <c r="Q171" s="18" t="n"/>
      <c r="R171" s="18" t="n"/>
      <c r="S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51" t="n"/>
      <c r="I172" s="51" t="n"/>
      <c r="J172" s="51" t="n"/>
      <c r="K172" s="51" t="n"/>
      <c r="L172" s="51" t="n"/>
      <c r="M172" s="51" t="n"/>
      <c r="N172" s="52">
        <f>IF(A172="","",IF(G172="FIXED",M172,IF(G172="UNIFORM",IF(AND(ISNUMBER(H172),ISNUMBER(I172)),(H172+I172)/2,""),IF(G172="TRIANGLE",IF(ISNUMBER(L172),L172,IF(ISNUMBER(J172),J172,"")),IF(ISNUMBER(J172),J172,IF(ISNUMBER(K172),K172,""))))))</f>
        <v/>
      </c>
      <c r="O172" s="32">
        <f>IF(A172="","",IF(G172="FIXED","fixed",IF(G172="UNIFORM","midpoint_median",IF(G172="TRIANGLE",IF(ISNUMBER(L172),"mode",IF(ISNUMBER(J172),"source_median","missing")),IF(ISNUMBER(J172),"source_median",IF(ISNUMBER(K172),"source_mean","missing"))))))</f>
        <v/>
      </c>
      <c r="P172" s="18" t="n"/>
      <c r="Q172" s="18" t="n"/>
      <c r="R172" s="18" t="n"/>
      <c r="S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51" t="n"/>
      <c r="I173" s="51" t="n"/>
      <c r="J173" s="51" t="n"/>
      <c r="K173" s="51" t="n"/>
      <c r="L173" s="51" t="n"/>
      <c r="M173" s="51" t="n"/>
      <c r="N173" s="52">
        <f>IF(A173="","",IF(G173="FIXED",M173,IF(G173="UNIFORM",IF(AND(ISNUMBER(H173),ISNUMBER(I173)),(H173+I173)/2,""),IF(G173="TRIANGLE",IF(ISNUMBER(L173),L173,IF(ISNUMBER(J173),J173,"")),IF(ISNUMBER(J173),J173,IF(ISNUMBER(K173),K173,""))))))</f>
        <v/>
      </c>
      <c r="O173" s="32">
        <f>IF(A173="","",IF(G173="FIXED","fixed",IF(G173="UNIFORM","midpoint_median",IF(G173="TRIANGLE",IF(ISNUMBER(L173),"mode",IF(ISNUMBER(J173),"source_median","missing")),IF(ISNUMBER(J173),"source_median",IF(ISNUMBER(K173),"source_mean","missing"))))))</f>
        <v/>
      </c>
      <c r="P173" s="18" t="n"/>
      <c r="Q173" s="18" t="n"/>
      <c r="R173" s="18" t="n"/>
      <c r="S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51" t="n"/>
      <c r="I174" s="51" t="n"/>
      <c r="J174" s="51" t="n"/>
      <c r="K174" s="51" t="n"/>
      <c r="L174" s="51" t="n"/>
      <c r="M174" s="51" t="n"/>
      <c r="N174" s="52">
        <f>IF(A174="","",IF(G174="FIXED",M174,IF(G174="UNIFORM",IF(AND(ISNUMBER(H174),ISNUMBER(I174)),(H174+I174)/2,""),IF(G174="TRIANGLE",IF(ISNUMBER(L174),L174,IF(ISNUMBER(J174),J174,"")),IF(ISNUMBER(J174),J174,IF(ISNUMBER(K174),K174,""))))))</f>
        <v/>
      </c>
      <c r="O174" s="32">
        <f>IF(A174="","",IF(G174="FIXED","fixed",IF(G174="UNIFORM","midpoint_median",IF(G174="TRIANGLE",IF(ISNUMBER(L174),"mode",IF(ISNUMBER(J174),"source_median","missing")),IF(ISNUMBER(J174),"source_median",IF(ISNUMBER(K174),"source_mean","missing"))))))</f>
        <v/>
      </c>
      <c r="P174" s="18" t="n"/>
      <c r="Q174" s="18" t="n"/>
      <c r="R174" s="18" t="n"/>
      <c r="S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51" t="n"/>
      <c r="I175" s="51" t="n"/>
      <c r="J175" s="51" t="n"/>
      <c r="K175" s="51" t="n"/>
      <c r="L175" s="51" t="n"/>
      <c r="M175" s="51" t="n"/>
      <c r="N175" s="52">
        <f>IF(A175="","",IF(G175="FIXED",M175,IF(G175="UNIFORM",IF(AND(ISNUMBER(H175),ISNUMBER(I175)),(H175+I175)/2,""),IF(G175="TRIANGLE",IF(ISNUMBER(L175),L175,IF(ISNUMBER(J175),J175,"")),IF(ISNUMBER(J175),J175,IF(ISNUMBER(K175),K175,""))))))</f>
        <v/>
      </c>
      <c r="O175" s="32">
        <f>IF(A175="","",IF(G175="FIXED","fixed",IF(G175="UNIFORM","midpoint_median",IF(G175="TRIANGLE",IF(ISNUMBER(L175),"mode",IF(ISNUMBER(J175),"source_median","missing")),IF(ISNUMBER(J175),"source_median",IF(ISNUMBER(K175),"source_mean","missing"))))))</f>
        <v/>
      </c>
      <c r="P175" s="18" t="n"/>
      <c r="Q175" s="18" t="n"/>
      <c r="R175" s="18" t="n"/>
      <c r="S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51" t="n"/>
      <c r="I176" s="51" t="n"/>
      <c r="J176" s="51" t="n"/>
      <c r="K176" s="51" t="n"/>
      <c r="L176" s="51" t="n"/>
      <c r="M176" s="51" t="n"/>
      <c r="N176" s="52">
        <f>IF(A176="","",IF(G176="FIXED",M176,IF(G176="UNIFORM",IF(AND(ISNUMBER(H176),ISNUMBER(I176)),(H176+I176)/2,""),IF(G176="TRIANGLE",IF(ISNUMBER(L176),L176,IF(ISNUMBER(J176),J176,"")),IF(ISNUMBER(J176),J176,IF(ISNUMBER(K176),K176,""))))))</f>
        <v/>
      </c>
      <c r="O176" s="32">
        <f>IF(A176="","",IF(G176="FIXED","fixed",IF(G176="UNIFORM","midpoint_median",IF(G176="TRIANGLE",IF(ISNUMBER(L176),"mode",IF(ISNUMBER(J176),"source_median","missing")),IF(ISNUMBER(J176),"source_median",IF(ISNUMBER(K176),"source_mean","missing"))))))</f>
        <v/>
      </c>
      <c r="P176" s="18" t="n"/>
      <c r="Q176" s="18" t="n"/>
      <c r="R176" s="18" t="n"/>
      <c r="S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51" t="n"/>
      <c r="I177" s="51" t="n"/>
      <c r="J177" s="51" t="n"/>
      <c r="K177" s="51" t="n"/>
      <c r="L177" s="51" t="n"/>
      <c r="M177" s="51" t="n"/>
      <c r="N177" s="52">
        <f>IF(A177="","",IF(G177="FIXED",M177,IF(G177="UNIFORM",IF(AND(ISNUMBER(H177),ISNUMBER(I177)),(H177+I177)/2,""),IF(G177="TRIANGLE",IF(ISNUMBER(L177),L177,IF(ISNUMBER(J177),J177,"")),IF(ISNUMBER(J177),J177,IF(ISNUMBER(K177),K177,""))))))</f>
        <v/>
      </c>
      <c r="O177" s="32">
        <f>IF(A177="","",IF(G177="FIXED","fixed",IF(G177="UNIFORM","midpoint_median",IF(G177="TRIANGLE",IF(ISNUMBER(L177),"mode",IF(ISNUMBER(J177),"source_median","missing")),IF(ISNUMBER(J177),"source_median",IF(ISNUMBER(K177),"source_mean","missing"))))))</f>
        <v/>
      </c>
      <c r="P177" s="18" t="n"/>
      <c r="Q177" s="18" t="n"/>
      <c r="R177" s="18" t="n"/>
      <c r="S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51" t="n"/>
      <c r="I178" s="51" t="n"/>
      <c r="J178" s="51" t="n"/>
      <c r="K178" s="51" t="n"/>
      <c r="L178" s="51" t="n"/>
      <c r="M178" s="51" t="n"/>
      <c r="N178" s="52">
        <f>IF(A178="","",IF(G178="FIXED",M178,IF(G178="UNIFORM",IF(AND(ISNUMBER(H178),ISNUMBER(I178)),(H178+I178)/2,""),IF(G178="TRIANGLE",IF(ISNUMBER(L178),L178,IF(ISNUMBER(J178),J178,"")),IF(ISNUMBER(J178),J178,IF(ISNUMBER(K178),K178,""))))))</f>
        <v/>
      </c>
      <c r="O178" s="32">
        <f>IF(A178="","",IF(G178="FIXED","fixed",IF(G178="UNIFORM","midpoint_median",IF(G178="TRIANGLE",IF(ISNUMBER(L178),"mode",IF(ISNUMBER(J178),"source_median","missing")),IF(ISNUMBER(J178),"source_median",IF(ISNUMBER(K178),"source_mean","missing"))))))</f>
        <v/>
      </c>
      <c r="P178" s="18" t="n"/>
      <c r="Q178" s="18" t="n"/>
      <c r="R178" s="18" t="n"/>
      <c r="S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51" t="n"/>
      <c r="I179" s="51" t="n"/>
      <c r="J179" s="51" t="n"/>
      <c r="K179" s="51" t="n"/>
      <c r="L179" s="51" t="n"/>
      <c r="M179" s="51" t="n"/>
      <c r="N179" s="52">
        <f>IF(A179="","",IF(G179="FIXED",M179,IF(G179="UNIFORM",IF(AND(ISNUMBER(H179),ISNUMBER(I179)),(H179+I179)/2,""),IF(G179="TRIANGLE",IF(ISNUMBER(L179),L179,IF(ISNUMBER(J179),J179,"")),IF(ISNUMBER(J179),J179,IF(ISNUMBER(K179),K179,""))))))</f>
        <v/>
      </c>
      <c r="O179" s="32">
        <f>IF(A179="","",IF(G179="FIXED","fixed",IF(G179="UNIFORM","midpoint_median",IF(G179="TRIANGLE",IF(ISNUMBER(L179),"mode",IF(ISNUMBER(J179),"source_median","missing")),IF(ISNUMBER(J179),"source_median",IF(ISNUMBER(K179),"source_mean","missing"))))))</f>
        <v/>
      </c>
      <c r="P179" s="18" t="n"/>
      <c r="Q179" s="18" t="n"/>
      <c r="R179" s="18" t="n"/>
      <c r="S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51" t="n"/>
      <c r="I180" s="51" t="n"/>
      <c r="J180" s="51" t="n"/>
      <c r="K180" s="51" t="n"/>
      <c r="L180" s="51" t="n"/>
      <c r="M180" s="51" t="n"/>
      <c r="N180" s="52">
        <f>IF(A180="","",IF(G180="FIXED",M180,IF(G180="UNIFORM",IF(AND(ISNUMBER(H180),ISNUMBER(I180)),(H180+I180)/2,""),IF(G180="TRIANGLE",IF(ISNUMBER(L180),L180,IF(ISNUMBER(J180),J180,"")),IF(ISNUMBER(J180),J180,IF(ISNUMBER(K180),K180,""))))))</f>
        <v/>
      </c>
      <c r="O180" s="32">
        <f>IF(A180="","",IF(G180="FIXED","fixed",IF(G180="UNIFORM","midpoint_median",IF(G180="TRIANGLE",IF(ISNUMBER(L180),"mode",IF(ISNUMBER(J180),"source_median","missing")),IF(ISNUMBER(J180),"source_median",IF(ISNUMBER(K180),"source_mean","missing"))))))</f>
        <v/>
      </c>
      <c r="P180" s="18" t="n"/>
      <c r="Q180" s="18" t="n"/>
      <c r="R180" s="18" t="n"/>
      <c r="S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51" t="n"/>
      <c r="I181" s="51" t="n"/>
      <c r="J181" s="51" t="n"/>
      <c r="K181" s="51" t="n"/>
      <c r="L181" s="51" t="n"/>
      <c r="M181" s="51" t="n"/>
      <c r="N181" s="52">
        <f>IF(A181="","",IF(G181="FIXED",M181,IF(G181="UNIFORM",IF(AND(ISNUMBER(H181),ISNUMBER(I181)),(H181+I181)/2,""),IF(G181="TRIANGLE",IF(ISNUMBER(L181),L181,IF(ISNUMBER(J181),J181,"")),IF(ISNUMBER(J181),J181,IF(ISNUMBER(K181),K181,""))))))</f>
        <v/>
      </c>
      <c r="O181" s="32">
        <f>IF(A181="","",IF(G181="FIXED","fixed",IF(G181="UNIFORM","midpoint_median",IF(G181="TRIANGLE",IF(ISNUMBER(L181),"mode",IF(ISNUMBER(J181),"source_median","missing")),IF(ISNUMBER(J181),"source_median",IF(ISNUMBER(K181),"source_mean","missing"))))))</f>
        <v/>
      </c>
      <c r="P181" s="18" t="n"/>
      <c r="Q181" s="18" t="n"/>
      <c r="R181" s="18" t="n"/>
      <c r="S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51" t="n"/>
      <c r="I182" s="51" t="n"/>
      <c r="J182" s="51" t="n"/>
      <c r="K182" s="51" t="n"/>
      <c r="L182" s="51" t="n"/>
      <c r="M182" s="51" t="n"/>
      <c r="N182" s="52">
        <f>IF(A182="","",IF(G182="FIXED",M182,IF(G182="UNIFORM",IF(AND(ISNUMBER(H182),ISNUMBER(I182)),(H182+I182)/2,""),IF(G182="TRIANGLE",IF(ISNUMBER(L182),L182,IF(ISNUMBER(J182),J182,"")),IF(ISNUMBER(J182),J182,IF(ISNUMBER(K182),K182,""))))))</f>
        <v/>
      </c>
      <c r="O182" s="32">
        <f>IF(A182="","",IF(G182="FIXED","fixed",IF(G182="UNIFORM","midpoint_median",IF(G182="TRIANGLE",IF(ISNUMBER(L182),"mode",IF(ISNUMBER(J182),"source_median","missing")),IF(ISNUMBER(J182),"source_median",IF(ISNUMBER(K182),"source_mean","missing"))))))</f>
        <v/>
      </c>
      <c r="P182" s="18" t="n"/>
      <c r="Q182" s="18" t="n"/>
      <c r="R182" s="18" t="n"/>
      <c r="S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51" t="n"/>
      <c r="I183" s="51" t="n"/>
      <c r="J183" s="51" t="n"/>
      <c r="K183" s="51" t="n"/>
      <c r="L183" s="51" t="n"/>
      <c r="M183" s="51" t="n"/>
      <c r="N183" s="52">
        <f>IF(A183="","",IF(G183="FIXED",M183,IF(G183="UNIFORM",IF(AND(ISNUMBER(H183),ISNUMBER(I183)),(H183+I183)/2,""),IF(G183="TRIANGLE",IF(ISNUMBER(L183),L183,IF(ISNUMBER(J183),J183,"")),IF(ISNUMBER(J183),J183,IF(ISNUMBER(K183),K183,""))))))</f>
        <v/>
      </c>
      <c r="O183" s="32">
        <f>IF(A183="","",IF(G183="FIXED","fixed",IF(G183="UNIFORM","midpoint_median",IF(G183="TRIANGLE",IF(ISNUMBER(L183),"mode",IF(ISNUMBER(J183),"source_median","missing")),IF(ISNUMBER(J183),"source_median",IF(ISNUMBER(K183),"source_mean","missing"))))))</f>
        <v/>
      </c>
      <c r="P183" s="18" t="n"/>
      <c r="Q183" s="18" t="n"/>
      <c r="R183" s="18" t="n"/>
      <c r="S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51" t="n"/>
      <c r="I184" s="51" t="n"/>
      <c r="J184" s="51" t="n"/>
      <c r="K184" s="51" t="n"/>
      <c r="L184" s="51" t="n"/>
      <c r="M184" s="51" t="n"/>
      <c r="N184" s="52">
        <f>IF(A184="","",IF(G184="FIXED",M184,IF(G184="UNIFORM",IF(AND(ISNUMBER(H184),ISNUMBER(I184)),(H184+I184)/2,""),IF(G184="TRIANGLE",IF(ISNUMBER(L184),L184,IF(ISNUMBER(J184),J184,"")),IF(ISNUMBER(J184),J184,IF(ISNUMBER(K184),K184,""))))))</f>
        <v/>
      </c>
      <c r="O184" s="32">
        <f>IF(A184="","",IF(G184="FIXED","fixed",IF(G184="UNIFORM","midpoint_median",IF(G184="TRIANGLE",IF(ISNUMBER(L184),"mode",IF(ISNUMBER(J184),"source_median","missing")),IF(ISNUMBER(J184),"source_median",IF(ISNUMBER(K184),"source_mean","missing"))))))</f>
        <v/>
      </c>
      <c r="P184" s="18" t="n"/>
      <c r="Q184" s="18" t="n"/>
      <c r="R184" s="18" t="n"/>
      <c r="S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51" t="n"/>
      <c r="I185" s="51" t="n"/>
      <c r="J185" s="51" t="n"/>
      <c r="K185" s="51" t="n"/>
      <c r="L185" s="51" t="n"/>
      <c r="M185" s="51" t="n"/>
      <c r="N185" s="52">
        <f>IF(A185="","",IF(G185="FIXED",M185,IF(G185="UNIFORM",IF(AND(ISNUMBER(H185),ISNUMBER(I185)),(H185+I185)/2,""),IF(G185="TRIANGLE",IF(ISNUMBER(L185),L185,IF(ISNUMBER(J185),J185,"")),IF(ISNUMBER(J185),J185,IF(ISNUMBER(K185),K185,""))))))</f>
        <v/>
      </c>
      <c r="O185" s="32">
        <f>IF(A185="","",IF(G185="FIXED","fixed",IF(G185="UNIFORM","midpoint_median",IF(G185="TRIANGLE",IF(ISNUMBER(L185),"mode",IF(ISNUMBER(J185),"source_median","missing")),IF(ISNUMBER(J185),"source_median",IF(ISNUMBER(K185),"source_mean","missing"))))))</f>
        <v/>
      </c>
      <c r="P185" s="18" t="n"/>
      <c r="Q185" s="18" t="n"/>
      <c r="R185" s="18" t="n"/>
      <c r="S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51" t="n"/>
      <c r="I186" s="51" t="n"/>
      <c r="J186" s="51" t="n"/>
      <c r="K186" s="51" t="n"/>
      <c r="L186" s="51" t="n"/>
      <c r="M186" s="51" t="n"/>
      <c r="N186" s="52">
        <f>IF(A186="","",IF(G186="FIXED",M186,IF(G186="UNIFORM",IF(AND(ISNUMBER(H186),ISNUMBER(I186)),(H186+I186)/2,""),IF(G186="TRIANGLE",IF(ISNUMBER(L186),L186,IF(ISNUMBER(J186),J186,"")),IF(ISNUMBER(J186),J186,IF(ISNUMBER(K186),K186,""))))))</f>
        <v/>
      </c>
      <c r="O186" s="32">
        <f>IF(A186="","",IF(G186="FIXED","fixed",IF(G186="UNIFORM","midpoint_median",IF(G186="TRIANGLE",IF(ISNUMBER(L186),"mode",IF(ISNUMBER(J186),"source_median","missing")),IF(ISNUMBER(J186),"source_median",IF(ISNUMBER(K186),"source_mean","missing"))))))</f>
        <v/>
      </c>
      <c r="P186" s="18" t="n"/>
      <c r="Q186" s="18" t="n"/>
      <c r="R186" s="18" t="n"/>
      <c r="S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51" t="n"/>
      <c r="I187" s="51" t="n"/>
      <c r="J187" s="51" t="n"/>
      <c r="K187" s="51" t="n"/>
      <c r="L187" s="51" t="n"/>
      <c r="M187" s="51" t="n"/>
      <c r="N187" s="52">
        <f>IF(A187="","",IF(G187="FIXED",M187,IF(G187="UNIFORM",IF(AND(ISNUMBER(H187),ISNUMBER(I187)),(H187+I187)/2,""),IF(G187="TRIANGLE",IF(ISNUMBER(L187),L187,IF(ISNUMBER(J187),J187,"")),IF(ISNUMBER(J187),J187,IF(ISNUMBER(K187),K187,""))))))</f>
        <v/>
      </c>
      <c r="O187" s="32">
        <f>IF(A187="","",IF(G187="FIXED","fixed",IF(G187="UNIFORM","midpoint_median",IF(G187="TRIANGLE",IF(ISNUMBER(L187),"mode",IF(ISNUMBER(J187),"source_median","missing")),IF(ISNUMBER(J187),"source_median",IF(ISNUMBER(K187),"source_mean","missing"))))))</f>
        <v/>
      </c>
      <c r="P187" s="18" t="n"/>
      <c r="Q187" s="18" t="n"/>
      <c r="R187" s="18" t="n"/>
      <c r="S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51" t="n"/>
      <c r="I188" s="51" t="n"/>
      <c r="J188" s="51" t="n"/>
      <c r="K188" s="51" t="n"/>
      <c r="L188" s="51" t="n"/>
      <c r="M188" s="51" t="n"/>
      <c r="N188" s="52">
        <f>IF(A188="","",IF(G188="FIXED",M188,IF(G188="UNIFORM",IF(AND(ISNUMBER(H188),ISNUMBER(I188)),(H188+I188)/2,""),IF(G188="TRIANGLE",IF(ISNUMBER(L188),L188,IF(ISNUMBER(J188),J188,"")),IF(ISNUMBER(J188),J188,IF(ISNUMBER(K188),K188,""))))))</f>
        <v/>
      </c>
      <c r="O188" s="32">
        <f>IF(A188="","",IF(G188="FIXED","fixed",IF(G188="UNIFORM","midpoint_median",IF(G188="TRIANGLE",IF(ISNUMBER(L188),"mode",IF(ISNUMBER(J188),"source_median","missing")),IF(ISNUMBER(J188),"source_median",IF(ISNUMBER(K188),"source_mean","missing"))))))</f>
        <v/>
      </c>
      <c r="P188" s="18" t="n"/>
      <c r="Q188" s="18" t="n"/>
      <c r="R188" s="18" t="n"/>
      <c r="S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51" t="n"/>
      <c r="I189" s="51" t="n"/>
      <c r="J189" s="51" t="n"/>
      <c r="K189" s="51" t="n"/>
      <c r="L189" s="51" t="n"/>
      <c r="M189" s="51" t="n"/>
      <c r="N189" s="52">
        <f>IF(A189="","",IF(G189="FIXED",M189,IF(G189="UNIFORM",IF(AND(ISNUMBER(H189),ISNUMBER(I189)),(H189+I189)/2,""),IF(G189="TRIANGLE",IF(ISNUMBER(L189),L189,IF(ISNUMBER(J189),J189,"")),IF(ISNUMBER(J189),J189,IF(ISNUMBER(K189),K189,""))))))</f>
        <v/>
      </c>
      <c r="O189" s="32">
        <f>IF(A189="","",IF(G189="FIXED","fixed",IF(G189="UNIFORM","midpoint_median",IF(G189="TRIANGLE",IF(ISNUMBER(L189),"mode",IF(ISNUMBER(J189),"source_median","missing")),IF(ISNUMBER(J189),"source_median",IF(ISNUMBER(K189),"source_mean","missing"))))))</f>
        <v/>
      </c>
      <c r="P189" s="18" t="n"/>
      <c r="Q189" s="18" t="n"/>
      <c r="R189" s="18" t="n"/>
      <c r="S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51" t="n"/>
      <c r="I190" s="51" t="n"/>
      <c r="J190" s="51" t="n"/>
      <c r="K190" s="51" t="n"/>
      <c r="L190" s="51" t="n"/>
      <c r="M190" s="51" t="n"/>
      <c r="N190" s="52">
        <f>IF(A190="","",IF(G190="FIXED",M190,IF(G190="UNIFORM",IF(AND(ISNUMBER(H190),ISNUMBER(I190)),(H190+I190)/2,""),IF(G190="TRIANGLE",IF(ISNUMBER(L190),L190,IF(ISNUMBER(J190),J190,"")),IF(ISNUMBER(J190),J190,IF(ISNUMBER(K190),K190,""))))))</f>
        <v/>
      </c>
      <c r="O190" s="32">
        <f>IF(A190="","",IF(G190="FIXED","fixed",IF(G190="UNIFORM","midpoint_median",IF(G190="TRIANGLE",IF(ISNUMBER(L190),"mode",IF(ISNUMBER(J190),"source_median","missing")),IF(ISNUMBER(J190),"source_median",IF(ISNUMBER(K190),"source_mean","missing"))))))</f>
        <v/>
      </c>
      <c r="P190" s="18" t="n"/>
      <c r="Q190" s="18" t="n"/>
      <c r="R190" s="18" t="n"/>
      <c r="S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51" t="n"/>
      <c r="I191" s="51" t="n"/>
      <c r="J191" s="51" t="n"/>
      <c r="K191" s="51" t="n"/>
      <c r="L191" s="51" t="n"/>
      <c r="M191" s="51" t="n"/>
      <c r="N191" s="52">
        <f>IF(A191="","",IF(G191="FIXED",M191,IF(G191="UNIFORM",IF(AND(ISNUMBER(H191),ISNUMBER(I191)),(H191+I191)/2,""),IF(G191="TRIANGLE",IF(ISNUMBER(L191),L191,IF(ISNUMBER(J191),J191,"")),IF(ISNUMBER(J191),J191,IF(ISNUMBER(K191),K191,""))))))</f>
        <v/>
      </c>
      <c r="O191" s="32">
        <f>IF(A191="","",IF(G191="FIXED","fixed",IF(G191="UNIFORM","midpoint_median",IF(G191="TRIANGLE",IF(ISNUMBER(L191),"mode",IF(ISNUMBER(J191),"source_median","missing")),IF(ISNUMBER(J191),"source_median",IF(ISNUMBER(K191),"source_mean","missing"))))))</f>
        <v/>
      </c>
      <c r="P191" s="18" t="n"/>
      <c r="Q191" s="18" t="n"/>
      <c r="R191" s="18" t="n"/>
      <c r="S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51" t="n"/>
      <c r="I192" s="51" t="n"/>
      <c r="J192" s="51" t="n"/>
      <c r="K192" s="51" t="n"/>
      <c r="L192" s="51" t="n"/>
      <c r="M192" s="51" t="n"/>
      <c r="N192" s="52">
        <f>IF(A192="","",IF(G192="FIXED",M192,IF(G192="UNIFORM",IF(AND(ISNUMBER(H192),ISNUMBER(I192)),(H192+I192)/2,""),IF(G192="TRIANGLE",IF(ISNUMBER(L192),L192,IF(ISNUMBER(J192),J192,"")),IF(ISNUMBER(J192),J192,IF(ISNUMBER(K192),K192,""))))))</f>
        <v/>
      </c>
      <c r="O192" s="32">
        <f>IF(A192="","",IF(G192="FIXED","fixed",IF(G192="UNIFORM","midpoint_median",IF(G192="TRIANGLE",IF(ISNUMBER(L192),"mode",IF(ISNUMBER(J192),"source_median","missing")),IF(ISNUMBER(J192),"source_median",IF(ISNUMBER(K192),"source_mean","missing"))))))</f>
        <v/>
      </c>
      <c r="P192" s="18" t="n"/>
      <c r="Q192" s="18" t="n"/>
      <c r="R192" s="18" t="n"/>
      <c r="S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51" t="n"/>
      <c r="I193" s="51" t="n"/>
      <c r="J193" s="51" t="n"/>
      <c r="K193" s="51" t="n"/>
      <c r="L193" s="51" t="n"/>
      <c r="M193" s="51" t="n"/>
      <c r="N193" s="52">
        <f>IF(A193="","",IF(G193="FIXED",M193,IF(G193="UNIFORM",IF(AND(ISNUMBER(H193),ISNUMBER(I193)),(H193+I193)/2,""),IF(G193="TRIANGLE",IF(ISNUMBER(L193),L193,IF(ISNUMBER(J193),J193,"")),IF(ISNUMBER(J193),J193,IF(ISNUMBER(K193),K193,""))))))</f>
        <v/>
      </c>
      <c r="O193" s="32">
        <f>IF(A193="","",IF(G193="FIXED","fixed",IF(G193="UNIFORM","midpoint_median",IF(G193="TRIANGLE",IF(ISNUMBER(L193),"mode",IF(ISNUMBER(J193),"source_median","missing")),IF(ISNUMBER(J193),"source_median",IF(ISNUMBER(K193),"source_mean","missing"))))))</f>
        <v/>
      </c>
      <c r="P193" s="18" t="n"/>
      <c r="Q193" s="18" t="n"/>
      <c r="R193" s="18" t="n"/>
      <c r="S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51" t="n"/>
      <c r="I194" s="51" t="n"/>
      <c r="J194" s="51" t="n"/>
      <c r="K194" s="51" t="n"/>
      <c r="L194" s="51" t="n"/>
      <c r="M194" s="51" t="n"/>
      <c r="N194" s="52">
        <f>IF(A194="","",IF(G194="FIXED",M194,IF(G194="UNIFORM",IF(AND(ISNUMBER(H194),ISNUMBER(I194)),(H194+I194)/2,""),IF(G194="TRIANGLE",IF(ISNUMBER(L194),L194,IF(ISNUMBER(J194),J194,"")),IF(ISNUMBER(J194),J194,IF(ISNUMBER(K194),K194,""))))))</f>
        <v/>
      </c>
      <c r="O194" s="32">
        <f>IF(A194="","",IF(G194="FIXED","fixed",IF(G194="UNIFORM","midpoint_median",IF(G194="TRIANGLE",IF(ISNUMBER(L194),"mode",IF(ISNUMBER(J194),"source_median","missing")),IF(ISNUMBER(J194),"source_median",IF(ISNUMBER(K194),"source_mean","missing"))))))</f>
        <v/>
      </c>
      <c r="P194" s="18" t="n"/>
      <c r="Q194" s="18" t="n"/>
      <c r="R194" s="18" t="n"/>
      <c r="S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51" t="n"/>
      <c r="I195" s="51" t="n"/>
      <c r="J195" s="51" t="n"/>
      <c r="K195" s="51" t="n"/>
      <c r="L195" s="51" t="n"/>
      <c r="M195" s="51" t="n"/>
      <c r="N195" s="52">
        <f>IF(A195="","",IF(G195="FIXED",M195,IF(G195="UNIFORM",IF(AND(ISNUMBER(H195),ISNUMBER(I195)),(H195+I195)/2,""),IF(G195="TRIANGLE",IF(ISNUMBER(L195),L195,IF(ISNUMBER(J195),J195,"")),IF(ISNUMBER(J195),J195,IF(ISNUMBER(K195),K195,""))))))</f>
        <v/>
      </c>
      <c r="O195" s="32">
        <f>IF(A195="","",IF(G195="FIXED","fixed",IF(G195="UNIFORM","midpoint_median",IF(G195="TRIANGLE",IF(ISNUMBER(L195),"mode",IF(ISNUMBER(J195),"source_median","missing")),IF(ISNUMBER(J195),"source_median",IF(ISNUMBER(K195),"source_mean","missing"))))))</f>
        <v/>
      </c>
      <c r="P195" s="18" t="n"/>
      <c r="Q195" s="18" t="n"/>
      <c r="R195" s="18" t="n"/>
      <c r="S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51" t="n"/>
      <c r="I196" s="51" t="n"/>
      <c r="J196" s="51" t="n"/>
      <c r="K196" s="51" t="n"/>
      <c r="L196" s="51" t="n"/>
      <c r="M196" s="51" t="n"/>
      <c r="N196" s="52">
        <f>IF(A196="","",IF(G196="FIXED",M196,IF(G196="UNIFORM",IF(AND(ISNUMBER(H196),ISNUMBER(I196)),(H196+I196)/2,""),IF(G196="TRIANGLE",IF(ISNUMBER(L196),L196,IF(ISNUMBER(J196),J196,"")),IF(ISNUMBER(J196),J196,IF(ISNUMBER(K196),K196,""))))))</f>
        <v/>
      </c>
      <c r="O196" s="32">
        <f>IF(A196="","",IF(G196="FIXED","fixed",IF(G196="UNIFORM","midpoint_median",IF(G196="TRIANGLE",IF(ISNUMBER(L196),"mode",IF(ISNUMBER(J196),"source_median","missing")),IF(ISNUMBER(J196),"source_median",IF(ISNUMBER(K196),"source_mean","missing"))))))</f>
        <v/>
      </c>
      <c r="P196" s="18" t="n"/>
      <c r="Q196" s="18" t="n"/>
      <c r="R196" s="18" t="n"/>
      <c r="S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51" t="n"/>
      <c r="I197" s="51" t="n"/>
      <c r="J197" s="51" t="n"/>
      <c r="K197" s="51" t="n"/>
      <c r="L197" s="51" t="n"/>
      <c r="M197" s="51" t="n"/>
      <c r="N197" s="52">
        <f>IF(A197="","",IF(G197="FIXED",M197,IF(G197="UNIFORM",IF(AND(ISNUMBER(H197),ISNUMBER(I197)),(H197+I197)/2,""),IF(G197="TRIANGLE",IF(ISNUMBER(L197),L197,IF(ISNUMBER(J197),J197,"")),IF(ISNUMBER(J197),J197,IF(ISNUMBER(K197),K197,""))))))</f>
        <v/>
      </c>
      <c r="O197" s="32">
        <f>IF(A197="","",IF(G197="FIXED","fixed",IF(G197="UNIFORM","midpoint_median",IF(G197="TRIANGLE",IF(ISNUMBER(L197),"mode",IF(ISNUMBER(J197),"source_median","missing")),IF(ISNUMBER(J197),"source_median",IF(ISNUMBER(K197),"source_mean","missing"))))))</f>
        <v/>
      </c>
      <c r="P197" s="18" t="n"/>
      <c r="Q197" s="18" t="n"/>
      <c r="R197" s="18" t="n"/>
      <c r="S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51" t="n"/>
      <c r="I198" s="51" t="n"/>
      <c r="J198" s="51" t="n"/>
      <c r="K198" s="51" t="n"/>
      <c r="L198" s="51" t="n"/>
      <c r="M198" s="51" t="n"/>
      <c r="N198" s="52">
        <f>IF(A198="","",IF(G198="FIXED",M198,IF(G198="UNIFORM",IF(AND(ISNUMBER(H198),ISNUMBER(I198)),(H198+I198)/2,""),IF(G198="TRIANGLE",IF(ISNUMBER(L198),L198,IF(ISNUMBER(J198),J198,"")),IF(ISNUMBER(J198),J198,IF(ISNUMBER(K198),K198,""))))))</f>
        <v/>
      </c>
      <c r="O198" s="32">
        <f>IF(A198="","",IF(G198="FIXED","fixed",IF(G198="UNIFORM","midpoint_median",IF(G198="TRIANGLE",IF(ISNUMBER(L198),"mode",IF(ISNUMBER(J198),"source_median","missing")),IF(ISNUMBER(J198),"source_median",IF(ISNUMBER(K198),"source_mean","missing"))))))</f>
        <v/>
      </c>
      <c r="P198" s="18" t="n"/>
      <c r="Q198" s="18" t="n"/>
      <c r="R198" s="18" t="n"/>
      <c r="S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51" t="n"/>
      <c r="I199" s="51" t="n"/>
      <c r="J199" s="51" t="n"/>
      <c r="K199" s="51" t="n"/>
      <c r="L199" s="51" t="n"/>
      <c r="M199" s="51" t="n"/>
      <c r="N199" s="52">
        <f>IF(A199="","",IF(G199="FIXED",M199,IF(G199="UNIFORM",IF(AND(ISNUMBER(H199),ISNUMBER(I199)),(H199+I199)/2,""),IF(G199="TRIANGLE",IF(ISNUMBER(L199),L199,IF(ISNUMBER(J199),J199,"")),IF(ISNUMBER(J199),J199,IF(ISNUMBER(K199),K199,""))))))</f>
        <v/>
      </c>
      <c r="O199" s="32">
        <f>IF(A199="","",IF(G199="FIXED","fixed",IF(G199="UNIFORM","midpoint_median",IF(G199="TRIANGLE",IF(ISNUMBER(L199),"mode",IF(ISNUMBER(J199),"source_median","missing")),IF(ISNUMBER(J199),"source_median",IF(ISNUMBER(K199),"source_mean","missing"))))))</f>
        <v/>
      </c>
      <c r="P199" s="18" t="n"/>
      <c r="Q199" s="18" t="n"/>
      <c r="R199" s="18" t="n"/>
      <c r="S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51" t="n"/>
      <c r="I200" s="51" t="n"/>
      <c r="J200" s="51" t="n"/>
      <c r="K200" s="51" t="n"/>
      <c r="L200" s="51" t="n"/>
      <c r="M200" s="51" t="n"/>
      <c r="N200" s="52">
        <f>IF(A200="","",IF(G200="FIXED",M200,IF(G200="UNIFORM",IF(AND(ISNUMBER(H200),ISNUMBER(I200)),(H200+I200)/2,""),IF(G200="TRIANGLE",IF(ISNUMBER(L200),L200,IF(ISNUMBER(J200),J200,"")),IF(ISNUMBER(J200),J200,IF(ISNUMBER(K200),K200,""))))))</f>
        <v/>
      </c>
      <c r="O200" s="32">
        <f>IF(A200="","",IF(G200="FIXED","fixed",IF(G200="UNIFORM","midpoint_median",IF(G200="TRIANGLE",IF(ISNUMBER(L200),"mode",IF(ISNUMBER(J200),"source_median","missing")),IF(ISNUMBER(J200),"source_median",IF(ISNUMBER(K200),"source_mean","missing"))))))</f>
        <v/>
      </c>
      <c r="P200" s="18" t="n"/>
      <c r="Q200" s="18" t="n"/>
      <c r="R200" s="18" t="n"/>
      <c r="S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51" t="n"/>
      <c r="I201" s="51" t="n"/>
      <c r="J201" s="51" t="n"/>
      <c r="K201" s="51" t="n"/>
      <c r="L201" s="51" t="n"/>
      <c r="M201" s="51" t="n"/>
      <c r="N201" s="52">
        <f>IF(A201="","",IF(G201="FIXED",M201,IF(G201="UNIFORM",IF(AND(ISNUMBER(H201),ISNUMBER(I201)),(H201+I201)/2,""),IF(G201="TRIANGLE",IF(ISNUMBER(L201),L201,IF(ISNUMBER(J201),J201,"")),IF(ISNUMBER(J201),J201,IF(ISNUMBER(K201),K201,""))))))</f>
        <v/>
      </c>
      <c r="O201" s="32">
        <f>IF(A201="","",IF(G201="FIXED","fixed",IF(G201="UNIFORM","midpoint_median",IF(G201="TRIANGLE",IF(ISNUMBER(L201),"mode",IF(ISNUMBER(J201),"source_median","missing")),IF(ISNUMBER(J201),"source_median",IF(ISNUMBER(K201),"source_mean","missing"))))))</f>
        <v/>
      </c>
      <c r="P201" s="18" t="n"/>
      <c r="Q201" s="18" t="n"/>
      <c r="R201" s="18" t="n"/>
      <c r="S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51" t="n"/>
      <c r="I202" s="51" t="n"/>
      <c r="J202" s="51" t="n"/>
      <c r="K202" s="51" t="n"/>
      <c r="L202" s="51" t="n"/>
      <c r="M202" s="51" t="n"/>
      <c r="N202" s="52">
        <f>IF(A202="","",IF(G202="FIXED",M202,IF(G202="UNIFORM",IF(AND(ISNUMBER(H202),ISNUMBER(I202)),(H202+I202)/2,""),IF(G202="TRIANGLE",IF(ISNUMBER(L202),L202,IF(ISNUMBER(J202),J202,"")),IF(ISNUMBER(J202),J202,IF(ISNUMBER(K202),K202,""))))))</f>
        <v/>
      </c>
      <c r="O202" s="32">
        <f>IF(A202="","",IF(G202="FIXED","fixed",IF(G202="UNIFORM","midpoint_median",IF(G202="TRIANGLE",IF(ISNUMBER(L202),"mode",IF(ISNUMBER(J202),"source_median","missing")),IF(ISNUMBER(J202),"source_median",IF(ISNUMBER(K202),"source_mean","missing"))))))</f>
        <v/>
      </c>
      <c r="P202" s="18" t="n"/>
      <c r="Q202" s="18" t="n"/>
      <c r="R202" s="18" t="n"/>
      <c r="S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51" t="n"/>
      <c r="I203" s="51" t="n"/>
      <c r="J203" s="51" t="n"/>
      <c r="K203" s="51" t="n"/>
      <c r="L203" s="51" t="n"/>
      <c r="M203" s="51" t="n"/>
      <c r="N203" s="52">
        <f>IF(A203="","",IF(G203="FIXED",M203,IF(G203="UNIFORM",IF(AND(ISNUMBER(H203),ISNUMBER(I203)),(H203+I203)/2,""),IF(G203="TRIANGLE",IF(ISNUMBER(L203),L203,IF(ISNUMBER(J203),J203,"")),IF(ISNUMBER(J203),J203,IF(ISNUMBER(K203),K203,""))))))</f>
        <v/>
      </c>
      <c r="O203" s="32">
        <f>IF(A203="","",IF(G203="FIXED","fixed",IF(G203="UNIFORM","midpoint_median",IF(G203="TRIANGLE",IF(ISNUMBER(L203),"mode",IF(ISNUMBER(J203),"source_median","missing")),IF(ISNUMBER(J203),"source_median",IF(ISNUMBER(K203),"source_mean","missing"))))))</f>
        <v/>
      </c>
      <c r="P203" s="18" t="n"/>
      <c r="Q203" s="18" t="n"/>
      <c r="R203" s="18" t="n"/>
      <c r="S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51" t="n"/>
      <c r="I204" s="51" t="n"/>
      <c r="J204" s="51" t="n"/>
      <c r="K204" s="51" t="n"/>
      <c r="L204" s="51" t="n"/>
      <c r="M204" s="51" t="n"/>
      <c r="N204" s="52">
        <f>IF(A204="","",IF(G204="FIXED",M204,IF(G204="UNIFORM",IF(AND(ISNUMBER(H204),ISNUMBER(I204)),(H204+I204)/2,""),IF(G204="TRIANGLE",IF(ISNUMBER(L204),L204,IF(ISNUMBER(J204),J204,"")),IF(ISNUMBER(J204),J204,IF(ISNUMBER(K204),K204,""))))))</f>
        <v/>
      </c>
      <c r="O204" s="32">
        <f>IF(A204="","",IF(G204="FIXED","fixed",IF(G204="UNIFORM","midpoint_median",IF(G204="TRIANGLE",IF(ISNUMBER(L204),"mode",IF(ISNUMBER(J204),"source_median","missing")),IF(ISNUMBER(J204),"source_median",IF(ISNUMBER(K204),"source_mean","missing"))))))</f>
        <v/>
      </c>
      <c r="P204" s="18" t="n"/>
      <c r="Q204" s="18" t="n"/>
      <c r="R204" s="18" t="n"/>
      <c r="S204" s="18" t="n"/>
    </row>
  </sheetData>
  <dataValidations count="2">
    <dataValidation sqref="G5:G204" showDropDown="0" showInputMessage="0" showErrorMessage="0" allowBlank="0" type="list">
      <formula1>"FIXED,UNIFORM,TRIANGLE,NORMAL,LOGNORMAL,UNSPECIFIED,OTHER"</formula1>
    </dataValidation>
    <dataValidation sqref="R5:R204" showDropDown="0" showInputMessage="0" showErrorMessage="0" allowBlank="0" type="list">
      <formula1>"原文值,可复算,待核实,排除,不适用"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0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8" customWidth="1" min="4" max="4"/>
    <col width="14" customWidth="1" min="5" max="5"/>
    <col width="16" customWidth="1" min="6" max="6"/>
    <col width="16" customWidth="1" min="7" max="7"/>
    <col width="24" customWidth="1" min="8" max="8"/>
    <col width="16" customWidth="1" min="9" max="9"/>
    <col width="14" customWidth="1" min="10" max="10"/>
    <col width="24" customWidth="1" min="11" max="11"/>
    <col width="14" customWidth="1" min="12" max="12"/>
    <col width="42" customWidth="1" min="13" max="13"/>
    <col width="42" customWidth="1" min="14" max="14"/>
    <col width="28" customWidth="1" min="15" max="15"/>
    <col width="16" customWidth="1" min="16" max="16"/>
    <col width="14" customWidth="1" min="17" max="17"/>
    <col width="22" customWidth="1" min="18" max="18"/>
    <col width="16" customWidth="1" min="19" max="19"/>
    <col width="26" customWidth="1" min="20" max="20"/>
    <col width="20" customWidth="1" min="21" max="21"/>
    <col width="18" customWidth="1" min="22" max="22"/>
    <col width="14" customWidth="1" min="23" max="23"/>
    <col width="32" customWidth="1" min="24" max="24"/>
    <col width="36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24" customHeight="1">
      <c r="A1" s="1" t="inlineStr">
        <is>
          <t>模型流与公式</t>
        </is>
      </c>
    </row>
    <row r="2" ht="24" customHeight="1">
      <c r="A2" s="2" t="inlineStr">
        <is>
          <t>一行一个模型流；物理流、环境交换、分配负担和替代候选必须区分。</t>
        </is>
      </c>
    </row>
    <row r="4" ht="28" customHeight="1">
      <c r="A4" s="14" t="inlineStr">
        <is>
          <t>流ID</t>
        </is>
      </c>
      <c r="B4" s="15" t="inlineStr">
        <is>
          <t>过程ID</t>
        </is>
      </c>
      <c r="C4" s="15" t="inlineStr">
        <is>
          <t>流名称</t>
        </is>
      </c>
      <c r="D4" s="15" t="inlineStr">
        <is>
          <t>流类别</t>
        </is>
      </c>
      <c r="E4" s="15" t="inlineStr">
        <is>
          <t>方向</t>
        </is>
      </c>
      <c r="F4" s="15" t="inlineStr">
        <is>
          <t>来源过程ID</t>
        </is>
      </c>
      <c r="G4" s="15" t="inlineStr">
        <is>
          <t>目标过程ID</t>
        </is>
      </c>
      <c r="H4" s="15" t="inlineStr">
        <is>
          <t>值类型</t>
        </is>
      </c>
      <c r="I4" s="15" t="inlineStr">
        <is>
          <t>原始登记值</t>
        </is>
      </c>
      <c r="J4" s="15" t="inlineStr">
        <is>
          <t>原始单位</t>
        </is>
      </c>
      <c r="K4" s="15" t="inlineStr">
        <is>
          <t>参考基准</t>
        </is>
      </c>
      <c r="L4" s="15" t="inlineStr">
        <is>
          <t>公式ID</t>
        </is>
      </c>
      <c r="M4" s="15" t="inlineStr">
        <is>
          <t>来源公式</t>
        </is>
      </c>
      <c r="N4" s="15" t="inlineStr">
        <is>
          <t>采用公式</t>
        </is>
      </c>
      <c r="O4" s="15" t="inlineStr">
        <is>
          <t>输入参数ID</t>
        </is>
      </c>
      <c r="P4" s="15" t="inlineStr">
        <is>
          <t>图示代表值</t>
        </is>
      </c>
      <c r="Q4" s="15" t="inlineStr">
        <is>
          <t>采用单位</t>
        </is>
      </c>
      <c r="R4" s="15" t="inlineStr">
        <is>
          <t>符号约定</t>
        </is>
      </c>
      <c r="S4" s="15" t="inlineStr">
        <is>
          <t>是否内部流</t>
        </is>
      </c>
      <c r="T4" s="15" t="inlineStr">
        <is>
          <t>方法采用状态</t>
        </is>
      </c>
      <c r="U4" s="15" t="inlineStr">
        <is>
          <t>来源ID</t>
        </is>
      </c>
      <c r="V4" s="15" t="inlineStr">
        <is>
          <t>审查状态</t>
        </is>
      </c>
      <c r="W4" s="15" t="inlineStr">
        <is>
          <t>是否显示</t>
        </is>
      </c>
      <c r="X4" s="15" t="inlineStr">
        <is>
          <t>显示标签</t>
        </is>
      </c>
      <c r="Y4" s="16" t="inlineStr">
        <is>
          <t>备注</t>
        </is>
      </c>
      <c r="Z4" s="42" t="inlineStr">
        <is>
          <t>采用候选ID</t>
        </is>
      </c>
      <c r="AA4" s="42" t="inlineStr">
        <is>
          <t>数值生成方式</t>
        </is>
      </c>
      <c r="AB4" s="42" t="inlineStr">
        <is>
          <t>原始计量基准</t>
        </is>
      </c>
      <c r="AC4" s="42" t="inlineStr">
        <is>
          <t>采用计量基准</t>
        </is>
      </c>
    </row>
    <row r="5">
      <c r="A5" s="18" t="inlineStr">
        <is>
          <t>F01</t>
        </is>
      </c>
      <c r="B5" s="18" t="inlineStr">
        <is>
          <t>M1</t>
        </is>
      </c>
      <c r="C5" s="18" t="inlineStr">
        <is>
          <t>大豆原料/干燥大豆</t>
        </is>
      </c>
      <c r="D5" s="18" t="inlineStr">
        <is>
          <t>物理流</t>
        </is>
      </c>
      <c r="E5" s="18" t="inlineStr">
        <is>
          <t>输入</t>
        </is>
      </c>
      <c r="F5" s="18" t="inlineStr"/>
      <c r="G5" s="18" t="inlineStr">
        <is>
          <t>M1</t>
        </is>
      </c>
      <c r="H5" s="18" t="inlineStr">
        <is>
          <t>physical_material</t>
        </is>
      </c>
      <c r="I5" s="51" t="n">
        <v>2.722899</v>
      </c>
      <c r="J5" s="18" t="inlineStr">
        <is>
          <t>kg</t>
        </is>
      </c>
      <c r="K5" s="18" t="inlineStr">
        <is>
          <t>1 kg SPI</t>
        </is>
      </c>
      <c r="L5" s="18" t="inlineStr">
        <is>
          <t>EQ-WF</t>
        </is>
      </c>
      <c r="M5" s="18" t="inlineStr">
        <is>
          <t>white flakes×1.27×1.08</t>
        </is>
      </c>
      <c r="N5" s="18" t="inlineStr">
        <is>
          <t>WF=(P01×P02/P03/P04)×P08×(1+P15)</t>
        </is>
      </c>
      <c r="O5" s="18" t="inlineStr">
        <is>
          <t>P01;P02;P03;P04;P08;P15</t>
        </is>
      </c>
      <c r="P5" s="52" t="n">
        <v>2.722899</v>
      </c>
      <c r="Q5" s="18" t="inlineStr">
        <is>
          <t>kg</t>
        </is>
      </c>
      <c r="R5" s="18" t="inlineStr">
        <is>
          <t>+</t>
        </is>
      </c>
      <c r="S5" s="18" t="inlineStr">
        <is>
          <t>否</t>
        </is>
      </c>
      <c r="T5" s="18" t="inlineStr">
        <is>
          <t>CLCA不分配-上游物理输入</t>
        </is>
      </c>
      <c r="U5" s="18" t="inlineStr">
        <is>
          <t>SRC-CLCA-AUDIT</t>
        </is>
      </c>
      <c r="V5" s="18" t="inlineStr">
        <is>
          <t>PASS</t>
        </is>
      </c>
      <c r="W5" s="18" t="inlineStr">
        <is>
          <t>是</t>
        </is>
      </c>
      <c r="X5" s="18" t="inlineStr">
        <is>
          <t>原始大豆 2.7229 kg</t>
        </is>
      </c>
      <c r="Y5" s="18" t="inlineStr">
        <is>
          <t>逐级反推（(1)版/runtime 口径）</t>
        </is>
      </c>
      <c r="AA5" t="inlineStr">
        <is>
          <t>公式派生</t>
        </is>
      </c>
      <c r="AB5" t="inlineStr">
        <is>
          <t>kg/kg 白豆片</t>
        </is>
      </c>
      <c r="AC5" t="inlineStr">
        <is>
          <t>kg/kg SPI</t>
        </is>
      </c>
    </row>
    <row r="6">
      <c r="A6" s="18" t="inlineStr">
        <is>
          <t>F02</t>
        </is>
      </c>
      <c r="B6" s="18" t="inlineStr">
        <is>
          <t>M1</t>
        </is>
      </c>
      <c r="C6" s="18" t="inlineStr">
        <is>
          <t>脱皮大豆</t>
        </is>
      </c>
      <c r="D6" s="18" t="inlineStr">
        <is>
          <t>物理流</t>
        </is>
      </c>
      <c r="E6" s="18" t="inlineStr">
        <is>
          <t>输出</t>
        </is>
      </c>
      <c r="F6" s="18" t="inlineStr">
        <is>
          <t>M1</t>
        </is>
      </c>
      <c r="G6" s="18" t="inlineStr">
        <is>
          <t>M2</t>
        </is>
      </c>
      <c r="H6" s="18" t="inlineStr">
        <is>
          <t>physical_material</t>
        </is>
      </c>
      <c r="I6" s="51" t="n">
        <v>2.521203</v>
      </c>
      <c r="J6" s="18" t="inlineStr">
        <is>
          <t>kg</t>
        </is>
      </c>
      <c r="K6" s="18" t="inlineStr">
        <is>
          <t>1 kg SPI</t>
        </is>
      </c>
      <c r="L6" s="18" t="inlineStr">
        <is>
          <t>EQ-WF</t>
        </is>
      </c>
      <c r="M6" s="18" t="inlineStr">
        <is>
          <t>WF×P08</t>
        </is>
      </c>
      <c r="N6" s="18" t="inlineStr">
        <is>
          <t>WF=(P01×P02/P03/P04)×P08</t>
        </is>
      </c>
      <c r="O6" s="18" t="inlineStr">
        <is>
          <t>P01;P02;P03;P04;P08</t>
        </is>
      </c>
      <c r="P6" s="52" t="n">
        <v>2.521203</v>
      </c>
      <c r="Q6" s="18" t="inlineStr">
        <is>
          <t>kg</t>
        </is>
      </c>
      <c r="R6" s="18" t="inlineStr">
        <is>
          <t>+</t>
        </is>
      </c>
      <c r="S6" s="18" t="inlineStr">
        <is>
          <t>是</t>
        </is>
      </c>
      <c r="T6" s="18" t="inlineStr">
        <is>
          <t>CLCA不分配-内部主物流</t>
        </is>
      </c>
      <c r="U6" s="18" t="inlineStr">
        <is>
          <t>SRC-CLCA-AUDIT</t>
        </is>
      </c>
      <c r="V6" s="18" t="inlineStr">
        <is>
          <t>PASS</t>
        </is>
      </c>
      <c r="W6" s="18" t="inlineStr">
        <is>
          <t>是</t>
        </is>
      </c>
      <c r="X6" s="18" t="inlineStr">
        <is>
          <t>去壳大豆 2.5212 kg</t>
        </is>
      </c>
      <c r="Y6" s="18" t="inlineStr">
        <is>
          <t>跨模块只出现一次</t>
        </is>
      </c>
      <c r="AA6" t="inlineStr">
        <is>
          <t>公式派生</t>
        </is>
      </c>
      <c r="AB6" t="inlineStr">
        <is>
          <t>kg/kg SPI</t>
        </is>
      </c>
      <c r="AC6" t="inlineStr">
        <is>
          <t>kg/kg SPI</t>
        </is>
      </c>
    </row>
    <row r="7">
      <c r="A7" s="18" t="inlineStr">
        <is>
          <t>F03</t>
        </is>
      </c>
      <c r="B7" s="18" t="inlineStr">
        <is>
          <t>M1</t>
        </is>
      </c>
      <c r="C7" s="18" t="inlineStr">
        <is>
          <t>豆皮 hulls</t>
        </is>
      </c>
      <c r="D7" s="18" t="inlineStr">
        <is>
          <t>物理流</t>
        </is>
      </c>
      <c r="E7" s="18" t="inlineStr">
        <is>
          <t>输出</t>
        </is>
      </c>
      <c r="F7" s="18" t="inlineStr">
        <is>
          <t>M1</t>
        </is>
      </c>
      <c r="G7" s="18" t="inlineStr"/>
      <c r="H7" s="18" t="inlineStr">
        <is>
          <t>physical_material</t>
        </is>
      </c>
      <c r="I7" s="51" t="n">
        <v>0.201696</v>
      </c>
      <c r="J7" s="18" t="inlineStr">
        <is>
          <t>kg</t>
        </is>
      </c>
      <c r="K7" s="18" t="inlineStr">
        <is>
          <t>1 kg SPI</t>
        </is>
      </c>
      <c r="L7" s="18" t="inlineStr">
        <is>
          <t>EQ-HULLS</t>
        </is>
      </c>
      <c r="M7" s="18" t="inlineStr">
        <is>
          <t>WF×P08×P15</t>
        </is>
      </c>
      <c r="N7" s="18" t="inlineStr">
        <is>
          <t>hulls=WF×1.27×0.08</t>
        </is>
      </c>
      <c r="O7" s="18" t="inlineStr">
        <is>
          <t>P01;P02;P03;P04;P08;P15</t>
        </is>
      </c>
      <c r="P7" s="52" t="n">
        <v>0.201696</v>
      </c>
      <c r="Q7" s="18" t="inlineStr">
        <is>
          <t>kg</t>
        </is>
      </c>
      <c r="R7" s="18" t="inlineStr">
        <is>
          <t>+</t>
        </is>
      </c>
      <c r="S7" s="18" t="inlineStr">
        <is>
          <t>否</t>
        </is>
      </c>
      <c r="T7" s="18" t="inlineStr">
        <is>
          <t>共产品显式保留-替代接口未定义</t>
        </is>
      </c>
      <c r="U7" s="18" t="inlineStr">
        <is>
          <t>SRC-XLS-OLD</t>
        </is>
      </c>
      <c r="V7" s="18" t="inlineStr">
        <is>
          <t>PASS</t>
        </is>
      </c>
      <c r="W7" s="18" t="inlineStr">
        <is>
          <t>是</t>
        </is>
      </c>
      <c r="X7" s="18" t="inlineStr">
        <is>
          <t>豆壳 0.2017 kg</t>
        </is>
      </c>
      <c r="Y7" s="18" t="inlineStr"/>
      <c r="AA7" t="inlineStr">
        <is>
          <t>公式派生</t>
        </is>
      </c>
      <c r="AB7" t="inlineStr">
        <is>
          <t>kg/kg 脱皮大豆</t>
        </is>
      </c>
      <c r="AC7" t="inlineStr">
        <is>
          <t>kg/kg SPI</t>
        </is>
      </c>
    </row>
    <row r="8">
      <c r="A8" s="18" t="inlineStr">
        <is>
          <t>F04</t>
        </is>
      </c>
      <c r="B8" s="18" t="inlineStr">
        <is>
          <t>M1</t>
        </is>
      </c>
      <c r="C8" s="18" t="inlineStr">
        <is>
          <t>电力</t>
        </is>
      </c>
      <c r="D8" s="18" t="inlineStr">
        <is>
          <t>能源</t>
        </is>
      </c>
      <c r="E8" s="18" t="inlineStr">
        <is>
          <t>输入</t>
        </is>
      </c>
      <c r="F8" s="18" t="inlineStr"/>
      <c r="G8" s="18" t="inlineStr">
        <is>
          <t>M1</t>
        </is>
      </c>
      <c r="H8" s="18" t="inlineStr">
        <is>
          <t>physical_energy</t>
        </is>
      </c>
      <c r="I8" s="51" t="n">
        <v>0.016388</v>
      </c>
      <c r="J8" s="18" t="inlineStr">
        <is>
          <t>kWh</t>
        </is>
      </c>
      <c r="K8" s="18" t="inlineStr">
        <is>
          <t>1 kg SPI</t>
        </is>
      </c>
      <c r="L8" s="18" t="inlineStr">
        <is>
          <t>EQ-E1</t>
        </is>
      </c>
      <c r="M8" s="18" t="inlineStr">
        <is>
          <t>脱皮豆×23.4/3600</t>
        </is>
      </c>
      <c r="N8" s="18" t="inlineStr">
        <is>
          <t>E1=WF×P08×P16/3600</t>
        </is>
      </c>
      <c r="O8" s="18" t="inlineStr">
        <is>
          <t>P16</t>
        </is>
      </c>
      <c r="P8" s="52" t="n">
        <v>0.016387818</v>
      </c>
      <c r="Q8" s="18" t="inlineStr">
        <is>
          <t>kWh</t>
        </is>
      </c>
      <c r="R8" s="18" t="inlineStr">
        <is>
          <t>+</t>
        </is>
      </c>
      <c r="S8" s="18" t="inlineStr">
        <is>
          <t>否</t>
        </is>
      </c>
      <c r="T8" s="18" t="inlineStr">
        <is>
          <t>CLCA不分配-模块总量</t>
        </is>
      </c>
      <c r="U8" s="18" t="inlineStr">
        <is>
          <t>SRC-XLS-OLD</t>
        </is>
      </c>
      <c r="V8" s="18" t="inlineStr">
        <is>
          <t>PASS</t>
        </is>
      </c>
      <c r="W8" s="18" t="inlineStr">
        <is>
          <t>是</t>
        </is>
      </c>
      <c r="X8" s="18" t="inlineStr">
        <is>
          <t>电力 0.01639 kWh</t>
        </is>
      </c>
      <c r="Y8" s="18" t="inlineStr"/>
      <c r="AA8" t="inlineStr">
        <is>
          <t>公式派生</t>
        </is>
      </c>
      <c r="AB8" t="inlineStr">
        <is>
          <t>kJ/kg 脱皮大豆</t>
        </is>
      </c>
      <c r="AC8" t="inlineStr">
        <is>
          <t>kWh/kg SPI</t>
        </is>
      </c>
    </row>
    <row r="9">
      <c r="A9" s="18" t="inlineStr">
        <is>
          <t>F05</t>
        </is>
      </c>
      <c r="B9" s="18" t="inlineStr">
        <is>
          <t>M2</t>
        </is>
      </c>
      <c r="C9" s="18" t="inlineStr">
        <is>
          <t>工艺水</t>
        </is>
      </c>
      <c r="D9" s="18" t="inlineStr">
        <is>
          <t>物理流</t>
        </is>
      </c>
      <c r="E9" s="18" t="inlineStr">
        <is>
          <t>输入</t>
        </is>
      </c>
      <c r="F9" s="18" t="inlineStr"/>
      <c r="G9" s="18" t="inlineStr">
        <is>
          <t>M2</t>
        </is>
      </c>
      <c r="H9" s="18" t="inlineStr">
        <is>
          <t>physical_material</t>
        </is>
      </c>
      <c r="I9" s="51" t="n">
        <v>0.62507</v>
      </c>
      <c r="J9" s="18" t="inlineStr">
        <is>
          <t>kg≈L</t>
        </is>
      </c>
      <c r="K9" s="18" t="inlineStr">
        <is>
          <t>1 kg SPI</t>
        </is>
      </c>
      <c r="L9" s="18" t="inlineStr">
        <is>
          <t>EQ-W2</t>
        </is>
      </c>
      <c r="M9" s="18" t="inlineStr">
        <is>
          <t>WF×P09</t>
        </is>
      </c>
      <c r="N9" s="18" t="inlineStr">
        <is>
          <t>W2=WF×P09</t>
        </is>
      </c>
      <c r="O9" s="18" t="inlineStr">
        <is>
          <t>P09</t>
        </is>
      </c>
      <c r="P9" s="52" t="n">
        <v>0.62507</v>
      </c>
      <c r="Q9" s="18" t="inlineStr">
        <is>
          <t>kg</t>
        </is>
      </c>
      <c r="R9" s="18" t="inlineStr">
        <is>
          <t>+</t>
        </is>
      </c>
      <c r="S9" s="18" t="inlineStr">
        <is>
          <t>否</t>
        </is>
      </c>
      <c r="T9" s="18" t="inlineStr">
        <is>
          <t>CLCA不分配-模块代表值</t>
        </is>
      </c>
      <c r="U9" s="18" t="inlineStr">
        <is>
          <t>SRC-XLS-OLD</t>
        </is>
      </c>
      <c r="V9" s="18" t="inlineStr">
        <is>
          <t>PASS_WITH_NOTE</t>
        </is>
      </c>
      <c r="W9" s="18" t="inlineStr">
        <is>
          <t>是</t>
        </is>
      </c>
      <c r="X9" s="18" t="inlineStr">
        <is>
          <t>工艺水 0.6251 kg</t>
        </is>
      </c>
      <c r="Y9" s="18" t="inlineStr">
        <is>
          <t>原模型代表值，不宣称严格水平衡（Q10 水口径）</t>
        </is>
      </c>
      <c r="AA9" t="inlineStr">
        <is>
          <t>公式派生</t>
        </is>
      </c>
      <c r="AB9" t="inlineStr">
        <is>
          <t>l/kg 白豆片</t>
        </is>
      </c>
      <c r="AC9" t="inlineStr">
        <is>
          <t>kg/kg SPI</t>
        </is>
      </c>
    </row>
    <row r="10">
      <c r="A10" s="18" t="inlineStr">
        <is>
          <t>F06</t>
        </is>
      </c>
      <c r="B10" s="18" t="inlineStr">
        <is>
          <t>M2</t>
        </is>
      </c>
      <c r="C10" s="18" t="inlineStr">
        <is>
          <t>fresh hexane</t>
        </is>
      </c>
      <c r="D10" s="18" t="inlineStr">
        <is>
          <t>物理流</t>
        </is>
      </c>
      <c r="E10" s="18" t="inlineStr">
        <is>
          <t>输入</t>
        </is>
      </c>
      <c r="F10" s="18" t="inlineStr"/>
      <c r="G10" s="18" t="inlineStr">
        <is>
          <t>M2</t>
        </is>
      </c>
      <c r="H10" s="18" t="inlineStr">
        <is>
          <t>physical_material</t>
        </is>
      </c>
      <c r="I10" s="51" t="n">
        <v>0.002728</v>
      </c>
      <c r="J10" s="18" t="inlineStr">
        <is>
          <t>kg</t>
        </is>
      </c>
      <c r="K10" s="18" t="inlineStr">
        <is>
          <t>1 kg SPI</t>
        </is>
      </c>
      <c r="L10" s="18" t="inlineStr">
        <is>
          <t>EQ-HEX</t>
        </is>
      </c>
      <c r="M10" s="18" t="inlineStr">
        <is>
          <t>WF×P11</t>
        </is>
      </c>
      <c r="N10" s="18" t="inlineStr">
        <is>
          <t>hex=WF×P11</t>
        </is>
      </c>
      <c r="O10" s="18" t="inlineStr">
        <is>
          <t>P11</t>
        </is>
      </c>
      <c r="P10" s="52" t="n">
        <v>0.002728</v>
      </c>
      <c r="Q10" s="18" t="inlineStr">
        <is>
          <t>kg</t>
        </is>
      </c>
      <c r="R10" s="18" t="inlineStr">
        <is>
          <t>+</t>
        </is>
      </c>
      <c r="S10" s="18" t="inlineStr">
        <is>
          <t>否</t>
        </is>
      </c>
      <c r="T10" s="18" t="inlineStr">
        <is>
          <t>CLCA不分配-净补充量</t>
        </is>
      </c>
      <c r="U10" s="18" t="inlineStr">
        <is>
          <t>SRC-XLS-OLD</t>
        </is>
      </c>
      <c r="V10" s="18" t="inlineStr">
        <is>
          <t>PASS_WITH_NOTE</t>
        </is>
      </c>
      <c r="W10" s="18" t="inlineStr">
        <is>
          <t>是</t>
        </is>
      </c>
      <c r="X10" s="18" t="inlineStr">
        <is>
          <t>新鲜正己烷 0.002728 kg</t>
        </is>
      </c>
      <c r="Y10" s="18" t="inlineStr">
        <is>
          <t>内部循环不作为外部输入；compartment 待映射（Q06）</t>
        </is>
      </c>
      <c r="AA10" t="inlineStr">
        <is>
          <t>公式派生</t>
        </is>
      </c>
      <c r="AB10" t="inlineStr">
        <is>
          <t>kg/kg 白豆片</t>
        </is>
      </c>
      <c r="AC10" t="inlineStr">
        <is>
          <t>kg/kg SPI</t>
        </is>
      </c>
    </row>
    <row r="11">
      <c r="A11" s="18" t="inlineStr">
        <is>
          <t>F07</t>
        </is>
      </c>
      <c r="B11" s="18" t="inlineStr">
        <is>
          <t>M2</t>
        </is>
      </c>
      <c r="C11" s="18" t="inlineStr">
        <is>
          <t>电力</t>
        </is>
      </c>
      <c r="D11" s="18" t="inlineStr">
        <is>
          <t>能源</t>
        </is>
      </c>
      <c r="E11" s="18" t="inlineStr">
        <is>
          <t>输入</t>
        </is>
      </c>
      <c r="F11" s="18" t="inlineStr"/>
      <c r="G11" s="18" t="inlineStr">
        <is>
          <t>M2</t>
        </is>
      </c>
      <c r="H11" s="18" t="inlineStr">
        <is>
          <t>physical_energy</t>
        </is>
      </c>
      <c r="I11" s="51" t="n">
        <v>0.078847</v>
      </c>
      <c r="J11" s="18" t="inlineStr">
        <is>
          <t>kWh</t>
        </is>
      </c>
      <c r="K11" s="18" t="inlineStr">
        <is>
          <t>1 kg SPI</t>
        </is>
      </c>
      <c r="L11" s="18" t="inlineStr">
        <is>
          <t>EQ-E2</t>
        </is>
      </c>
      <c r="M11" s="18" t="inlineStr">
        <is>
          <t>WF×P12/3600</t>
        </is>
      </c>
      <c r="N11" s="18" t="inlineStr">
        <is>
          <t>E2=WF×P12/3600</t>
        </is>
      </c>
      <c r="O11" s="18" t="inlineStr">
        <is>
          <t>P12</t>
        </is>
      </c>
      <c r="P11" s="52" t="n">
        <v>0.07884711899999999</v>
      </c>
      <c r="Q11" s="18" t="inlineStr">
        <is>
          <t>kWh</t>
        </is>
      </c>
      <c r="R11" s="18" t="inlineStr">
        <is>
          <t>+</t>
        </is>
      </c>
      <c r="S11" s="18" t="inlineStr">
        <is>
          <t>否</t>
        </is>
      </c>
      <c r="T11" s="18" t="inlineStr">
        <is>
          <t>CLCA不分配-模块总量</t>
        </is>
      </c>
      <c r="U11" s="18" t="inlineStr">
        <is>
          <t>SRC-XLS-OLD</t>
        </is>
      </c>
      <c r="V11" s="18" t="inlineStr">
        <is>
          <t>PASS</t>
        </is>
      </c>
      <c r="W11" s="18" t="inlineStr">
        <is>
          <t>是</t>
        </is>
      </c>
      <c r="X11" s="18" t="inlineStr">
        <is>
          <t>电力 0.07885 kWh</t>
        </is>
      </c>
      <c r="Y11" s="18" t="inlineStr">
        <is>
          <t>模块总值，不拆到工序（Sheehan 占比仅解释）</t>
        </is>
      </c>
      <c r="AA11" t="inlineStr">
        <is>
          <t>公式派生</t>
        </is>
      </c>
      <c r="AB11" t="inlineStr">
        <is>
          <t>kJ/kg 白豆片</t>
        </is>
      </c>
      <c r="AC11" t="inlineStr">
        <is>
          <t>kWh/kg SPI</t>
        </is>
      </c>
    </row>
    <row r="12">
      <c r="A12" s="18" t="inlineStr">
        <is>
          <t>F08</t>
        </is>
      </c>
      <c r="B12" s="18" t="inlineStr">
        <is>
          <t>M2</t>
        </is>
      </c>
      <c r="C12" s="18" t="inlineStr">
        <is>
          <t>热量</t>
        </is>
      </c>
      <c r="D12" s="18" t="inlineStr">
        <is>
          <t>能源</t>
        </is>
      </c>
      <c r="E12" s="18" t="inlineStr">
        <is>
          <t>输入</t>
        </is>
      </c>
      <c r="F12" s="18" t="inlineStr"/>
      <c r="G12" s="18" t="inlineStr">
        <is>
          <t>M2</t>
        </is>
      </c>
      <c r="H12" s="18" t="inlineStr">
        <is>
          <t>physical_energy</t>
        </is>
      </c>
      <c r="I12" s="51" t="n">
        <v>1.889747</v>
      </c>
      <c r="J12" s="18" t="inlineStr">
        <is>
          <t>MJ</t>
        </is>
      </c>
      <c r="K12" s="18" t="inlineStr">
        <is>
          <t>1 kg SPI</t>
        </is>
      </c>
      <c r="L12" s="18" t="inlineStr">
        <is>
          <t>EQ-H2</t>
        </is>
      </c>
      <c r="M12" s="18" t="inlineStr">
        <is>
          <t>WF×P13/1000</t>
        </is>
      </c>
      <c r="N12" s="18" t="inlineStr">
        <is>
          <t>H2=WF×P13/1000</t>
        </is>
      </c>
      <c r="O12" s="18" t="inlineStr">
        <is>
          <t>P13</t>
        </is>
      </c>
      <c r="P12" s="52" t="n">
        <v>1.889746603</v>
      </c>
      <c r="Q12" s="18" t="inlineStr">
        <is>
          <t>MJ</t>
        </is>
      </c>
      <c r="R12" s="18" t="inlineStr">
        <is>
          <t>+</t>
        </is>
      </c>
      <c r="S12" s="18" t="inlineStr">
        <is>
          <t>否</t>
        </is>
      </c>
      <c r="T12" s="18" t="inlineStr">
        <is>
          <t>CLCA不分配-模块总量</t>
        </is>
      </c>
      <c r="U12" s="18" t="inlineStr">
        <is>
          <t>SRC-XLS-OLD</t>
        </is>
      </c>
      <c r="V12" s="18" t="inlineStr">
        <is>
          <t>PASS</t>
        </is>
      </c>
      <c r="W12" s="18" t="inlineStr">
        <is>
          <t>是</t>
        </is>
      </c>
      <c r="X12" s="18" t="inlineStr">
        <is>
          <t>热 1.88975 MJ</t>
        </is>
      </c>
      <c r="Y12" s="18" t="inlineStr"/>
      <c r="AA12" t="inlineStr">
        <is>
          <t>公式派生</t>
        </is>
      </c>
      <c r="AB12" t="inlineStr">
        <is>
          <t>kJ/kg 白豆片</t>
        </is>
      </c>
      <c r="AC12" t="inlineStr">
        <is>
          <t>MJ/kg SPI</t>
        </is>
      </c>
    </row>
    <row r="13">
      <c r="A13" s="18" t="inlineStr">
        <is>
          <t>F09</t>
        </is>
      </c>
      <c r="B13" s="18" t="inlineStr">
        <is>
          <t>M2</t>
        </is>
      </c>
      <c r="C13" s="18" t="inlineStr">
        <is>
          <t>white flakes</t>
        </is>
      </c>
      <c r="D13" s="18" t="inlineStr">
        <is>
          <t>物理流</t>
        </is>
      </c>
      <c r="E13" s="18" t="inlineStr">
        <is>
          <t>输出</t>
        </is>
      </c>
      <c r="F13" s="18" t="inlineStr">
        <is>
          <t>M2</t>
        </is>
      </c>
      <c r="G13" s="18" t="inlineStr">
        <is>
          <t>M3</t>
        </is>
      </c>
      <c r="H13" s="18" t="inlineStr">
        <is>
          <t>physical_material</t>
        </is>
      </c>
      <c r="I13" s="51" t="n">
        <v>1.985199</v>
      </c>
      <c r="J13" s="18" t="inlineStr">
        <is>
          <t>kg</t>
        </is>
      </c>
      <c r="K13" s="18" t="inlineStr">
        <is>
          <t>1 kg SPI</t>
        </is>
      </c>
      <c r="L13" s="18" t="inlineStr">
        <is>
          <t>EQ-WF</t>
        </is>
      </c>
      <c r="M13" s="18" t="inlineStr">
        <is>
          <t>0.95×0.929/(0.7535×0.59)</t>
        </is>
      </c>
      <c r="N13" s="18" t="inlineStr">
        <is>
          <t>WF=P01×P02/P03/P04</t>
        </is>
      </c>
      <c r="O13" s="18" t="inlineStr">
        <is>
          <t>P01;P02;P03;P04</t>
        </is>
      </c>
      <c r="P13" s="52" t="n">
        <v>1.985199</v>
      </c>
      <c r="Q13" s="18" t="inlineStr">
        <is>
          <t>kg</t>
        </is>
      </c>
      <c r="R13" s="18" t="inlineStr">
        <is>
          <t>+</t>
        </is>
      </c>
      <c r="S13" s="18" t="inlineStr">
        <is>
          <t>是</t>
        </is>
      </c>
      <c r="T13" s="18" t="inlineStr">
        <is>
          <t>CLCA不分配-内部主物流</t>
        </is>
      </c>
      <c r="U13" s="18" t="inlineStr">
        <is>
          <t>SRC-XLS-OLD</t>
        </is>
      </c>
      <c r="V13" s="18" t="inlineStr">
        <is>
          <t>PASS</t>
        </is>
      </c>
      <c r="W13" s="18" t="inlineStr">
        <is>
          <t>是</t>
        </is>
      </c>
      <c r="X13" s="18" t="inlineStr">
        <is>
          <t>白豆片 1.9852 kg</t>
        </is>
      </c>
      <c r="Y13" s="18" t="inlineStr">
        <is>
          <t>跨模块只出现一次</t>
        </is>
      </c>
      <c r="AA13" t="inlineStr">
        <is>
          <t>公式派生</t>
        </is>
      </c>
      <c r="AB13" t="inlineStr">
        <is>
          <t>kg/kg SPI</t>
        </is>
      </c>
      <c r="AC13" t="inlineStr">
        <is>
          <t>kg/kg SPI</t>
        </is>
      </c>
    </row>
    <row r="14">
      <c r="A14" s="18" t="inlineStr">
        <is>
          <t>F10</t>
        </is>
      </c>
      <c r="B14" s="18" t="inlineStr">
        <is>
          <t>M2</t>
        </is>
      </c>
      <c r="C14" s="18" t="inlineStr">
        <is>
          <t>豆油</t>
        </is>
      </c>
      <c r="D14" s="18" t="inlineStr">
        <is>
          <t>物理流</t>
        </is>
      </c>
      <c r="E14" s="18" t="inlineStr">
        <is>
          <t>输出</t>
        </is>
      </c>
      <c r="F14" s="18" t="inlineStr">
        <is>
          <t>M2</t>
        </is>
      </c>
      <c r="G14" s="18" t="inlineStr"/>
      <c r="H14" s="18" t="inlineStr">
        <is>
          <t>physical_material</t>
        </is>
      </c>
      <c r="I14" s="51" t="n">
        <v>0.476448</v>
      </c>
      <c r="J14" s="18" t="inlineStr">
        <is>
          <t>kg</t>
        </is>
      </c>
      <c r="K14" s="18" t="inlineStr">
        <is>
          <t>1 kg SPI</t>
        </is>
      </c>
      <c r="L14" s="18" t="inlineStr">
        <is>
          <t>EQ-OIL</t>
        </is>
      </c>
      <c r="M14" s="18" t="inlineStr">
        <is>
          <t>WF×P14</t>
        </is>
      </c>
      <c r="N14" s="18" t="inlineStr">
        <is>
          <t>oil=WF×P14</t>
        </is>
      </c>
      <c r="O14" s="18" t="inlineStr">
        <is>
          <t>P14</t>
        </is>
      </c>
      <c r="P14" s="52" t="n">
        <v>0.476448</v>
      </c>
      <c r="Q14" s="18" t="inlineStr">
        <is>
          <t>kg</t>
        </is>
      </c>
      <c r="R14" s="18" t="inlineStr">
        <is>
          <t>+</t>
        </is>
      </c>
      <c r="S14" s="18" t="inlineStr">
        <is>
          <t>否</t>
        </is>
      </c>
      <c r="T14" s="18" t="inlineStr">
        <is>
          <t>共产品显式保留-替代接口未定义</t>
        </is>
      </c>
      <c r="U14" s="18" t="inlineStr">
        <is>
          <t>SRC-XLS-OLD</t>
        </is>
      </c>
      <c r="V14" s="18" t="inlineStr">
        <is>
          <t>PASS</t>
        </is>
      </c>
      <c r="W14" s="18" t="inlineStr">
        <is>
          <t>是</t>
        </is>
      </c>
      <c r="X14" s="18" t="inlineStr">
        <is>
          <t>豆油 0.4764 kg</t>
        </is>
      </c>
      <c r="Y14" s="18" t="inlineStr"/>
      <c r="AA14" t="inlineStr">
        <is>
          <t>公式派生</t>
        </is>
      </c>
      <c r="AB14" t="inlineStr">
        <is>
          <t>kg/kg 白豆片</t>
        </is>
      </c>
      <c r="AC14" t="inlineStr">
        <is>
          <t>kg/kg SPI</t>
        </is>
      </c>
    </row>
    <row r="15">
      <c r="A15" s="18" t="inlineStr">
        <is>
          <t>F11</t>
        </is>
      </c>
      <c r="B15" s="18" t="inlineStr">
        <is>
          <t>M2</t>
        </is>
      </c>
      <c r="C15" s="18" t="inlineStr">
        <is>
          <t>废水</t>
        </is>
      </c>
      <c r="D15" s="18" t="inlineStr">
        <is>
          <t>物理流</t>
        </is>
      </c>
      <c r="E15" s="18" t="inlineStr">
        <is>
          <t>输出</t>
        </is>
      </c>
      <c r="F15" s="18" t="inlineStr">
        <is>
          <t>M2</t>
        </is>
      </c>
      <c r="G15" s="18" t="inlineStr"/>
      <c r="H15" s="18" t="inlineStr">
        <is>
          <t>physical_material</t>
        </is>
      </c>
      <c r="I15" s="51" t="n">
        <v>0.62507</v>
      </c>
      <c r="J15" s="18" t="inlineStr">
        <is>
          <t>kg≈L</t>
        </is>
      </c>
      <c r="K15" s="18" t="inlineStr">
        <is>
          <t>1 kg SPI</t>
        </is>
      </c>
      <c r="L15" s="18" t="inlineStr">
        <is>
          <t>EQ-WW2</t>
        </is>
      </c>
      <c r="M15" s="18" t="inlineStr">
        <is>
          <t>WF×P10</t>
        </is>
      </c>
      <c r="N15" s="18" t="inlineStr">
        <is>
          <t>ww=WF×P10</t>
        </is>
      </c>
      <c r="O15" s="18" t="inlineStr">
        <is>
          <t>P10</t>
        </is>
      </c>
      <c r="P15" s="52" t="n">
        <v>0.62507</v>
      </c>
      <c r="Q15" s="18" t="inlineStr">
        <is>
          <t>kg</t>
        </is>
      </c>
      <c r="R15" s="18" t="inlineStr">
        <is>
          <t>+</t>
        </is>
      </c>
      <c r="S15" s="18" t="inlineStr">
        <is>
          <t>否</t>
        </is>
      </c>
      <c r="T15" s="18" t="inlineStr">
        <is>
          <t>CLCA不分配-模块代表值</t>
        </is>
      </c>
      <c r="U15" s="18" t="inlineStr">
        <is>
          <t>SRC-XLS-OLD</t>
        </is>
      </c>
      <c r="V15" s="18" t="inlineStr">
        <is>
          <t>PASS_WITH_NOTE</t>
        </is>
      </c>
      <c r="W15" s="18" t="inlineStr">
        <is>
          <t>是</t>
        </is>
      </c>
      <c r="X15" s="18" t="inlineStr">
        <is>
          <t>工艺废水 0.6251 kg</t>
        </is>
      </c>
      <c r="Y15" s="18" t="inlineStr">
        <is>
          <t>与水输入同值，模块代表值</t>
        </is>
      </c>
      <c r="AA15" t="inlineStr">
        <is>
          <t>公式派生</t>
        </is>
      </c>
      <c r="AB15" t="inlineStr">
        <is>
          <t>l/kg 白豆片</t>
        </is>
      </c>
      <c r="AC15" t="inlineStr">
        <is>
          <t>kg/kg SPI</t>
        </is>
      </c>
    </row>
    <row r="16">
      <c r="A16" s="18" t="inlineStr">
        <is>
          <t>F12</t>
        </is>
      </c>
      <c r="B16" s="18" t="inlineStr">
        <is>
          <t>M2</t>
        </is>
      </c>
      <c r="C16" s="18" t="inlineStr">
        <is>
          <t>己烷排放</t>
        </is>
      </c>
      <c r="D16" s="18" t="inlineStr">
        <is>
          <t>环境排放</t>
        </is>
      </c>
      <c r="E16" s="18" t="inlineStr">
        <is>
          <t>输出</t>
        </is>
      </c>
      <c r="F16" s="18" t="inlineStr">
        <is>
          <t>M2</t>
        </is>
      </c>
      <c r="G16" s="18" t="inlineStr"/>
      <c r="H16" s="18" t="inlineStr">
        <is>
          <t>environment_exchange</t>
        </is>
      </c>
      <c r="I16" s="51" t="n">
        <v>0.002728</v>
      </c>
      <c r="J16" s="18" t="inlineStr">
        <is>
          <t>kg</t>
        </is>
      </c>
      <c r="K16" s="18" t="inlineStr">
        <is>
          <t>1 kg SPI</t>
        </is>
      </c>
      <c r="L16" s="18" t="inlineStr">
        <is>
          <t>EQ-HEM</t>
        </is>
      </c>
      <c r="M16" s="18" t="inlineStr">
        <is>
          <t>WF×P11</t>
        </is>
      </c>
      <c r="N16" s="18" t="inlineStr">
        <is>
          <t>hem=WF×P11（输入=损失假设）</t>
        </is>
      </c>
      <c r="O16" s="18" t="inlineStr">
        <is>
          <t>P11</t>
        </is>
      </c>
      <c r="P16" s="52" t="n">
        <v>0.002728</v>
      </c>
      <c r="Q16" s="18" t="inlineStr">
        <is>
          <t>kg</t>
        </is>
      </c>
      <c r="R16" s="18" t="inlineStr">
        <is>
          <t>+（源公式 wastewater 用 -1 为软件约定）</t>
        </is>
      </c>
      <c r="S16" s="18" t="inlineStr">
        <is>
          <t>否</t>
        </is>
      </c>
      <c r="T16" s="18" t="inlineStr">
        <is>
          <t>CLCA不分配-排放</t>
        </is>
      </c>
      <c r="U16" s="18" t="inlineStr">
        <is>
          <t>SRC-XLS-OLD</t>
        </is>
      </c>
      <c r="V16" s="18" t="inlineStr">
        <is>
          <t>PASS_WITH_NOTE</t>
        </is>
      </c>
      <c r="W16" s="18" t="inlineStr">
        <is>
          <t>是</t>
        </is>
      </c>
      <c r="X16" s="18" t="inlineStr">
        <is>
          <t>正己烷排放 0.002728 kg</t>
        </is>
      </c>
      <c r="Y16" s="18" t="inlineStr">
        <is>
          <t>排放介质待数据库映射（Q06）</t>
        </is>
      </c>
      <c r="AA16" t="inlineStr">
        <is>
          <t>公式派生</t>
        </is>
      </c>
      <c r="AB16" t="inlineStr">
        <is>
          <t>kg/kg 白豆片</t>
        </is>
      </c>
      <c r="AC16" t="inlineStr">
        <is>
          <t>kg/kg SPI</t>
        </is>
      </c>
    </row>
    <row r="17">
      <c r="A17" s="18" t="inlineStr">
        <is>
          <t>F13</t>
        </is>
      </c>
      <c r="B17" s="18" t="inlineStr">
        <is>
          <t>M3</t>
        </is>
      </c>
      <c r="C17" s="18" t="inlineStr">
        <is>
          <t>浸提步骤加水</t>
        </is>
      </c>
      <c r="D17" s="18" t="inlineStr">
        <is>
          <t>物理流</t>
        </is>
      </c>
      <c r="E17" s="18" t="inlineStr">
        <is>
          <t>输入</t>
        </is>
      </c>
      <c r="F17" s="18" t="inlineStr"/>
      <c r="G17" s="18" t="inlineStr">
        <is>
          <t>M3</t>
        </is>
      </c>
      <c r="H17" s="18" t="inlineStr">
        <is>
          <t>physical_material</t>
        </is>
      </c>
      <c r="I17" s="51" t="n">
        <v>19.85199</v>
      </c>
      <c r="J17" s="18" t="inlineStr">
        <is>
          <t>kg</t>
        </is>
      </c>
      <c r="K17" s="18" t="inlineStr">
        <is>
          <t>1 kg SPI</t>
        </is>
      </c>
      <c r="L17" s="18" t="inlineStr">
        <is>
          <t>EQ-W3</t>
        </is>
      </c>
      <c r="M17" s="18" t="inlineStr">
        <is>
          <t>WF×P07</t>
        </is>
      </c>
      <c r="N17" s="18" t="inlineStr">
        <is>
          <t>W3=WF×P07</t>
        </is>
      </c>
      <c r="O17" s="18" t="inlineStr">
        <is>
          <t>P07</t>
        </is>
      </c>
      <c r="P17" s="52" t="n">
        <v>19.85199</v>
      </c>
      <c r="Q17" s="18" t="inlineStr">
        <is>
          <t>kg</t>
        </is>
      </c>
      <c r="R17" s="18" t="inlineStr">
        <is>
          <t>+</t>
        </is>
      </c>
      <c r="S17" s="18" t="inlineStr">
        <is>
          <t>是（步骤）</t>
        </is>
      </c>
      <c r="T17" s="18" t="inlineStr">
        <is>
          <t>步骤加水-非最终 external exchange</t>
        </is>
      </c>
      <c r="U17" s="18" t="inlineStr">
        <is>
          <t>SRC-XLS-OLD</t>
        </is>
      </c>
      <c r="V17" s="18" t="inlineStr">
        <is>
          <t>PASS_WITH_NOTE</t>
        </is>
      </c>
      <c r="W17" s="18" t="inlineStr">
        <is>
          <t>否</t>
        </is>
      </c>
      <c r="X17" s="18" t="inlineStr">
        <is>
          <t>（工艺投水，不进 LCI 图面）</t>
        </is>
      </c>
      <c r="Y17" s="18" t="inlineStr">
        <is>
          <t>步骤需求；不等于外部新鲜水（Q04）；2026-09-27 图面按 LCA 边界口径改为外部取水 16.98 显示，工艺投水撤出图面</t>
        </is>
      </c>
      <c r="AA17" t="inlineStr">
        <is>
          <t>直接报告</t>
        </is>
      </c>
      <c r="AB17" t="inlineStr">
        <is>
          <t>kg/kg 白豆片</t>
        </is>
      </c>
      <c r="AC17" t="inlineStr">
        <is>
          <t>kg/kg SPI</t>
        </is>
      </c>
    </row>
    <row r="18">
      <c r="A18" s="18" t="inlineStr">
        <is>
          <t>F14</t>
        </is>
      </c>
      <c r="B18" s="18" t="inlineStr">
        <is>
          <t>M3</t>
        </is>
      </c>
      <c r="C18" s="18" t="inlineStr">
        <is>
          <t>蛋白洗涤步骤加水</t>
        </is>
      </c>
      <c r="D18" s="18" t="inlineStr">
        <is>
          <t>物理流</t>
        </is>
      </c>
      <c r="E18" s="18" t="inlineStr">
        <is>
          <t>输入</t>
        </is>
      </c>
      <c r="F18" s="18" t="inlineStr"/>
      <c r="G18" s="18" t="inlineStr">
        <is>
          <t>M3</t>
        </is>
      </c>
      <c r="H18" s="18" t="inlineStr">
        <is>
          <t>physical_material</t>
        </is>
      </c>
      <c r="I18" s="51" t="n">
        <v>6</v>
      </c>
      <c r="J18" s="18" t="inlineStr">
        <is>
          <t>kg</t>
        </is>
      </c>
      <c r="K18" s="18" t="inlineStr">
        <is>
          <t>1 kg SPI</t>
        </is>
      </c>
      <c r="L18" s="18" t="inlineStr">
        <is>
          <t>EQ-W4</t>
        </is>
      </c>
      <c r="M18" s="18" t="inlineStr">
        <is>
          <t>6 kg/kg SPI</t>
        </is>
      </c>
      <c r="N18" s="18" t="inlineStr">
        <is>
          <t>W4=6</t>
        </is>
      </c>
      <c r="O18" s="18" t="inlineStr">
        <is>
          <t>常量（W4=6 直接报告）</t>
        </is>
      </c>
      <c r="P18" s="52" t="n">
        <v>6</v>
      </c>
      <c r="Q18" s="18" t="inlineStr">
        <is>
          <t>kg</t>
        </is>
      </c>
      <c r="R18" s="18" t="inlineStr">
        <is>
          <t>+</t>
        </is>
      </c>
      <c r="S18" s="18" t="inlineStr">
        <is>
          <t>是（步骤）</t>
        </is>
      </c>
      <c r="T18" s="18" t="inlineStr">
        <is>
          <t>步骤加水-非最终 external exchange</t>
        </is>
      </c>
      <c r="U18" s="18" t="inlineStr">
        <is>
          <t>SRC-XLS-OLD</t>
        </is>
      </c>
      <c r="V18" s="18" t="inlineStr">
        <is>
          <t>PASS_WITH_NOTE</t>
        </is>
      </c>
      <c r="W18" s="18" t="inlineStr">
        <is>
          <t>否</t>
        </is>
      </c>
      <c r="X18" s="18" t="inlineStr">
        <is>
          <t>（工艺投水，不进 LCI 图面）</t>
        </is>
      </c>
      <c r="Y18" s="18" t="inlineStr">
        <is>
          <t>6 kg/kg SPI；源参数注释"6 kg water for protein wash"＋蛋白离心进料公式含+6 → 属离心4蛋白洗涤，非离心2豆片洗涤（2026-09-27 修正）；2026-09-27 图面按 LCA 边界口径改为外部取水 16.98 显示，工艺投水撤出图面</t>
        </is>
      </c>
      <c r="AA18" t="inlineStr">
        <is>
          <t>直接报告</t>
        </is>
      </c>
      <c r="AB18" t="inlineStr">
        <is>
          <t>kg/kg SPI</t>
        </is>
      </c>
      <c r="AC18" t="inlineStr">
        <is>
          <t>kg/kg SPI</t>
        </is>
      </c>
    </row>
    <row r="19">
      <c r="A19" s="18" t="inlineStr">
        <is>
          <t>F15</t>
        </is>
      </c>
      <c r="B19" s="18" t="inlineStr">
        <is>
          <t>M3</t>
        </is>
      </c>
      <c r="C19" s="18" t="inlineStr">
        <is>
          <t>NaOH 10% 溶液</t>
        </is>
      </c>
      <c r="D19" s="18" t="inlineStr">
        <is>
          <t>物理流</t>
        </is>
      </c>
      <c r="E19" s="18" t="inlineStr">
        <is>
          <t>输入</t>
        </is>
      </c>
      <c r="F19" s="18" t="inlineStr"/>
      <c r="G19" s="18" t="inlineStr">
        <is>
          <t>M3</t>
        </is>
      </c>
      <c r="H19" s="18" t="inlineStr">
        <is>
          <t>physical_material</t>
        </is>
      </c>
      <c r="I19" s="51" t="n">
        <v>0.124075</v>
      </c>
      <c r="J19" s="18" t="inlineStr">
        <is>
          <t>L</t>
        </is>
      </c>
      <c r="K19" s="18" t="inlineStr">
        <is>
          <t>1 kg SPI</t>
        </is>
      </c>
      <c r="L19" s="18" t="inlineStr">
        <is>
          <t>EQ-NAOH</t>
        </is>
      </c>
      <c r="M19" s="18" t="inlineStr">
        <is>
          <t>WF×P26×P07×5</t>
        </is>
      </c>
      <c r="N19" s="18" t="inlineStr">
        <is>
          <t>NaOH10%=WF×0.00125×10×5</t>
        </is>
      </c>
      <c r="O19" s="18" t="inlineStr">
        <is>
          <t>P26;P07</t>
        </is>
      </c>
      <c r="P19" s="52" t="n">
        <v>0.124075</v>
      </c>
      <c r="Q19" s="18" t="inlineStr">
        <is>
          <t>L</t>
        </is>
      </c>
      <c r="R19" s="18" t="inlineStr">
        <is>
          <t>+</t>
        </is>
      </c>
      <c r="S19" s="18" t="inlineStr">
        <is>
          <t>否</t>
        </is>
      </c>
      <c r="T19" s="18" t="inlineStr">
        <is>
          <t>化学品-最终 kg 映射待核</t>
        </is>
      </c>
      <c r="U19" s="18" t="inlineStr">
        <is>
          <t>SRC-XLS-OLD</t>
        </is>
      </c>
      <c r="V19" s="18" t="inlineStr">
        <is>
          <t>REVIEW</t>
        </is>
      </c>
      <c r="W19" s="18" t="inlineStr">
        <is>
          <t>是</t>
        </is>
      </c>
      <c r="X19" s="18" t="inlineStr">
        <is>
          <t>NaOH 10% 溶液 0.1241 L*</t>
        </is>
      </c>
      <c r="Y19" s="18" t="inlineStr">
        <is>
          <t>由 50% 体积×5 折算 10%；密度/浓度链不完整（Q05）</t>
        </is>
      </c>
      <c r="AA19" t="inlineStr">
        <is>
          <t>公式派生</t>
        </is>
      </c>
      <c r="AB19" t="inlineStr">
        <is>
          <t>l/kg 溶剂</t>
        </is>
      </c>
      <c r="AC19" t="inlineStr">
        <is>
          <t>L/kg SPI</t>
        </is>
      </c>
    </row>
    <row r="20">
      <c r="A20" s="18" t="inlineStr">
        <is>
          <t>F16</t>
        </is>
      </c>
      <c r="B20" s="18" t="inlineStr">
        <is>
          <t>M3</t>
        </is>
      </c>
      <c r="C20" s="18" t="inlineStr">
        <is>
          <t>HCl 10% 溶液</t>
        </is>
      </c>
      <c r="D20" s="18" t="inlineStr">
        <is>
          <t>物理流</t>
        </is>
      </c>
      <c r="E20" s="18" t="inlineStr">
        <is>
          <t>输入</t>
        </is>
      </c>
      <c r="F20" s="18" t="inlineStr"/>
      <c r="G20" s="18" t="inlineStr">
        <is>
          <t>M3</t>
        </is>
      </c>
      <c r="H20" s="18" t="inlineStr">
        <is>
          <t>physical_material</t>
        </is>
      </c>
      <c r="I20" s="51" t="n">
        <v>0.173705</v>
      </c>
      <c r="J20" s="18" t="inlineStr">
        <is>
          <t>L</t>
        </is>
      </c>
      <c r="K20" s="18" t="inlineStr">
        <is>
          <t>1 kg SPI</t>
        </is>
      </c>
      <c r="L20" s="18" t="inlineStr">
        <is>
          <t>EQ-HCL</t>
        </is>
      </c>
      <c r="M20" s="18" t="inlineStr">
        <is>
          <t>WF×P27×P07×3</t>
        </is>
      </c>
      <c r="N20" s="18" t="inlineStr">
        <is>
          <t>HCl10%=WF×0.0029167×10×3</t>
        </is>
      </c>
      <c r="O20" s="18" t="inlineStr">
        <is>
          <t>P27;P07</t>
        </is>
      </c>
      <c r="P20" s="52" t="n">
        <v>0.173705</v>
      </c>
      <c r="Q20" s="18" t="inlineStr">
        <is>
          <t>L</t>
        </is>
      </c>
      <c r="R20" s="18" t="inlineStr">
        <is>
          <t>+</t>
        </is>
      </c>
      <c r="S20" s="18" t="inlineStr">
        <is>
          <t>否</t>
        </is>
      </c>
      <c r="T20" s="18" t="inlineStr">
        <is>
          <t>化学品-最终 kg 映射待核</t>
        </is>
      </c>
      <c r="U20" s="18" t="inlineStr">
        <is>
          <t>SRC-XLS-OLD</t>
        </is>
      </c>
      <c r="V20" s="18" t="inlineStr">
        <is>
          <t>REVIEW</t>
        </is>
      </c>
      <c r="W20" s="18" t="inlineStr">
        <is>
          <t>是</t>
        </is>
      </c>
      <c r="X20" s="18" t="inlineStr">
        <is>
          <t>HCl 10% 溶液 0.1737 L*</t>
        </is>
      </c>
      <c r="Y20" s="18" t="inlineStr">
        <is>
          <t>由 30% 体积×3 折算 10%（Q05）</t>
        </is>
      </c>
      <c r="AA20" t="inlineStr">
        <is>
          <t>公式派生</t>
        </is>
      </c>
      <c r="AB20" t="inlineStr">
        <is>
          <t>l/kg 溶剂</t>
        </is>
      </c>
      <c r="AC20" t="inlineStr">
        <is>
          <t>L/kg SPI</t>
        </is>
      </c>
    </row>
    <row r="21">
      <c r="A21" s="18" t="inlineStr">
        <is>
          <t>F17</t>
        </is>
      </c>
      <c r="B21" s="18" t="inlineStr">
        <is>
          <t>M3</t>
        </is>
      </c>
      <c r="C21" s="18" t="inlineStr">
        <is>
          <t>电力</t>
        </is>
      </c>
      <c r="D21" s="18" t="inlineStr">
        <is>
          <t>能源</t>
        </is>
      </c>
      <c r="E21" s="18" t="inlineStr">
        <is>
          <t>输入</t>
        </is>
      </c>
      <c r="F21" s="18" t="inlineStr"/>
      <c r="G21" s="18" t="inlineStr">
        <is>
          <t>M3</t>
        </is>
      </c>
      <c r="H21" s="18" t="inlineStr">
        <is>
          <t>physical_energy</t>
        </is>
      </c>
      <c r="I21" s="51" t="n">
        <v>0.0629995</v>
      </c>
      <c r="J21" s="18" t="inlineStr">
        <is>
          <t>kWh</t>
        </is>
      </c>
      <c r="K21" s="18" t="inlineStr">
        <is>
          <t>1 kg SPI</t>
        </is>
      </c>
      <c r="L21" s="18" t="inlineStr">
        <is>
          <t>EQ-E3</t>
        </is>
      </c>
      <c r="M21" s="18" t="inlineStr">
        <is>
          <t>Formulas_SPI electricity_mix / SPI!I48(当前版)</t>
        </is>
      </c>
      <c r="N21" s="18" t="inlineStr">
        <is>
          <t>采用值 0.0629995（当前版/runtime）</t>
        </is>
      </c>
      <c r="O21" s="18" t="inlineStr"/>
      <c r="P21" s="52" t="n">
        <v>0.062999518</v>
      </c>
      <c r="Q21" s="18" t="inlineStr">
        <is>
          <t>kWh</t>
        </is>
      </c>
      <c r="R21" s="18" t="inlineStr">
        <is>
          <t>+</t>
        </is>
      </c>
      <c r="S21" s="18" t="inlineStr">
        <is>
          <t>否</t>
        </is>
      </c>
      <c r="T21" s="18" t="inlineStr">
        <is>
          <t>CLCA不分配-模块总量</t>
        </is>
      </c>
      <c r="U21" s="18" t="inlineStr">
        <is>
          <t>SRC-CLCA-AUDIT</t>
        </is>
      </c>
      <c r="V21" s="18" t="inlineStr">
        <is>
          <t>PASS_WITH_NOTE</t>
        </is>
      </c>
      <c r="W21" s="18" t="inlineStr">
        <is>
          <t>是</t>
        </is>
      </c>
      <c r="X21" s="18" t="inlineStr">
        <is>
          <t>电力 0.06300 kWh</t>
        </is>
      </c>
      <c r="Y21" s="18" t="inlineStr">
        <is>
          <t>旧版 0.0464 已排除（Q01）；0.93 统一后或小幅变化（Q03）</t>
        </is>
      </c>
      <c r="Z21" t="inlineStr">
        <is>
          <t>CAD-F17</t>
        </is>
      </c>
      <c r="AA21" t="inlineStr">
        <is>
          <t>直接报告</t>
        </is>
      </c>
      <c r="AB21" t="inlineStr">
        <is>
          <t>kWh/kg SPI</t>
        </is>
      </c>
      <c r="AC21" t="inlineStr">
        <is>
          <t>kWh/kg SPI</t>
        </is>
      </c>
    </row>
    <row r="22">
      <c r="A22" s="18" t="inlineStr">
        <is>
          <t>F18</t>
        </is>
      </c>
      <c r="B22" s="18" t="inlineStr">
        <is>
          <t>M3</t>
        </is>
      </c>
      <c r="C22" s="18" t="inlineStr">
        <is>
          <t>热量</t>
        </is>
      </c>
      <c r="D22" s="18" t="inlineStr">
        <is>
          <t>能源</t>
        </is>
      </c>
      <c r="E22" s="18" t="inlineStr">
        <is>
          <t>输入</t>
        </is>
      </c>
      <c r="F22" s="18" t="inlineStr"/>
      <c r="G22" s="18" t="inlineStr">
        <is>
          <t>M3</t>
        </is>
      </c>
      <c r="H22" s="18" t="inlineStr">
        <is>
          <t>physical_energy</t>
        </is>
      </c>
      <c r="I22" s="51" t="n">
        <v>27.500833</v>
      </c>
      <c r="J22" s="18" t="inlineStr">
        <is>
          <t>MJ</t>
        </is>
      </c>
      <c r="K22" s="18" t="inlineStr">
        <is>
          <t>1 kg SPI</t>
        </is>
      </c>
      <c r="L22" s="18" t="inlineStr">
        <is>
          <t>EQ-H3</t>
        </is>
      </c>
      <c r="M22" s="18" t="inlineStr">
        <is>
          <t>Formulas_SPI heat_mix / SPI!I49</t>
        </is>
      </c>
      <c r="N22" s="18" t="inlineStr">
        <is>
          <t>加热+喷雾+闪蒸（详见 Formulas_SPI）</t>
        </is>
      </c>
      <c r="O22" s="18" t="inlineStr"/>
      <c r="P22" s="52" t="n">
        <v>27.50083262</v>
      </c>
      <c r="Q22" s="18" t="inlineStr">
        <is>
          <t>MJ</t>
        </is>
      </c>
      <c r="R22" s="18" t="inlineStr">
        <is>
          <t>+</t>
        </is>
      </c>
      <c r="S22" s="18" t="inlineStr">
        <is>
          <t>否</t>
        </is>
      </c>
      <c r="T22" s="18" t="inlineStr">
        <is>
          <t>CLCA不分配-模块总量</t>
        </is>
      </c>
      <c r="U22" s="18" t="inlineStr">
        <is>
          <t>SRC-XLS-OLD</t>
        </is>
      </c>
      <c r="V22" s="18" t="inlineStr">
        <is>
          <t>PASS</t>
        </is>
      </c>
      <c r="W22" s="18" t="inlineStr">
        <is>
          <t>是</t>
        </is>
      </c>
      <c r="X22" s="18" t="inlineStr">
        <is>
          <t>热 27.5008 MJ</t>
        </is>
      </c>
      <c r="Y22" s="18" t="inlineStr"/>
      <c r="Z22" t="inlineStr">
        <is>
          <t>CAD-F18</t>
        </is>
      </c>
      <c r="AA22" t="inlineStr">
        <is>
          <t>直接报告</t>
        </is>
      </c>
      <c r="AB22" t="inlineStr">
        <is>
          <t>MJ/kg SPI</t>
        </is>
      </c>
      <c r="AC22" t="inlineStr">
        <is>
          <t>MJ/kg SPI</t>
        </is>
      </c>
    </row>
    <row r="23">
      <c r="A23" s="18" t="inlineStr">
        <is>
          <t>F19</t>
        </is>
      </c>
      <c r="B23" s="18" t="inlineStr">
        <is>
          <t>M3</t>
        </is>
      </c>
      <c r="C23" s="18" t="inlineStr">
        <is>
          <t>SPI 主产品</t>
        </is>
      </c>
      <c r="D23" s="18" t="inlineStr">
        <is>
          <t>物理流</t>
        </is>
      </c>
      <c r="E23" s="18" t="inlineStr">
        <is>
          <t>输出</t>
        </is>
      </c>
      <c r="F23" s="18" t="inlineStr">
        <is>
          <t>M3</t>
        </is>
      </c>
      <c r="G23" s="18" t="inlineStr"/>
      <c r="H23" s="18" t="inlineStr">
        <is>
          <t>physical_material</t>
        </is>
      </c>
      <c r="I23" s="51" t="n">
        <v>1</v>
      </c>
      <c r="J23" s="18" t="inlineStr">
        <is>
          <t>kg</t>
        </is>
      </c>
      <c r="K23" s="18" t="inlineStr">
        <is>
          <t>1 kg SPI</t>
        </is>
      </c>
      <c r="L23" s="18" t="inlineStr">
        <is>
          <t>FU</t>
        </is>
      </c>
      <c r="M23" s="18" t="inlineStr">
        <is>
          <t>功能单位</t>
        </is>
      </c>
      <c r="N23" s="18" t="inlineStr">
        <is>
          <t>1</t>
        </is>
      </c>
      <c r="O23" s="18" t="inlineStr">
        <is>
          <t>常量（功能单位直接报告）</t>
        </is>
      </c>
      <c r="P23" s="52" t="n">
        <v>1</v>
      </c>
      <c r="Q23" s="18" t="inlineStr">
        <is>
          <t>kg</t>
        </is>
      </c>
      <c r="R23" s="18" t="inlineStr">
        <is>
          <t>+</t>
        </is>
      </c>
      <c r="S23" s="18" t="inlineStr">
        <is>
          <t>否</t>
        </is>
      </c>
      <c r="T23" s="18" t="inlineStr">
        <is>
          <t>主产品</t>
        </is>
      </c>
      <c r="U23" s="18" t="inlineStr">
        <is>
          <t>SRC-PDF</t>
        </is>
      </c>
      <c r="V23" s="18" t="inlineStr">
        <is>
          <t>PASS</t>
        </is>
      </c>
      <c r="W23" s="18" t="inlineStr">
        <is>
          <t>是</t>
        </is>
      </c>
      <c r="X23" s="18" t="inlineStr">
        <is>
          <t>大豆分离蛋白（SPI）1.0000 kg 干物质 95%</t>
        </is>
      </c>
      <c r="Y23" s="18" t="inlineStr"/>
      <c r="AA23" t="inlineStr">
        <is>
          <t>直接报告</t>
        </is>
      </c>
      <c r="AB23" t="inlineStr">
        <is>
          <t>kg/kg SPI</t>
        </is>
      </c>
      <c r="AC23" t="inlineStr">
        <is>
          <t>kg/kg SPI</t>
        </is>
      </c>
    </row>
    <row r="24">
      <c r="A24" s="18" t="inlineStr">
        <is>
          <t>F20</t>
        </is>
      </c>
      <c r="B24" s="18" t="inlineStr">
        <is>
          <t>M3</t>
        </is>
      </c>
      <c r="C24" s="18" t="inlineStr">
        <is>
          <t>spent flakes</t>
        </is>
      </c>
      <c r="D24" s="18" t="inlineStr">
        <is>
          <t>物理流</t>
        </is>
      </c>
      <c r="E24" s="18" t="inlineStr">
        <is>
          <t>输出</t>
        </is>
      </c>
      <c r="F24" s="18" t="inlineStr">
        <is>
          <t>M3</t>
        </is>
      </c>
      <c r="G24" s="18" t="inlineStr"/>
      <c r="H24" s="18" t="inlineStr">
        <is>
          <t>physical_material</t>
        </is>
      </c>
      <c r="I24" s="51" t="n">
        <v>0.54494</v>
      </c>
      <c r="J24" s="18" t="inlineStr">
        <is>
          <t>kg</t>
        </is>
      </c>
      <c r="K24" s="18" t="inlineStr">
        <is>
          <t>1 kg SPI</t>
        </is>
      </c>
      <c r="L24" s="18" t="inlineStr">
        <is>
          <t>EQ-SF</t>
        </is>
      </c>
      <c r="M24" s="18" t="inlineStr">
        <is>
          <t>WF×P24×0.9/0.2×... 源公式</t>
        </is>
      </c>
      <c r="N24" s="18" t="inlineStr">
        <is>
          <t>SF=WF×P24（干基 90%）</t>
        </is>
      </c>
      <c r="O24" s="18" t="inlineStr">
        <is>
          <t>P24</t>
        </is>
      </c>
      <c r="P24" s="52" t="n">
        <v>0.54494</v>
      </c>
      <c r="Q24" s="18" t="inlineStr">
        <is>
          <t>kg</t>
        </is>
      </c>
      <c r="R24" s="18" t="inlineStr">
        <is>
          <t>+</t>
        </is>
      </c>
      <c r="S24" s="18" t="inlineStr">
        <is>
          <t>否</t>
        </is>
      </c>
      <c r="T24" s="18" t="inlineStr">
        <is>
          <t>共产品显式保留-替代接口未定义</t>
        </is>
      </c>
      <c r="U24" s="18" t="inlineStr">
        <is>
          <t>SRC-XLS-OLD</t>
        </is>
      </c>
      <c r="V24" s="18" t="inlineStr">
        <is>
          <t>PASS</t>
        </is>
      </c>
      <c r="W24" s="18" t="inlineStr">
        <is>
          <t>是</t>
        </is>
      </c>
      <c r="X24" s="18" t="inlineStr">
        <is>
          <t>提取后豆片 0.5449 kg（含水约 10%）</t>
        </is>
      </c>
      <c r="Y24" s="18" t="inlineStr"/>
      <c r="AA24" t="inlineStr">
        <is>
          <t>公式派生</t>
        </is>
      </c>
      <c r="AB24" t="inlineStr">
        <is>
          <t>kg/kg 白豆片</t>
        </is>
      </c>
      <c r="AC24" t="inlineStr">
        <is>
          <t>kg/kg SPI</t>
        </is>
      </c>
    </row>
    <row r="25">
      <c r="A25" s="18" t="inlineStr">
        <is>
          <t>F21</t>
        </is>
      </c>
      <c r="B25" s="18" t="inlineStr">
        <is>
          <t>M3</t>
        </is>
      </c>
      <c r="C25" s="18" t="inlineStr">
        <is>
          <t>whey-rich 水相</t>
        </is>
      </c>
      <c r="D25" s="18" t="inlineStr">
        <is>
          <t>物理流</t>
        </is>
      </c>
      <c r="E25" s="18" t="inlineStr">
        <is>
          <t>输出</t>
        </is>
      </c>
      <c r="F25" s="18" t="inlineStr">
        <is>
          <t>M3</t>
        </is>
      </c>
      <c r="G25" s="18" t="inlineStr"/>
      <c r="H25" s="18" t="inlineStr">
        <is>
          <t>physical_material</t>
        </is>
      </c>
      <c r="I25" s="51" t="n">
        <v>11.490193</v>
      </c>
      <c r="J25" s="18" t="inlineStr">
        <is>
          <t>kg</t>
        </is>
      </c>
      <c r="K25" s="18" t="inlineStr">
        <is>
          <t>1 kg SPI</t>
        </is>
      </c>
      <c r="L25" s="18" t="inlineStr">
        <is>
          <t>EQ-WHEY</t>
        </is>
      </c>
      <c r="M25" s="18" t="inlineStr">
        <is>
          <t>Formulas_SPI wastewater</t>
        </is>
      </c>
      <c r="N25" s="18" t="inlineStr">
        <is>
          <t>whey=WF×P25×P07</t>
        </is>
      </c>
      <c r="O25" s="18" t="inlineStr">
        <is>
          <t>P25;P07</t>
        </is>
      </c>
      <c r="P25" s="52" t="n">
        <v>11.490193</v>
      </c>
      <c r="Q25" s="18" t="inlineStr">
        <is>
          <t>kg</t>
        </is>
      </c>
      <c r="R25" s="18" t="inlineStr">
        <is>
          <t>+</t>
        </is>
      </c>
      <c r="S25" s="18" t="inlineStr">
        <is>
          <t>否</t>
        </is>
      </c>
      <c r="T25" s="18" t="inlineStr">
        <is>
          <t>审计中-不称严格总废水</t>
        </is>
      </c>
      <c r="U25" s="18" t="inlineStr">
        <is>
          <t>SRC-XLS-OLD</t>
        </is>
      </c>
      <c r="V25" s="18" t="inlineStr">
        <is>
          <t>REVIEW</t>
        </is>
      </c>
      <c r="W25" s="18" t="inlineStr">
        <is>
          <t>是</t>
        </is>
      </c>
      <c r="X25" s="18" t="inlineStr">
        <is>
          <t>乳清水相 11.490 kg*</t>
        </is>
      </c>
      <c r="Y25" s="18" t="inlineStr">
        <is>
          <t>作者 runtime wastewater=0.01149019 m³；受 0.93 影响（Q03/Q04）</t>
        </is>
      </c>
      <c r="Z25" t="inlineStr">
        <is>
          <t>CAD-F21</t>
        </is>
      </c>
      <c r="AA25" t="inlineStr">
        <is>
          <t>公式派生</t>
        </is>
      </c>
      <c r="AB25" t="inlineStr">
        <is>
          <t>kg/kg 白豆片</t>
        </is>
      </c>
      <c r="AC25" t="inlineStr">
        <is>
          <t>kg/kg SPI</t>
        </is>
      </c>
    </row>
    <row r="26">
      <c r="A26" s="18" t="inlineStr">
        <is>
          <t>F22</t>
        </is>
      </c>
      <c r="B26" s="18" t="inlineStr">
        <is>
          <t>M3</t>
        </is>
      </c>
      <c r="C26" s="18" t="inlineStr">
        <is>
          <t>喷雾干燥水蒸气</t>
        </is>
      </c>
      <c r="D26" s="18" t="inlineStr">
        <is>
          <t>物理流</t>
        </is>
      </c>
      <c r="E26" s="18" t="inlineStr">
        <is>
          <t>输出</t>
        </is>
      </c>
      <c r="F26" s="18" t="inlineStr">
        <is>
          <t>M3</t>
        </is>
      </c>
      <c r="G26" s="18" t="inlineStr"/>
      <c r="H26" s="18" t="inlineStr">
        <is>
          <t>physical_material</t>
        </is>
      </c>
      <c r="I26" s="51" t="n">
        <v>4.9375</v>
      </c>
      <c r="J26" s="18" t="inlineStr">
        <is>
          <t>kg</t>
        </is>
      </c>
      <c r="K26" s="18" t="inlineStr">
        <is>
          <t>1 kg SPI</t>
        </is>
      </c>
      <c r="L26" s="18" t="inlineStr">
        <is>
          <t>EQ-V1</t>
        </is>
      </c>
      <c r="M26" s="18" t="inlineStr">
        <is>
          <t>P01/P22-1</t>
        </is>
      </c>
      <c r="N26" s="18" t="inlineStr">
        <is>
          <t>vapor=P01/P22-1</t>
        </is>
      </c>
      <c r="O26" s="18" t="inlineStr">
        <is>
          <t>P01;P22</t>
        </is>
      </c>
      <c r="P26" s="52" t="n">
        <v>4.9375</v>
      </c>
      <c r="Q26" s="18" t="inlineStr">
        <is>
          <t>kg</t>
        </is>
      </c>
      <c r="R26" s="18" t="inlineStr">
        <is>
          <t>+</t>
        </is>
      </c>
      <c r="S26" s="18" t="inlineStr">
        <is>
          <t>否</t>
        </is>
      </c>
      <c r="T26" s="18" t="inlineStr">
        <is>
          <t>物理输出-是否 elementary exchange 另定</t>
        </is>
      </c>
      <c r="U26" s="18" t="inlineStr">
        <is>
          <t>SRC-XLS-OLD</t>
        </is>
      </c>
      <c r="V26" s="18" t="inlineStr">
        <is>
          <t>PASS_WITH_NOTE</t>
        </is>
      </c>
      <c r="W26" s="18" t="inlineStr">
        <is>
          <t>是</t>
        </is>
      </c>
      <c r="X26" s="18" t="inlineStr">
        <is>
          <t>蒸发水 4.9375 kg</t>
        </is>
      </c>
      <c r="Y26" s="18" t="inlineStr">
        <is>
          <t>从喷雾干燥单向输出</t>
        </is>
      </c>
      <c r="AA26" t="inlineStr">
        <is>
          <t>公式派生</t>
        </is>
      </c>
      <c r="AB26" t="inlineStr">
        <is>
          <t>kg/kg SPI</t>
        </is>
      </c>
      <c r="AC26" t="inlineStr">
        <is>
          <t>kg/kg SPI</t>
        </is>
      </c>
    </row>
    <row r="27">
      <c r="A27" s="18" t="inlineStr">
        <is>
          <t>F23</t>
        </is>
      </c>
      <c r="B27" s="18" t="inlineStr">
        <is>
          <t>M3</t>
        </is>
      </c>
      <c r="C27" s="18" t="inlineStr">
        <is>
          <t>闪蒸干燥水蒸气</t>
        </is>
      </c>
      <c r="D27" s="18" t="inlineStr">
        <is>
          <t>物理流</t>
        </is>
      </c>
      <c r="E27" s="18" t="inlineStr">
        <is>
          <t>输出</t>
        </is>
      </c>
      <c r="F27" s="18" t="inlineStr">
        <is>
          <t>M3</t>
        </is>
      </c>
      <c r="G27" s="18" t="inlineStr"/>
      <c r="H27" s="18" t="inlineStr">
        <is>
          <t>physical_material</t>
        </is>
      </c>
      <c r="I27" s="51" t="n">
        <v>0.209592</v>
      </c>
      <c r="J27" s="18" t="inlineStr">
        <is>
          <t>kg</t>
        </is>
      </c>
      <c r="K27" s="18" t="inlineStr">
        <is>
          <t>1 kg SPI</t>
        </is>
      </c>
      <c r="L27" s="18" t="inlineStr">
        <is>
          <t>EQ-V2</t>
        </is>
      </c>
      <c r="M27" s="18" t="inlineStr">
        <is>
          <t>SPI 内部质量/能量公式</t>
        </is>
      </c>
      <c r="N27" s="18" t="inlineStr">
        <is>
          <t>vapor=0.209592</t>
        </is>
      </c>
      <c r="O27" s="18" t="inlineStr">
        <is>
          <t>常量（EQ-V2 派生，见来源公式）</t>
        </is>
      </c>
      <c r="P27" s="52" t="n">
        <v>0.209592</v>
      </c>
      <c r="Q27" s="18" t="inlineStr">
        <is>
          <t>kg</t>
        </is>
      </c>
      <c r="R27" s="18" t="inlineStr">
        <is>
          <t>+</t>
        </is>
      </c>
      <c r="S27" s="18" t="inlineStr">
        <is>
          <t>否</t>
        </is>
      </c>
      <c r="T27" s="18" t="inlineStr">
        <is>
          <t>物理输出-是否 elementary exchange 另定</t>
        </is>
      </c>
      <c r="U27" s="18" t="inlineStr">
        <is>
          <t>SRC-XLS-OLD</t>
        </is>
      </c>
      <c r="V27" s="18" t="inlineStr">
        <is>
          <t>PASS_WITH_NOTE</t>
        </is>
      </c>
      <c r="W27" s="18" t="inlineStr">
        <is>
          <t>是</t>
        </is>
      </c>
      <c r="X27" s="18" t="inlineStr">
        <is>
          <t>水蒸气 0.2096 kg</t>
        </is>
      </c>
      <c r="Y27" s="18" t="inlineStr">
        <is>
          <t>从闪蒸干燥单向输出</t>
        </is>
      </c>
      <c r="AA27" t="inlineStr">
        <is>
          <t>公式派生</t>
        </is>
      </c>
      <c r="AB27" t="inlineStr">
        <is>
          <t>kg/kg SPI</t>
        </is>
      </c>
      <c r="AC27" t="inlineStr">
        <is>
          <t>kg/kg SPI</t>
        </is>
      </c>
    </row>
    <row r="28">
      <c r="A28" s="18" t="inlineStr">
        <is>
          <t>F24</t>
        </is>
      </c>
      <c r="B28" s="18" t="inlineStr">
        <is>
          <t>M3</t>
        </is>
      </c>
      <c r="C28" s="18" t="inlineStr">
        <is>
          <t>外部新鲜水 tap_water（Formulas_SPI）</t>
        </is>
      </c>
      <c r="D28" s="18" t="inlineStr">
        <is>
          <t>物理流</t>
        </is>
      </c>
      <c r="E28" s="18" t="inlineStr">
        <is>
          <t>输入</t>
        </is>
      </c>
      <c r="F28" s="18" t="inlineStr"/>
      <c r="G28" s="18" t="inlineStr">
        <is>
          <t>M3</t>
        </is>
      </c>
      <c r="H28" s="18" t="inlineStr">
        <is>
          <t>physical_material</t>
        </is>
      </c>
      <c r="I28" s="51" t="n">
        <v>16.98</v>
      </c>
      <c r="J28" s="18" t="inlineStr">
        <is>
          <t>kg</t>
        </is>
      </c>
      <c r="K28" s="18" t="inlineStr">
        <is>
          <t>1 kg SPI</t>
        </is>
      </c>
      <c r="L28" s="18" t="inlineStr">
        <is>
          <t>EQ-W5</t>
        </is>
      </c>
      <c r="M28" s="18" t="inlineStr">
        <is>
          <t>SPI!I50</t>
        </is>
      </c>
      <c r="N28" s="18" t="inlineStr">
        <is>
          <t>Overview 口径</t>
        </is>
      </c>
      <c r="O28" s="18" t="inlineStr">
        <is>
          <t>常量（SPI!I50 直接报告）</t>
        </is>
      </c>
      <c r="P28" s="52" t="n">
        <v>16.980004</v>
      </c>
      <c r="Q28" s="18" t="inlineStr">
        <is>
          <t>kg</t>
        </is>
      </c>
      <c r="R28" s="18" t="inlineStr">
        <is>
          <t>+</t>
        </is>
      </c>
      <c r="S28" s="18" t="inlineStr">
        <is>
          <t>否</t>
        </is>
      </c>
      <c r="T28" s="18" t="inlineStr">
        <is>
          <t>审计中-暂不锁定最终 exchange</t>
        </is>
      </c>
      <c r="U28" s="18" t="inlineStr">
        <is>
          <t>SRC-XLS-OLD</t>
        </is>
      </c>
      <c r="V28" s="18" t="inlineStr">
        <is>
          <t>PASS_WITH_NOTE</t>
        </is>
      </c>
      <c r="W28" s="18" t="inlineStr">
        <is>
          <t>是</t>
        </is>
      </c>
      <c r="X28" s="18" t="inlineStr">
        <is>
          <t>外部取水 16.98 kg</t>
        </is>
      </c>
      <c r="Y28" s="18" t="inlineStr">
        <is>
          <t>官方参数重算=16.980004 与 Formulas_SPI 一致；Overview I50=16.5036 为另一公式（自带水按供给扣减，物理更优）；两者差0.4764为自带水符号处理差异；建模取水exchange采用16.98（忠实平台，用户2026-09-27决定A）；废水exchange=乳清11.490 kg（0.01149 m³）</t>
        </is>
      </c>
      <c r="AA28" t="inlineStr">
        <is>
          <t>直接报告</t>
        </is>
      </c>
      <c r="AB28" t="inlineStr">
        <is>
          <t>kg/kg SPI</t>
        </is>
      </c>
      <c r="AC28" t="inlineStr">
        <is>
          <t>kg/kg SPI</t>
        </is>
      </c>
    </row>
    <row r="29">
      <c r="A29" s="18" t="inlineStr">
        <is>
          <t>F25</t>
        </is>
      </c>
      <c r="B29" s="18" t="inlineStr">
        <is>
          <t>M1</t>
        </is>
      </c>
      <c r="C29" s="18" t="inlineStr">
        <is>
          <t>豆皮-替代接口</t>
        </is>
      </c>
      <c r="D29" s="18" t="inlineStr">
        <is>
          <t>方法接口</t>
        </is>
      </c>
      <c r="E29" s="18" t="inlineStr">
        <is>
          <t>输出</t>
        </is>
      </c>
      <c r="F29" s="18" t="inlineStr">
        <is>
          <t>M1</t>
        </is>
      </c>
      <c r="G29" s="18" t="inlineStr"/>
      <c r="H29" s="18" t="inlineStr">
        <is>
          <t>substitution_candidate</t>
        </is>
      </c>
      <c r="I29" s="51" t="inlineStr"/>
      <c r="J29" s="18" t="inlineStr"/>
      <c r="K29" s="18" t="inlineStr">
        <is>
          <t>1 kg SPI</t>
        </is>
      </c>
      <c r="L29" s="18" t="inlineStr"/>
      <c r="M29" s="18" t="inlineStr">
        <is>
          <t>CLCA 替代接口占位</t>
        </is>
      </c>
      <c r="N29" s="18" t="inlineStr">
        <is>
          <t>占位接口-无量值公式</t>
        </is>
      </c>
      <c r="O29" s="18" t="inlineStr">
        <is>
          <t>无（接口占位）</t>
        </is>
      </c>
      <c r="P29" s="52" t="n"/>
      <c r="Q29" s="18" t="inlineStr">
        <is>
          <t>kg</t>
        </is>
      </c>
      <c r="R29" s="18" t="inlineStr">
        <is>
          <t>+</t>
        </is>
      </c>
      <c r="S29" s="18" t="inlineStr">
        <is>
          <t>否</t>
        </is>
      </c>
      <c r="T29" s="18" t="inlineStr">
        <is>
          <t>substitution_candidate-接口未定义</t>
        </is>
      </c>
      <c r="U29" s="18" t="inlineStr">
        <is>
          <t>SRC-CLCA-HANDOVER</t>
        </is>
      </c>
      <c r="V29" s="18" t="inlineStr">
        <is>
          <t>NOT_APPLICABLE</t>
        </is>
      </c>
      <c r="W29" s="18" t="inlineStr">
        <is>
          <t>否</t>
        </is>
      </c>
      <c r="X29" s="18" t="inlineStr"/>
      <c r="Y29" s="18" t="inlineStr"/>
      <c r="AB29" t="inlineStr">
        <is>
          <t>接口登记</t>
        </is>
      </c>
      <c r="AC29" t="inlineStr">
        <is>
          <t>kg/kg SPI（占位）</t>
        </is>
      </c>
    </row>
    <row r="30">
      <c r="A30" s="18" t="inlineStr">
        <is>
          <t>F26</t>
        </is>
      </c>
      <c r="B30" s="18" t="inlineStr">
        <is>
          <t>M2</t>
        </is>
      </c>
      <c r="C30" s="18" t="inlineStr">
        <is>
          <t>豆油-替代接口</t>
        </is>
      </c>
      <c r="D30" s="18" t="inlineStr">
        <is>
          <t>方法接口</t>
        </is>
      </c>
      <c r="E30" s="18" t="inlineStr">
        <is>
          <t>输出</t>
        </is>
      </c>
      <c r="F30" s="18" t="inlineStr">
        <is>
          <t>M2</t>
        </is>
      </c>
      <c r="G30" s="18" t="inlineStr"/>
      <c r="H30" s="18" t="inlineStr">
        <is>
          <t>substitution_candidate</t>
        </is>
      </c>
      <c r="I30" s="51" t="inlineStr"/>
      <c r="J30" s="18" t="inlineStr"/>
      <c r="K30" s="18" t="inlineStr">
        <is>
          <t>1 kg SPI</t>
        </is>
      </c>
      <c r="L30" s="18" t="inlineStr"/>
      <c r="M30" s="18" t="inlineStr">
        <is>
          <t>同上</t>
        </is>
      </c>
      <c r="N30" s="18" t="inlineStr">
        <is>
          <t>占位接口-无量值公式</t>
        </is>
      </c>
      <c r="O30" s="18" t="inlineStr">
        <is>
          <t>无（接口占位）</t>
        </is>
      </c>
      <c r="P30" s="52" t="n"/>
      <c r="Q30" s="18" t="inlineStr">
        <is>
          <t>kg</t>
        </is>
      </c>
      <c r="R30" s="18" t="inlineStr">
        <is>
          <t>+</t>
        </is>
      </c>
      <c r="S30" s="18" t="inlineStr">
        <is>
          <t>否</t>
        </is>
      </c>
      <c r="T30" s="18" t="inlineStr">
        <is>
          <t>substitution_candidate-接口未定义</t>
        </is>
      </c>
      <c r="U30" s="18" t="inlineStr">
        <is>
          <t>SRC-CLCA-HANDOVER</t>
        </is>
      </c>
      <c r="V30" s="18" t="inlineStr">
        <is>
          <t>NOT_APPLICABLE</t>
        </is>
      </c>
      <c r="W30" s="18" t="inlineStr">
        <is>
          <t>否</t>
        </is>
      </c>
      <c r="X30" s="18" t="inlineStr"/>
      <c r="Y30" s="18" t="inlineStr"/>
      <c r="AB30" t="inlineStr">
        <is>
          <t>接口登记</t>
        </is>
      </c>
      <c r="AC30" t="inlineStr">
        <is>
          <t>kg/kg SPI（占位）</t>
        </is>
      </c>
    </row>
    <row r="31">
      <c r="A31" s="18" t="inlineStr">
        <is>
          <t>F27</t>
        </is>
      </c>
      <c r="B31" s="18" t="inlineStr">
        <is>
          <t>M3</t>
        </is>
      </c>
      <c r="C31" s="18" t="inlineStr">
        <is>
          <t>spent flakes-替代接口</t>
        </is>
      </c>
      <c r="D31" s="18" t="inlineStr">
        <is>
          <t>方法接口</t>
        </is>
      </c>
      <c r="E31" s="18" t="inlineStr">
        <is>
          <t>输出</t>
        </is>
      </c>
      <c r="F31" s="18" t="inlineStr">
        <is>
          <t>M3</t>
        </is>
      </c>
      <c r="G31" s="18" t="inlineStr"/>
      <c r="H31" s="18" t="inlineStr">
        <is>
          <t>substitution_candidate</t>
        </is>
      </c>
      <c r="I31" s="51" t="inlineStr"/>
      <c r="J31" s="18" t="inlineStr"/>
      <c r="K31" s="18" t="inlineStr">
        <is>
          <t>1 kg SPI</t>
        </is>
      </c>
      <c r="L31" s="18" t="inlineStr"/>
      <c r="M31" s="18" t="inlineStr">
        <is>
          <t>同上</t>
        </is>
      </c>
      <c r="N31" s="18" t="inlineStr">
        <is>
          <t>占位接口-无量值公式</t>
        </is>
      </c>
      <c r="O31" s="18" t="inlineStr">
        <is>
          <t>无（接口占位）</t>
        </is>
      </c>
      <c r="P31" s="52" t="n"/>
      <c r="Q31" s="18" t="inlineStr">
        <is>
          <t>kg</t>
        </is>
      </c>
      <c r="R31" s="18" t="inlineStr">
        <is>
          <t>+</t>
        </is>
      </c>
      <c r="S31" s="18" t="inlineStr">
        <is>
          <t>否</t>
        </is>
      </c>
      <c r="T31" s="18" t="inlineStr">
        <is>
          <t>substitution_candidate-接口未定义</t>
        </is>
      </c>
      <c r="U31" s="18" t="inlineStr">
        <is>
          <t>SRC-CLCA-HANDOVER</t>
        </is>
      </c>
      <c r="V31" s="18" t="inlineStr">
        <is>
          <t>NOT_APPLICABLE</t>
        </is>
      </c>
      <c r="W31" s="18" t="inlineStr">
        <is>
          <t>否</t>
        </is>
      </c>
      <c r="X31" s="18" t="inlineStr"/>
      <c r="Y31" s="18" t="inlineStr"/>
      <c r="AB31" t="inlineStr">
        <is>
          <t>接口登记</t>
        </is>
      </c>
      <c r="AC31" t="inlineStr">
        <is>
          <t>kg/kg SPI（占位）</t>
        </is>
      </c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51" t="n"/>
      <c r="J32" s="18" t="n"/>
      <c r="K32" s="18" t="n"/>
      <c r="L32" s="18" t="n"/>
      <c r="M32" s="18" t="n"/>
      <c r="N32" s="18" t="n"/>
      <c r="O32" s="18" t="n"/>
      <c r="P32" s="52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51" t="n"/>
      <c r="J33" s="18" t="n"/>
      <c r="K33" s="18" t="n"/>
      <c r="L33" s="18" t="n"/>
      <c r="M33" s="18" t="n"/>
      <c r="N33" s="18" t="n"/>
      <c r="O33" s="18" t="n"/>
      <c r="P33" s="52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51" t="n"/>
      <c r="J34" s="18" t="n"/>
      <c r="K34" s="18" t="n"/>
      <c r="L34" s="18" t="n"/>
      <c r="M34" s="18" t="n"/>
      <c r="N34" s="18" t="n"/>
      <c r="O34" s="18" t="n"/>
      <c r="P34" s="52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51" t="n"/>
      <c r="J35" s="18" t="n"/>
      <c r="K35" s="18" t="n"/>
      <c r="L35" s="18" t="n"/>
      <c r="M35" s="18" t="n"/>
      <c r="N35" s="18" t="n"/>
      <c r="O35" s="18" t="n"/>
      <c r="P35" s="52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51" t="n"/>
      <c r="J36" s="18" t="n"/>
      <c r="K36" s="18" t="n"/>
      <c r="L36" s="18" t="n"/>
      <c r="M36" s="18" t="n"/>
      <c r="N36" s="18" t="n"/>
      <c r="O36" s="18" t="n"/>
      <c r="P36" s="52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51" t="n"/>
      <c r="J37" s="18" t="n"/>
      <c r="K37" s="18" t="n"/>
      <c r="L37" s="18" t="n"/>
      <c r="M37" s="18" t="n"/>
      <c r="N37" s="18" t="n"/>
      <c r="O37" s="18" t="n"/>
      <c r="P37" s="52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51" t="n"/>
      <c r="J38" s="18" t="n"/>
      <c r="K38" s="18" t="n"/>
      <c r="L38" s="18" t="n"/>
      <c r="M38" s="18" t="n"/>
      <c r="N38" s="18" t="n"/>
      <c r="O38" s="18" t="n"/>
      <c r="P38" s="52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51" t="n"/>
      <c r="J39" s="18" t="n"/>
      <c r="K39" s="18" t="n"/>
      <c r="L39" s="18" t="n"/>
      <c r="M39" s="18" t="n"/>
      <c r="N39" s="18" t="n"/>
      <c r="O39" s="18" t="n"/>
      <c r="P39" s="52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51" t="n"/>
      <c r="J40" s="18" t="n"/>
      <c r="K40" s="18" t="n"/>
      <c r="L40" s="18" t="n"/>
      <c r="M40" s="18" t="n"/>
      <c r="N40" s="18" t="n"/>
      <c r="O40" s="18" t="n"/>
      <c r="P40" s="52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51" t="n"/>
      <c r="J41" s="18" t="n"/>
      <c r="K41" s="18" t="n"/>
      <c r="L41" s="18" t="n"/>
      <c r="M41" s="18" t="n"/>
      <c r="N41" s="18" t="n"/>
      <c r="O41" s="18" t="n"/>
      <c r="P41" s="52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51" t="n"/>
      <c r="J42" s="18" t="n"/>
      <c r="K42" s="18" t="n"/>
      <c r="L42" s="18" t="n"/>
      <c r="M42" s="18" t="n"/>
      <c r="N42" s="18" t="n"/>
      <c r="O42" s="18" t="n"/>
      <c r="P42" s="52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51" t="n"/>
      <c r="J43" s="18" t="n"/>
      <c r="K43" s="18" t="n"/>
      <c r="L43" s="18" t="n"/>
      <c r="M43" s="18" t="n"/>
      <c r="N43" s="18" t="n"/>
      <c r="O43" s="18" t="n"/>
      <c r="P43" s="52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51" t="n"/>
      <c r="J44" s="18" t="n"/>
      <c r="K44" s="18" t="n"/>
      <c r="L44" s="18" t="n"/>
      <c r="M44" s="18" t="n"/>
      <c r="N44" s="18" t="n"/>
      <c r="O44" s="18" t="n"/>
      <c r="P44" s="52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51" t="n"/>
      <c r="J45" s="18" t="n"/>
      <c r="K45" s="18" t="n"/>
      <c r="L45" s="18" t="n"/>
      <c r="M45" s="18" t="n"/>
      <c r="N45" s="18" t="n"/>
      <c r="O45" s="18" t="n"/>
      <c r="P45" s="52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51" t="n"/>
      <c r="J46" s="18" t="n"/>
      <c r="K46" s="18" t="n"/>
      <c r="L46" s="18" t="n"/>
      <c r="M46" s="18" t="n"/>
      <c r="N46" s="18" t="n"/>
      <c r="O46" s="18" t="n"/>
      <c r="P46" s="52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51" t="n"/>
      <c r="J47" s="18" t="n"/>
      <c r="K47" s="18" t="n"/>
      <c r="L47" s="18" t="n"/>
      <c r="M47" s="18" t="n"/>
      <c r="N47" s="18" t="n"/>
      <c r="O47" s="18" t="n"/>
      <c r="P47" s="52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51" t="n"/>
      <c r="J48" s="18" t="n"/>
      <c r="K48" s="18" t="n"/>
      <c r="L48" s="18" t="n"/>
      <c r="M48" s="18" t="n"/>
      <c r="N48" s="18" t="n"/>
      <c r="O48" s="18" t="n"/>
      <c r="P48" s="52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51" t="n"/>
      <c r="J49" s="18" t="n"/>
      <c r="K49" s="18" t="n"/>
      <c r="L49" s="18" t="n"/>
      <c r="M49" s="18" t="n"/>
      <c r="N49" s="18" t="n"/>
      <c r="O49" s="18" t="n"/>
      <c r="P49" s="52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51" t="n"/>
      <c r="J50" s="18" t="n"/>
      <c r="K50" s="18" t="n"/>
      <c r="L50" s="18" t="n"/>
      <c r="M50" s="18" t="n"/>
      <c r="N50" s="18" t="n"/>
      <c r="O50" s="18" t="n"/>
      <c r="P50" s="52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51" t="n"/>
      <c r="J51" s="18" t="n"/>
      <c r="K51" s="18" t="n"/>
      <c r="L51" s="18" t="n"/>
      <c r="M51" s="18" t="n"/>
      <c r="N51" s="18" t="n"/>
      <c r="O51" s="18" t="n"/>
      <c r="P51" s="52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51" t="n"/>
      <c r="J52" s="18" t="n"/>
      <c r="K52" s="18" t="n"/>
      <c r="L52" s="18" t="n"/>
      <c r="M52" s="18" t="n"/>
      <c r="N52" s="18" t="n"/>
      <c r="O52" s="18" t="n"/>
      <c r="P52" s="52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51" t="n"/>
      <c r="J53" s="18" t="n"/>
      <c r="K53" s="18" t="n"/>
      <c r="L53" s="18" t="n"/>
      <c r="M53" s="18" t="n"/>
      <c r="N53" s="18" t="n"/>
      <c r="O53" s="18" t="n"/>
      <c r="P53" s="52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51" t="n"/>
      <c r="J54" s="18" t="n"/>
      <c r="K54" s="18" t="n"/>
      <c r="L54" s="18" t="n"/>
      <c r="M54" s="18" t="n"/>
      <c r="N54" s="18" t="n"/>
      <c r="O54" s="18" t="n"/>
      <c r="P54" s="52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51" t="n"/>
      <c r="J55" s="18" t="n"/>
      <c r="K55" s="18" t="n"/>
      <c r="L55" s="18" t="n"/>
      <c r="M55" s="18" t="n"/>
      <c r="N55" s="18" t="n"/>
      <c r="O55" s="18" t="n"/>
      <c r="P55" s="52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51" t="n"/>
      <c r="J56" s="18" t="n"/>
      <c r="K56" s="18" t="n"/>
      <c r="L56" s="18" t="n"/>
      <c r="M56" s="18" t="n"/>
      <c r="N56" s="18" t="n"/>
      <c r="O56" s="18" t="n"/>
      <c r="P56" s="52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51" t="n"/>
      <c r="J57" s="18" t="n"/>
      <c r="K57" s="18" t="n"/>
      <c r="L57" s="18" t="n"/>
      <c r="M57" s="18" t="n"/>
      <c r="N57" s="18" t="n"/>
      <c r="O57" s="18" t="n"/>
      <c r="P57" s="52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51" t="n"/>
      <c r="J58" s="18" t="n"/>
      <c r="K58" s="18" t="n"/>
      <c r="L58" s="18" t="n"/>
      <c r="M58" s="18" t="n"/>
      <c r="N58" s="18" t="n"/>
      <c r="O58" s="18" t="n"/>
      <c r="P58" s="52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51" t="n"/>
      <c r="J59" s="18" t="n"/>
      <c r="K59" s="18" t="n"/>
      <c r="L59" s="18" t="n"/>
      <c r="M59" s="18" t="n"/>
      <c r="N59" s="18" t="n"/>
      <c r="O59" s="18" t="n"/>
      <c r="P59" s="52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51" t="n"/>
      <c r="J60" s="18" t="n"/>
      <c r="K60" s="18" t="n"/>
      <c r="L60" s="18" t="n"/>
      <c r="M60" s="18" t="n"/>
      <c r="N60" s="18" t="n"/>
      <c r="O60" s="18" t="n"/>
      <c r="P60" s="52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51" t="n"/>
      <c r="J61" s="18" t="n"/>
      <c r="K61" s="18" t="n"/>
      <c r="L61" s="18" t="n"/>
      <c r="M61" s="18" t="n"/>
      <c r="N61" s="18" t="n"/>
      <c r="O61" s="18" t="n"/>
      <c r="P61" s="52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51" t="n"/>
      <c r="J62" s="18" t="n"/>
      <c r="K62" s="18" t="n"/>
      <c r="L62" s="18" t="n"/>
      <c r="M62" s="18" t="n"/>
      <c r="N62" s="18" t="n"/>
      <c r="O62" s="18" t="n"/>
      <c r="P62" s="52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51" t="n"/>
      <c r="J63" s="18" t="n"/>
      <c r="K63" s="18" t="n"/>
      <c r="L63" s="18" t="n"/>
      <c r="M63" s="18" t="n"/>
      <c r="N63" s="18" t="n"/>
      <c r="O63" s="18" t="n"/>
      <c r="P63" s="52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51" t="n"/>
      <c r="J64" s="18" t="n"/>
      <c r="K64" s="18" t="n"/>
      <c r="L64" s="18" t="n"/>
      <c r="M64" s="18" t="n"/>
      <c r="N64" s="18" t="n"/>
      <c r="O64" s="18" t="n"/>
      <c r="P64" s="52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51" t="n"/>
      <c r="J65" s="18" t="n"/>
      <c r="K65" s="18" t="n"/>
      <c r="L65" s="18" t="n"/>
      <c r="M65" s="18" t="n"/>
      <c r="N65" s="18" t="n"/>
      <c r="O65" s="18" t="n"/>
      <c r="P65" s="52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51" t="n"/>
      <c r="J66" s="18" t="n"/>
      <c r="K66" s="18" t="n"/>
      <c r="L66" s="18" t="n"/>
      <c r="M66" s="18" t="n"/>
      <c r="N66" s="18" t="n"/>
      <c r="O66" s="18" t="n"/>
      <c r="P66" s="52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51" t="n"/>
      <c r="J67" s="18" t="n"/>
      <c r="K67" s="18" t="n"/>
      <c r="L67" s="18" t="n"/>
      <c r="M67" s="18" t="n"/>
      <c r="N67" s="18" t="n"/>
      <c r="O67" s="18" t="n"/>
      <c r="P67" s="52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51" t="n"/>
      <c r="J68" s="18" t="n"/>
      <c r="K68" s="18" t="n"/>
      <c r="L68" s="18" t="n"/>
      <c r="M68" s="18" t="n"/>
      <c r="N68" s="18" t="n"/>
      <c r="O68" s="18" t="n"/>
      <c r="P68" s="52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51" t="n"/>
      <c r="J69" s="18" t="n"/>
      <c r="K69" s="18" t="n"/>
      <c r="L69" s="18" t="n"/>
      <c r="M69" s="18" t="n"/>
      <c r="N69" s="18" t="n"/>
      <c r="O69" s="18" t="n"/>
      <c r="P69" s="52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51" t="n"/>
      <c r="J70" s="18" t="n"/>
      <c r="K70" s="18" t="n"/>
      <c r="L70" s="18" t="n"/>
      <c r="M70" s="18" t="n"/>
      <c r="N70" s="18" t="n"/>
      <c r="O70" s="18" t="n"/>
      <c r="P70" s="52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51" t="n"/>
      <c r="J71" s="18" t="n"/>
      <c r="K71" s="18" t="n"/>
      <c r="L71" s="18" t="n"/>
      <c r="M71" s="18" t="n"/>
      <c r="N71" s="18" t="n"/>
      <c r="O71" s="18" t="n"/>
      <c r="P71" s="52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51" t="n"/>
      <c r="J72" s="18" t="n"/>
      <c r="K72" s="18" t="n"/>
      <c r="L72" s="18" t="n"/>
      <c r="M72" s="18" t="n"/>
      <c r="N72" s="18" t="n"/>
      <c r="O72" s="18" t="n"/>
      <c r="P72" s="52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51" t="n"/>
      <c r="J73" s="18" t="n"/>
      <c r="K73" s="18" t="n"/>
      <c r="L73" s="18" t="n"/>
      <c r="M73" s="18" t="n"/>
      <c r="N73" s="18" t="n"/>
      <c r="O73" s="18" t="n"/>
      <c r="P73" s="52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51" t="n"/>
      <c r="J74" s="18" t="n"/>
      <c r="K74" s="18" t="n"/>
      <c r="L74" s="18" t="n"/>
      <c r="M74" s="18" t="n"/>
      <c r="N74" s="18" t="n"/>
      <c r="O74" s="18" t="n"/>
      <c r="P74" s="52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51" t="n"/>
      <c r="J75" s="18" t="n"/>
      <c r="K75" s="18" t="n"/>
      <c r="L75" s="18" t="n"/>
      <c r="M75" s="18" t="n"/>
      <c r="N75" s="18" t="n"/>
      <c r="O75" s="18" t="n"/>
      <c r="P75" s="52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51" t="n"/>
      <c r="J76" s="18" t="n"/>
      <c r="K76" s="18" t="n"/>
      <c r="L76" s="18" t="n"/>
      <c r="M76" s="18" t="n"/>
      <c r="N76" s="18" t="n"/>
      <c r="O76" s="18" t="n"/>
      <c r="P76" s="52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51" t="n"/>
      <c r="J77" s="18" t="n"/>
      <c r="K77" s="18" t="n"/>
      <c r="L77" s="18" t="n"/>
      <c r="M77" s="18" t="n"/>
      <c r="N77" s="18" t="n"/>
      <c r="O77" s="18" t="n"/>
      <c r="P77" s="52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51" t="n"/>
      <c r="J78" s="18" t="n"/>
      <c r="K78" s="18" t="n"/>
      <c r="L78" s="18" t="n"/>
      <c r="M78" s="18" t="n"/>
      <c r="N78" s="18" t="n"/>
      <c r="O78" s="18" t="n"/>
      <c r="P78" s="52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51" t="n"/>
      <c r="J79" s="18" t="n"/>
      <c r="K79" s="18" t="n"/>
      <c r="L79" s="18" t="n"/>
      <c r="M79" s="18" t="n"/>
      <c r="N79" s="18" t="n"/>
      <c r="O79" s="18" t="n"/>
      <c r="P79" s="52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51" t="n"/>
      <c r="J80" s="18" t="n"/>
      <c r="K80" s="18" t="n"/>
      <c r="L80" s="18" t="n"/>
      <c r="M80" s="18" t="n"/>
      <c r="N80" s="18" t="n"/>
      <c r="O80" s="18" t="n"/>
      <c r="P80" s="52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51" t="n"/>
      <c r="J81" s="18" t="n"/>
      <c r="K81" s="18" t="n"/>
      <c r="L81" s="18" t="n"/>
      <c r="M81" s="18" t="n"/>
      <c r="N81" s="18" t="n"/>
      <c r="O81" s="18" t="n"/>
      <c r="P81" s="52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51" t="n"/>
      <c r="J82" s="18" t="n"/>
      <c r="K82" s="18" t="n"/>
      <c r="L82" s="18" t="n"/>
      <c r="M82" s="18" t="n"/>
      <c r="N82" s="18" t="n"/>
      <c r="O82" s="18" t="n"/>
      <c r="P82" s="52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51" t="n"/>
      <c r="J83" s="18" t="n"/>
      <c r="K83" s="18" t="n"/>
      <c r="L83" s="18" t="n"/>
      <c r="M83" s="18" t="n"/>
      <c r="N83" s="18" t="n"/>
      <c r="O83" s="18" t="n"/>
      <c r="P83" s="52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51" t="n"/>
      <c r="J84" s="18" t="n"/>
      <c r="K84" s="18" t="n"/>
      <c r="L84" s="18" t="n"/>
      <c r="M84" s="18" t="n"/>
      <c r="N84" s="18" t="n"/>
      <c r="O84" s="18" t="n"/>
      <c r="P84" s="52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51" t="n"/>
      <c r="J85" s="18" t="n"/>
      <c r="K85" s="18" t="n"/>
      <c r="L85" s="18" t="n"/>
      <c r="M85" s="18" t="n"/>
      <c r="N85" s="18" t="n"/>
      <c r="O85" s="18" t="n"/>
      <c r="P85" s="52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51" t="n"/>
      <c r="J86" s="18" t="n"/>
      <c r="K86" s="18" t="n"/>
      <c r="L86" s="18" t="n"/>
      <c r="M86" s="18" t="n"/>
      <c r="N86" s="18" t="n"/>
      <c r="O86" s="18" t="n"/>
      <c r="P86" s="52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51" t="n"/>
      <c r="J87" s="18" t="n"/>
      <c r="K87" s="18" t="n"/>
      <c r="L87" s="18" t="n"/>
      <c r="M87" s="18" t="n"/>
      <c r="N87" s="18" t="n"/>
      <c r="O87" s="18" t="n"/>
      <c r="P87" s="52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51" t="n"/>
      <c r="J88" s="18" t="n"/>
      <c r="K88" s="18" t="n"/>
      <c r="L88" s="18" t="n"/>
      <c r="M88" s="18" t="n"/>
      <c r="N88" s="18" t="n"/>
      <c r="O88" s="18" t="n"/>
      <c r="P88" s="52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51" t="n"/>
      <c r="J89" s="18" t="n"/>
      <c r="K89" s="18" t="n"/>
      <c r="L89" s="18" t="n"/>
      <c r="M89" s="18" t="n"/>
      <c r="N89" s="18" t="n"/>
      <c r="O89" s="18" t="n"/>
      <c r="P89" s="52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51" t="n"/>
      <c r="J90" s="18" t="n"/>
      <c r="K90" s="18" t="n"/>
      <c r="L90" s="18" t="n"/>
      <c r="M90" s="18" t="n"/>
      <c r="N90" s="18" t="n"/>
      <c r="O90" s="18" t="n"/>
      <c r="P90" s="52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51" t="n"/>
      <c r="J91" s="18" t="n"/>
      <c r="K91" s="18" t="n"/>
      <c r="L91" s="18" t="n"/>
      <c r="M91" s="18" t="n"/>
      <c r="N91" s="18" t="n"/>
      <c r="O91" s="18" t="n"/>
      <c r="P91" s="52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51" t="n"/>
      <c r="J92" s="18" t="n"/>
      <c r="K92" s="18" t="n"/>
      <c r="L92" s="18" t="n"/>
      <c r="M92" s="18" t="n"/>
      <c r="N92" s="18" t="n"/>
      <c r="O92" s="18" t="n"/>
      <c r="P92" s="52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51" t="n"/>
      <c r="J93" s="18" t="n"/>
      <c r="K93" s="18" t="n"/>
      <c r="L93" s="18" t="n"/>
      <c r="M93" s="18" t="n"/>
      <c r="N93" s="18" t="n"/>
      <c r="O93" s="18" t="n"/>
      <c r="P93" s="52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51" t="n"/>
      <c r="J94" s="18" t="n"/>
      <c r="K94" s="18" t="n"/>
      <c r="L94" s="18" t="n"/>
      <c r="M94" s="18" t="n"/>
      <c r="N94" s="18" t="n"/>
      <c r="O94" s="18" t="n"/>
      <c r="P94" s="52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51" t="n"/>
      <c r="J95" s="18" t="n"/>
      <c r="K95" s="18" t="n"/>
      <c r="L95" s="18" t="n"/>
      <c r="M95" s="18" t="n"/>
      <c r="N95" s="18" t="n"/>
      <c r="O95" s="18" t="n"/>
      <c r="P95" s="52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51" t="n"/>
      <c r="J96" s="18" t="n"/>
      <c r="K96" s="18" t="n"/>
      <c r="L96" s="18" t="n"/>
      <c r="M96" s="18" t="n"/>
      <c r="N96" s="18" t="n"/>
      <c r="O96" s="18" t="n"/>
      <c r="P96" s="52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51" t="n"/>
      <c r="J97" s="18" t="n"/>
      <c r="K97" s="18" t="n"/>
      <c r="L97" s="18" t="n"/>
      <c r="M97" s="18" t="n"/>
      <c r="N97" s="18" t="n"/>
      <c r="O97" s="18" t="n"/>
      <c r="P97" s="52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51" t="n"/>
      <c r="J98" s="18" t="n"/>
      <c r="K98" s="18" t="n"/>
      <c r="L98" s="18" t="n"/>
      <c r="M98" s="18" t="n"/>
      <c r="N98" s="18" t="n"/>
      <c r="O98" s="18" t="n"/>
      <c r="P98" s="52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51" t="n"/>
      <c r="J99" s="18" t="n"/>
      <c r="K99" s="18" t="n"/>
      <c r="L99" s="18" t="n"/>
      <c r="M99" s="18" t="n"/>
      <c r="N99" s="18" t="n"/>
      <c r="O99" s="18" t="n"/>
      <c r="P99" s="52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51" t="n"/>
      <c r="J100" s="18" t="n"/>
      <c r="K100" s="18" t="n"/>
      <c r="L100" s="18" t="n"/>
      <c r="M100" s="18" t="n"/>
      <c r="N100" s="18" t="n"/>
      <c r="O100" s="18" t="n"/>
      <c r="P100" s="52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51" t="n"/>
      <c r="J101" s="18" t="n"/>
      <c r="K101" s="18" t="n"/>
      <c r="L101" s="18" t="n"/>
      <c r="M101" s="18" t="n"/>
      <c r="N101" s="18" t="n"/>
      <c r="O101" s="18" t="n"/>
      <c r="P101" s="52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51" t="n"/>
      <c r="J102" s="18" t="n"/>
      <c r="K102" s="18" t="n"/>
      <c r="L102" s="18" t="n"/>
      <c r="M102" s="18" t="n"/>
      <c r="N102" s="18" t="n"/>
      <c r="O102" s="18" t="n"/>
      <c r="P102" s="52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51" t="n"/>
      <c r="J103" s="18" t="n"/>
      <c r="K103" s="18" t="n"/>
      <c r="L103" s="18" t="n"/>
      <c r="M103" s="18" t="n"/>
      <c r="N103" s="18" t="n"/>
      <c r="O103" s="18" t="n"/>
      <c r="P103" s="52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51" t="n"/>
      <c r="J104" s="18" t="n"/>
      <c r="K104" s="18" t="n"/>
      <c r="L104" s="18" t="n"/>
      <c r="M104" s="18" t="n"/>
      <c r="N104" s="18" t="n"/>
      <c r="O104" s="18" t="n"/>
      <c r="P104" s="52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51" t="n"/>
      <c r="J105" s="18" t="n"/>
      <c r="K105" s="18" t="n"/>
      <c r="L105" s="18" t="n"/>
      <c r="M105" s="18" t="n"/>
      <c r="N105" s="18" t="n"/>
      <c r="O105" s="18" t="n"/>
      <c r="P105" s="52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51" t="n"/>
      <c r="J106" s="18" t="n"/>
      <c r="K106" s="18" t="n"/>
      <c r="L106" s="18" t="n"/>
      <c r="M106" s="18" t="n"/>
      <c r="N106" s="18" t="n"/>
      <c r="O106" s="18" t="n"/>
      <c r="P106" s="52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51" t="n"/>
      <c r="J107" s="18" t="n"/>
      <c r="K107" s="18" t="n"/>
      <c r="L107" s="18" t="n"/>
      <c r="M107" s="18" t="n"/>
      <c r="N107" s="18" t="n"/>
      <c r="O107" s="18" t="n"/>
      <c r="P107" s="52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51" t="n"/>
      <c r="J108" s="18" t="n"/>
      <c r="K108" s="18" t="n"/>
      <c r="L108" s="18" t="n"/>
      <c r="M108" s="18" t="n"/>
      <c r="N108" s="18" t="n"/>
      <c r="O108" s="18" t="n"/>
      <c r="P108" s="52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51" t="n"/>
      <c r="J109" s="18" t="n"/>
      <c r="K109" s="18" t="n"/>
      <c r="L109" s="18" t="n"/>
      <c r="M109" s="18" t="n"/>
      <c r="N109" s="18" t="n"/>
      <c r="O109" s="18" t="n"/>
      <c r="P109" s="52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51" t="n"/>
      <c r="J110" s="18" t="n"/>
      <c r="K110" s="18" t="n"/>
      <c r="L110" s="18" t="n"/>
      <c r="M110" s="18" t="n"/>
      <c r="N110" s="18" t="n"/>
      <c r="O110" s="18" t="n"/>
      <c r="P110" s="52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51" t="n"/>
      <c r="J111" s="18" t="n"/>
      <c r="K111" s="18" t="n"/>
      <c r="L111" s="18" t="n"/>
      <c r="M111" s="18" t="n"/>
      <c r="N111" s="18" t="n"/>
      <c r="O111" s="18" t="n"/>
      <c r="P111" s="52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51" t="n"/>
      <c r="J112" s="18" t="n"/>
      <c r="K112" s="18" t="n"/>
      <c r="L112" s="18" t="n"/>
      <c r="M112" s="18" t="n"/>
      <c r="N112" s="18" t="n"/>
      <c r="O112" s="18" t="n"/>
      <c r="P112" s="52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51" t="n"/>
      <c r="J113" s="18" t="n"/>
      <c r="K113" s="18" t="n"/>
      <c r="L113" s="18" t="n"/>
      <c r="M113" s="18" t="n"/>
      <c r="N113" s="18" t="n"/>
      <c r="O113" s="18" t="n"/>
      <c r="P113" s="52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51" t="n"/>
      <c r="J114" s="18" t="n"/>
      <c r="K114" s="18" t="n"/>
      <c r="L114" s="18" t="n"/>
      <c r="M114" s="18" t="n"/>
      <c r="N114" s="18" t="n"/>
      <c r="O114" s="18" t="n"/>
      <c r="P114" s="52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51" t="n"/>
      <c r="J115" s="18" t="n"/>
      <c r="K115" s="18" t="n"/>
      <c r="L115" s="18" t="n"/>
      <c r="M115" s="18" t="n"/>
      <c r="N115" s="18" t="n"/>
      <c r="O115" s="18" t="n"/>
      <c r="P115" s="52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51" t="n"/>
      <c r="J116" s="18" t="n"/>
      <c r="K116" s="18" t="n"/>
      <c r="L116" s="18" t="n"/>
      <c r="M116" s="18" t="n"/>
      <c r="N116" s="18" t="n"/>
      <c r="O116" s="18" t="n"/>
      <c r="P116" s="52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51" t="n"/>
      <c r="J117" s="18" t="n"/>
      <c r="K117" s="18" t="n"/>
      <c r="L117" s="18" t="n"/>
      <c r="M117" s="18" t="n"/>
      <c r="N117" s="18" t="n"/>
      <c r="O117" s="18" t="n"/>
      <c r="P117" s="52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51" t="n"/>
      <c r="J118" s="18" t="n"/>
      <c r="K118" s="18" t="n"/>
      <c r="L118" s="18" t="n"/>
      <c r="M118" s="18" t="n"/>
      <c r="N118" s="18" t="n"/>
      <c r="O118" s="18" t="n"/>
      <c r="P118" s="52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51" t="n"/>
      <c r="J119" s="18" t="n"/>
      <c r="K119" s="18" t="n"/>
      <c r="L119" s="18" t="n"/>
      <c r="M119" s="18" t="n"/>
      <c r="N119" s="18" t="n"/>
      <c r="O119" s="18" t="n"/>
      <c r="P119" s="52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51" t="n"/>
      <c r="J120" s="18" t="n"/>
      <c r="K120" s="18" t="n"/>
      <c r="L120" s="18" t="n"/>
      <c r="M120" s="18" t="n"/>
      <c r="N120" s="18" t="n"/>
      <c r="O120" s="18" t="n"/>
      <c r="P120" s="52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51" t="n"/>
      <c r="J121" s="18" t="n"/>
      <c r="K121" s="18" t="n"/>
      <c r="L121" s="18" t="n"/>
      <c r="M121" s="18" t="n"/>
      <c r="N121" s="18" t="n"/>
      <c r="O121" s="18" t="n"/>
      <c r="P121" s="52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51" t="n"/>
      <c r="J122" s="18" t="n"/>
      <c r="K122" s="18" t="n"/>
      <c r="L122" s="18" t="n"/>
      <c r="M122" s="18" t="n"/>
      <c r="N122" s="18" t="n"/>
      <c r="O122" s="18" t="n"/>
      <c r="P122" s="52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51" t="n"/>
      <c r="J123" s="18" t="n"/>
      <c r="K123" s="18" t="n"/>
      <c r="L123" s="18" t="n"/>
      <c r="M123" s="18" t="n"/>
      <c r="N123" s="18" t="n"/>
      <c r="O123" s="18" t="n"/>
      <c r="P123" s="52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51" t="n"/>
      <c r="J124" s="18" t="n"/>
      <c r="K124" s="18" t="n"/>
      <c r="L124" s="18" t="n"/>
      <c r="M124" s="18" t="n"/>
      <c r="N124" s="18" t="n"/>
      <c r="O124" s="18" t="n"/>
      <c r="P124" s="52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51" t="n"/>
      <c r="J125" s="18" t="n"/>
      <c r="K125" s="18" t="n"/>
      <c r="L125" s="18" t="n"/>
      <c r="M125" s="18" t="n"/>
      <c r="N125" s="18" t="n"/>
      <c r="O125" s="18" t="n"/>
      <c r="P125" s="52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51" t="n"/>
      <c r="J126" s="18" t="n"/>
      <c r="K126" s="18" t="n"/>
      <c r="L126" s="18" t="n"/>
      <c r="M126" s="18" t="n"/>
      <c r="N126" s="18" t="n"/>
      <c r="O126" s="18" t="n"/>
      <c r="P126" s="52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51" t="n"/>
      <c r="J127" s="18" t="n"/>
      <c r="K127" s="18" t="n"/>
      <c r="L127" s="18" t="n"/>
      <c r="M127" s="18" t="n"/>
      <c r="N127" s="18" t="n"/>
      <c r="O127" s="18" t="n"/>
      <c r="P127" s="52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51" t="n"/>
      <c r="J128" s="18" t="n"/>
      <c r="K128" s="18" t="n"/>
      <c r="L128" s="18" t="n"/>
      <c r="M128" s="18" t="n"/>
      <c r="N128" s="18" t="n"/>
      <c r="O128" s="18" t="n"/>
      <c r="P128" s="52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51" t="n"/>
      <c r="J129" s="18" t="n"/>
      <c r="K129" s="18" t="n"/>
      <c r="L129" s="18" t="n"/>
      <c r="M129" s="18" t="n"/>
      <c r="N129" s="18" t="n"/>
      <c r="O129" s="18" t="n"/>
      <c r="P129" s="52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51" t="n"/>
      <c r="J130" s="18" t="n"/>
      <c r="K130" s="18" t="n"/>
      <c r="L130" s="18" t="n"/>
      <c r="M130" s="18" t="n"/>
      <c r="N130" s="18" t="n"/>
      <c r="O130" s="18" t="n"/>
      <c r="P130" s="52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51" t="n"/>
      <c r="J131" s="18" t="n"/>
      <c r="K131" s="18" t="n"/>
      <c r="L131" s="18" t="n"/>
      <c r="M131" s="18" t="n"/>
      <c r="N131" s="18" t="n"/>
      <c r="O131" s="18" t="n"/>
      <c r="P131" s="52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51" t="n"/>
      <c r="J132" s="18" t="n"/>
      <c r="K132" s="18" t="n"/>
      <c r="L132" s="18" t="n"/>
      <c r="M132" s="18" t="n"/>
      <c r="N132" s="18" t="n"/>
      <c r="O132" s="18" t="n"/>
      <c r="P132" s="52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51" t="n"/>
      <c r="J133" s="18" t="n"/>
      <c r="K133" s="18" t="n"/>
      <c r="L133" s="18" t="n"/>
      <c r="M133" s="18" t="n"/>
      <c r="N133" s="18" t="n"/>
      <c r="O133" s="18" t="n"/>
      <c r="P133" s="52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51" t="n"/>
      <c r="J134" s="18" t="n"/>
      <c r="K134" s="18" t="n"/>
      <c r="L134" s="18" t="n"/>
      <c r="M134" s="18" t="n"/>
      <c r="N134" s="18" t="n"/>
      <c r="O134" s="18" t="n"/>
      <c r="P134" s="52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51" t="n"/>
      <c r="J135" s="18" t="n"/>
      <c r="K135" s="18" t="n"/>
      <c r="L135" s="18" t="n"/>
      <c r="M135" s="18" t="n"/>
      <c r="N135" s="18" t="n"/>
      <c r="O135" s="18" t="n"/>
      <c r="P135" s="52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51" t="n"/>
      <c r="J136" s="18" t="n"/>
      <c r="K136" s="18" t="n"/>
      <c r="L136" s="18" t="n"/>
      <c r="M136" s="18" t="n"/>
      <c r="N136" s="18" t="n"/>
      <c r="O136" s="18" t="n"/>
      <c r="P136" s="52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51" t="n"/>
      <c r="J137" s="18" t="n"/>
      <c r="K137" s="18" t="n"/>
      <c r="L137" s="18" t="n"/>
      <c r="M137" s="18" t="n"/>
      <c r="N137" s="18" t="n"/>
      <c r="O137" s="18" t="n"/>
      <c r="P137" s="52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51" t="n"/>
      <c r="J138" s="18" t="n"/>
      <c r="K138" s="18" t="n"/>
      <c r="L138" s="18" t="n"/>
      <c r="M138" s="18" t="n"/>
      <c r="N138" s="18" t="n"/>
      <c r="O138" s="18" t="n"/>
      <c r="P138" s="52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51" t="n"/>
      <c r="J139" s="18" t="n"/>
      <c r="K139" s="18" t="n"/>
      <c r="L139" s="18" t="n"/>
      <c r="M139" s="18" t="n"/>
      <c r="N139" s="18" t="n"/>
      <c r="O139" s="18" t="n"/>
      <c r="P139" s="52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51" t="n"/>
      <c r="J140" s="18" t="n"/>
      <c r="K140" s="18" t="n"/>
      <c r="L140" s="18" t="n"/>
      <c r="M140" s="18" t="n"/>
      <c r="N140" s="18" t="n"/>
      <c r="O140" s="18" t="n"/>
      <c r="P140" s="52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51" t="n"/>
      <c r="J141" s="18" t="n"/>
      <c r="K141" s="18" t="n"/>
      <c r="L141" s="18" t="n"/>
      <c r="M141" s="18" t="n"/>
      <c r="N141" s="18" t="n"/>
      <c r="O141" s="18" t="n"/>
      <c r="P141" s="52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51" t="n"/>
      <c r="J142" s="18" t="n"/>
      <c r="K142" s="18" t="n"/>
      <c r="L142" s="18" t="n"/>
      <c r="M142" s="18" t="n"/>
      <c r="N142" s="18" t="n"/>
      <c r="O142" s="18" t="n"/>
      <c r="P142" s="52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51" t="n"/>
      <c r="J143" s="18" t="n"/>
      <c r="K143" s="18" t="n"/>
      <c r="L143" s="18" t="n"/>
      <c r="M143" s="18" t="n"/>
      <c r="N143" s="18" t="n"/>
      <c r="O143" s="18" t="n"/>
      <c r="P143" s="52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51" t="n"/>
      <c r="J144" s="18" t="n"/>
      <c r="K144" s="18" t="n"/>
      <c r="L144" s="18" t="n"/>
      <c r="M144" s="18" t="n"/>
      <c r="N144" s="18" t="n"/>
      <c r="O144" s="18" t="n"/>
      <c r="P144" s="52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51" t="n"/>
      <c r="J145" s="18" t="n"/>
      <c r="K145" s="18" t="n"/>
      <c r="L145" s="18" t="n"/>
      <c r="M145" s="18" t="n"/>
      <c r="N145" s="18" t="n"/>
      <c r="O145" s="18" t="n"/>
      <c r="P145" s="52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51" t="n"/>
      <c r="J146" s="18" t="n"/>
      <c r="K146" s="18" t="n"/>
      <c r="L146" s="18" t="n"/>
      <c r="M146" s="18" t="n"/>
      <c r="N146" s="18" t="n"/>
      <c r="O146" s="18" t="n"/>
      <c r="P146" s="52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51" t="n"/>
      <c r="J147" s="18" t="n"/>
      <c r="K147" s="18" t="n"/>
      <c r="L147" s="18" t="n"/>
      <c r="M147" s="18" t="n"/>
      <c r="N147" s="18" t="n"/>
      <c r="O147" s="18" t="n"/>
      <c r="P147" s="52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51" t="n"/>
      <c r="J148" s="18" t="n"/>
      <c r="K148" s="18" t="n"/>
      <c r="L148" s="18" t="n"/>
      <c r="M148" s="18" t="n"/>
      <c r="N148" s="18" t="n"/>
      <c r="O148" s="18" t="n"/>
      <c r="P148" s="52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51" t="n"/>
      <c r="J149" s="18" t="n"/>
      <c r="K149" s="18" t="n"/>
      <c r="L149" s="18" t="n"/>
      <c r="M149" s="18" t="n"/>
      <c r="N149" s="18" t="n"/>
      <c r="O149" s="18" t="n"/>
      <c r="P149" s="52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51" t="n"/>
      <c r="J150" s="18" t="n"/>
      <c r="K150" s="18" t="n"/>
      <c r="L150" s="18" t="n"/>
      <c r="M150" s="18" t="n"/>
      <c r="N150" s="18" t="n"/>
      <c r="O150" s="18" t="n"/>
      <c r="P150" s="52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51" t="n"/>
      <c r="J151" s="18" t="n"/>
      <c r="K151" s="18" t="n"/>
      <c r="L151" s="18" t="n"/>
      <c r="M151" s="18" t="n"/>
      <c r="N151" s="18" t="n"/>
      <c r="O151" s="18" t="n"/>
      <c r="P151" s="52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51" t="n"/>
      <c r="J152" s="18" t="n"/>
      <c r="K152" s="18" t="n"/>
      <c r="L152" s="18" t="n"/>
      <c r="M152" s="18" t="n"/>
      <c r="N152" s="18" t="n"/>
      <c r="O152" s="18" t="n"/>
      <c r="P152" s="52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51" t="n"/>
      <c r="J153" s="18" t="n"/>
      <c r="K153" s="18" t="n"/>
      <c r="L153" s="18" t="n"/>
      <c r="M153" s="18" t="n"/>
      <c r="N153" s="18" t="n"/>
      <c r="O153" s="18" t="n"/>
      <c r="P153" s="52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51" t="n"/>
      <c r="J154" s="18" t="n"/>
      <c r="K154" s="18" t="n"/>
      <c r="L154" s="18" t="n"/>
      <c r="M154" s="18" t="n"/>
      <c r="N154" s="18" t="n"/>
      <c r="O154" s="18" t="n"/>
      <c r="P154" s="52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51" t="n"/>
      <c r="J155" s="18" t="n"/>
      <c r="K155" s="18" t="n"/>
      <c r="L155" s="18" t="n"/>
      <c r="M155" s="18" t="n"/>
      <c r="N155" s="18" t="n"/>
      <c r="O155" s="18" t="n"/>
      <c r="P155" s="52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51" t="n"/>
      <c r="J156" s="18" t="n"/>
      <c r="K156" s="18" t="n"/>
      <c r="L156" s="18" t="n"/>
      <c r="M156" s="18" t="n"/>
      <c r="N156" s="18" t="n"/>
      <c r="O156" s="18" t="n"/>
      <c r="P156" s="52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51" t="n"/>
      <c r="J157" s="18" t="n"/>
      <c r="K157" s="18" t="n"/>
      <c r="L157" s="18" t="n"/>
      <c r="M157" s="18" t="n"/>
      <c r="N157" s="18" t="n"/>
      <c r="O157" s="18" t="n"/>
      <c r="P157" s="52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51" t="n"/>
      <c r="J158" s="18" t="n"/>
      <c r="K158" s="18" t="n"/>
      <c r="L158" s="18" t="n"/>
      <c r="M158" s="18" t="n"/>
      <c r="N158" s="18" t="n"/>
      <c r="O158" s="18" t="n"/>
      <c r="P158" s="52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51" t="n"/>
      <c r="J159" s="18" t="n"/>
      <c r="K159" s="18" t="n"/>
      <c r="L159" s="18" t="n"/>
      <c r="M159" s="18" t="n"/>
      <c r="N159" s="18" t="n"/>
      <c r="O159" s="18" t="n"/>
      <c r="P159" s="52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51" t="n"/>
      <c r="J160" s="18" t="n"/>
      <c r="K160" s="18" t="n"/>
      <c r="L160" s="18" t="n"/>
      <c r="M160" s="18" t="n"/>
      <c r="N160" s="18" t="n"/>
      <c r="O160" s="18" t="n"/>
      <c r="P160" s="52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51" t="n"/>
      <c r="J161" s="18" t="n"/>
      <c r="K161" s="18" t="n"/>
      <c r="L161" s="18" t="n"/>
      <c r="M161" s="18" t="n"/>
      <c r="N161" s="18" t="n"/>
      <c r="O161" s="18" t="n"/>
      <c r="P161" s="52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51" t="n"/>
      <c r="J162" s="18" t="n"/>
      <c r="K162" s="18" t="n"/>
      <c r="L162" s="18" t="n"/>
      <c r="M162" s="18" t="n"/>
      <c r="N162" s="18" t="n"/>
      <c r="O162" s="18" t="n"/>
      <c r="P162" s="52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51" t="n"/>
      <c r="J163" s="18" t="n"/>
      <c r="K163" s="18" t="n"/>
      <c r="L163" s="18" t="n"/>
      <c r="M163" s="18" t="n"/>
      <c r="N163" s="18" t="n"/>
      <c r="O163" s="18" t="n"/>
      <c r="P163" s="52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51" t="n"/>
      <c r="J164" s="18" t="n"/>
      <c r="K164" s="18" t="n"/>
      <c r="L164" s="18" t="n"/>
      <c r="M164" s="18" t="n"/>
      <c r="N164" s="18" t="n"/>
      <c r="O164" s="18" t="n"/>
      <c r="P164" s="52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51" t="n"/>
      <c r="J165" s="18" t="n"/>
      <c r="K165" s="18" t="n"/>
      <c r="L165" s="18" t="n"/>
      <c r="M165" s="18" t="n"/>
      <c r="N165" s="18" t="n"/>
      <c r="O165" s="18" t="n"/>
      <c r="P165" s="52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51" t="n"/>
      <c r="J166" s="18" t="n"/>
      <c r="K166" s="18" t="n"/>
      <c r="L166" s="18" t="n"/>
      <c r="M166" s="18" t="n"/>
      <c r="N166" s="18" t="n"/>
      <c r="O166" s="18" t="n"/>
      <c r="P166" s="52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51" t="n"/>
      <c r="J167" s="18" t="n"/>
      <c r="K167" s="18" t="n"/>
      <c r="L167" s="18" t="n"/>
      <c r="M167" s="18" t="n"/>
      <c r="N167" s="18" t="n"/>
      <c r="O167" s="18" t="n"/>
      <c r="P167" s="52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51" t="n"/>
      <c r="J168" s="18" t="n"/>
      <c r="K168" s="18" t="n"/>
      <c r="L168" s="18" t="n"/>
      <c r="M168" s="18" t="n"/>
      <c r="N168" s="18" t="n"/>
      <c r="O168" s="18" t="n"/>
      <c r="P168" s="52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51" t="n"/>
      <c r="J169" s="18" t="n"/>
      <c r="K169" s="18" t="n"/>
      <c r="L169" s="18" t="n"/>
      <c r="M169" s="18" t="n"/>
      <c r="N169" s="18" t="n"/>
      <c r="O169" s="18" t="n"/>
      <c r="P169" s="52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51" t="n"/>
      <c r="J170" s="18" t="n"/>
      <c r="K170" s="18" t="n"/>
      <c r="L170" s="18" t="n"/>
      <c r="M170" s="18" t="n"/>
      <c r="N170" s="18" t="n"/>
      <c r="O170" s="18" t="n"/>
      <c r="P170" s="52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51" t="n"/>
      <c r="J171" s="18" t="n"/>
      <c r="K171" s="18" t="n"/>
      <c r="L171" s="18" t="n"/>
      <c r="M171" s="18" t="n"/>
      <c r="N171" s="18" t="n"/>
      <c r="O171" s="18" t="n"/>
      <c r="P171" s="52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51" t="n"/>
      <c r="J172" s="18" t="n"/>
      <c r="K172" s="18" t="n"/>
      <c r="L172" s="18" t="n"/>
      <c r="M172" s="18" t="n"/>
      <c r="N172" s="18" t="n"/>
      <c r="O172" s="18" t="n"/>
      <c r="P172" s="52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51" t="n"/>
      <c r="J173" s="18" t="n"/>
      <c r="K173" s="18" t="n"/>
      <c r="L173" s="18" t="n"/>
      <c r="M173" s="18" t="n"/>
      <c r="N173" s="18" t="n"/>
      <c r="O173" s="18" t="n"/>
      <c r="P173" s="52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51" t="n"/>
      <c r="J174" s="18" t="n"/>
      <c r="K174" s="18" t="n"/>
      <c r="L174" s="18" t="n"/>
      <c r="M174" s="18" t="n"/>
      <c r="N174" s="18" t="n"/>
      <c r="O174" s="18" t="n"/>
      <c r="P174" s="52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51" t="n"/>
      <c r="J175" s="18" t="n"/>
      <c r="K175" s="18" t="n"/>
      <c r="L175" s="18" t="n"/>
      <c r="M175" s="18" t="n"/>
      <c r="N175" s="18" t="n"/>
      <c r="O175" s="18" t="n"/>
      <c r="P175" s="52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51" t="n"/>
      <c r="J176" s="18" t="n"/>
      <c r="K176" s="18" t="n"/>
      <c r="L176" s="18" t="n"/>
      <c r="M176" s="18" t="n"/>
      <c r="N176" s="18" t="n"/>
      <c r="O176" s="18" t="n"/>
      <c r="P176" s="52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51" t="n"/>
      <c r="J177" s="18" t="n"/>
      <c r="K177" s="18" t="n"/>
      <c r="L177" s="18" t="n"/>
      <c r="M177" s="18" t="n"/>
      <c r="N177" s="18" t="n"/>
      <c r="O177" s="18" t="n"/>
      <c r="P177" s="52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51" t="n"/>
      <c r="J178" s="18" t="n"/>
      <c r="K178" s="18" t="n"/>
      <c r="L178" s="18" t="n"/>
      <c r="M178" s="18" t="n"/>
      <c r="N178" s="18" t="n"/>
      <c r="O178" s="18" t="n"/>
      <c r="P178" s="52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51" t="n"/>
      <c r="J179" s="18" t="n"/>
      <c r="K179" s="18" t="n"/>
      <c r="L179" s="18" t="n"/>
      <c r="M179" s="18" t="n"/>
      <c r="N179" s="18" t="n"/>
      <c r="O179" s="18" t="n"/>
      <c r="P179" s="52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51" t="n"/>
      <c r="J180" s="18" t="n"/>
      <c r="K180" s="18" t="n"/>
      <c r="L180" s="18" t="n"/>
      <c r="M180" s="18" t="n"/>
      <c r="N180" s="18" t="n"/>
      <c r="O180" s="18" t="n"/>
      <c r="P180" s="52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51" t="n"/>
      <c r="J181" s="18" t="n"/>
      <c r="K181" s="18" t="n"/>
      <c r="L181" s="18" t="n"/>
      <c r="M181" s="18" t="n"/>
      <c r="N181" s="18" t="n"/>
      <c r="O181" s="18" t="n"/>
      <c r="P181" s="52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51" t="n"/>
      <c r="J182" s="18" t="n"/>
      <c r="K182" s="18" t="n"/>
      <c r="L182" s="18" t="n"/>
      <c r="M182" s="18" t="n"/>
      <c r="N182" s="18" t="n"/>
      <c r="O182" s="18" t="n"/>
      <c r="P182" s="52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51" t="n"/>
      <c r="J183" s="18" t="n"/>
      <c r="K183" s="18" t="n"/>
      <c r="L183" s="18" t="n"/>
      <c r="M183" s="18" t="n"/>
      <c r="N183" s="18" t="n"/>
      <c r="O183" s="18" t="n"/>
      <c r="P183" s="52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51" t="n"/>
      <c r="J184" s="18" t="n"/>
      <c r="K184" s="18" t="n"/>
      <c r="L184" s="18" t="n"/>
      <c r="M184" s="18" t="n"/>
      <c r="N184" s="18" t="n"/>
      <c r="O184" s="18" t="n"/>
      <c r="P184" s="52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51" t="n"/>
      <c r="J185" s="18" t="n"/>
      <c r="K185" s="18" t="n"/>
      <c r="L185" s="18" t="n"/>
      <c r="M185" s="18" t="n"/>
      <c r="N185" s="18" t="n"/>
      <c r="O185" s="18" t="n"/>
      <c r="P185" s="52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51" t="n"/>
      <c r="J186" s="18" t="n"/>
      <c r="K186" s="18" t="n"/>
      <c r="L186" s="18" t="n"/>
      <c r="M186" s="18" t="n"/>
      <c r="N186" s="18" t="n"/>
      <c r="O186" s="18" t="n"/>
      <c r="P186" s="52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51" t="n"/>
      <c r="J187" s="18" t="n"/>
      <c r="K187" s="18" t="n"/>
      <c r="L187" s="18" t="n"/>
      <c r="M187" s="18" t="n"/>
      <c r="N187" s="18" t="n"/>
      <c r="O187" s="18" t="n"/>
      <c r="P187" s="52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51" t="n"/>
      <c r="J188" s="18" t="n"/>
      <c r="K188" s="18" t="n"/>
      <c r="L188" s="18" t="n"/>
      <c r="M188" s="18" t="n"/>
      <c r="N188" s="18" t="n"/>
      <c r="O188" s="18" t="n"/>
      <c r="P188" s="52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51" t="n"/>
      <c r="J189" s="18" t="n"/>
      <c r="K189" s="18" t="n"/>
      <c r="L189" s="18" t="n"/>
      <c r="M189" s="18" t="n"/>
      <c r="N189" s="18" t="n"/>
      <c r="O189" s="18" t="n"/>
      <c r="P189" s="52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51" t="n"/>
      <c r="J190" s="18" t="n"/>
      <c r="K190" s="18" t="n"/>
      <c r="L190" s="18" t="n"/>
      <c r="M190" s="18" t="n"/>
      <c r="N190" s="18" t="n"/>
      <c r="O190" s="18" t="n"/>
      <c r="P190" s="52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51" t="n"/>
      <c r="J191" s="18" t="n"/>
      <c r="K191" s="18" t="n"/>
      <c r="L191" s="18" t="n"/>
      <c r="M191" s="18" t="n"/>
      <c r="N191" s="18" t="n"/>
      <c r="O191" s="18" t="n"/>
      <c r="P191" s="52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51" t="n"/>
      <c r="J192" s="18" t="n"/>
      <c r="K192" s="18" t="n"/>
      <c r="L192" s="18" t="n"/>
      <c r="M192" s="18" t="n"/>
      <c r="N192" s="18" t="n"/>
      <c r="O192" s="18" t="n"/>
      <c r="P192" s="52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51" t="n"/>
      <c r="J193" s="18" t="n"/>
      <c r="K193" s="18" t="n"/>
      <c r="L193" s="18" t="n"/>
      <c r="M193" s="18" t="n"/>
      <c r="N193" s="18" t="n"/>
      <c r="O193" s="18" t="n"/>
      <c r="P193" s="52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51" t="n"/>
      <c r="J194" s="18" t="n"/>
      <c r="K194" s="18" t="n"/>
      <c r="L194" s="18" t="n"/>
      <c r="M194" s="18" t="n"/>
      <c r="N194" s="18" t="n"/>
      <c r="O194" s="18" t="n"/>
      <c r="P194" s="52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51" t="n"/>
      <c r="J195" s="18" t="n"/>
      <c r="K195" s="18" t="n"/>
      <c r="L195" s="18" t="n"/>
      <c r="M195" s="18" t="n"/>
      <c r="N195" s="18" t="n"/>
      <c r="O195" s="18" t="n"/>
      <c r="P195" s="52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51" t="n"/>
      <c r="J196" s="18" t="n"/>
      <c r="K196" s="18" t="n"/>
      <c r="L196" s="18" t="n"/>
      <c r="M196" s="18" t="n"/>
      <c r="N196" s="18" t="n"/>
      <c r="O196" s="18" t="n"/>
      <c r="P196" s="52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51" t="n"/>
      <c r="J197" s="18" t="n"/>
      <c r="K197" s="18" t="n"/>
      <c r="L197" s="18" t="n"/>
      <c r="M197" s="18" t="n"/>
      <c r="N197" s="18" t="n"/>
      <c r="O197" s="18" t="n"/>
      <c r="P197" s="52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51" t="n"/>
      <c r="J198" s="18" t="n"/>
      <c r="K198" s="18" t="n"/>
      <c r="L198" s="18" t="n"/>
      <c r="M198" s="18" t="n"/>
      <c r="N198" s="18" t="n"/>
      <c r="O198" s="18" t="n"/>
      <c r="P198" s="52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51" t="n"/>
      <c r="J199" s="18" t="n"/>
      <c r="K199" s="18" t="n"/>
      <c r="L199" s="18" t="n"/>
      <c r="M199" s="18" t="n"/>
      <c r="N199" s="18" t="n"/>
      <c r="O199" s="18" t="n"/>
      <c r="P199" s="52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51" t="n"/>
      <c r="J200" s="18" t="n"/>
      <c r="K200" s="18" t="n"/>
      <c r="L200" s="18" t="n"/>
      <c r="M200" s="18" t="n"/>
      <c r="N200" s="18" t="n"/>
      <c r="O200" s="18" t="n"/>
      <c r="P200" s="52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51" t="n"/>
      <c r="J201" s="18" t="n"/>
      <c r="K201" s="18" t="n"/>
      <c r="L201" s="18" t="n"/>
      <c r="M201" s="18" t="n"/>
      <c r="N201" s="18" t="n"/>
      <c r="O201" s="18" t="n"/>
      <c r="P201" s="52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51" t="n"/>
      <c r="J202" s="18" t="n"/>
      <c r="K202" s="18" t="n"/>
      <c r="L202" s="18" t="n"/>
      <c r="M202" s="18" t="n"/>
      <c r="N202" s="18" t="n"/>
      <c r="O202" s="18" t="n"/>
      <c r="P202" s="52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51" t="n"/>
      <c r="J203" s="18" t="n"/>
      <c r="K203" s="18" t="n"/>
      <c r="L203" s="18" t="n"/>
      <c r="M203" s="18" t="n"/>
      <c r="N203" s="18" t="n"/>
      <c r="O203" s="18" t="n"/>
      <c r="P203" s="52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51" t="n"/>
      <c r="J204" s="18" t="n"/>
      <c r="K204" s="18" t="n"/>
      <c r="L204" s="18" t="n"/>
      <c r="M204" s="18" t="n"/>
      <c r="N204" s="18" t="n"/>
      <c r="O204" s="18" t="n"/>
      <c r="P204" s="52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</row>
  </sheetData>
  <dataValidations count="6">
    <dataValidation sqref="H5:H204" showDropDown="0" showInputMessage="0" showErrorMessage="0" allowBlank="0" type="list">
      <formula1>"physical_material,physical_energy,environment_exchange,allocated_burden,substitution_candidate"</formula1>
    </dataValidation>
    <dataValidation sqref="E5:E204" showDropDown="0" showInputMessage="0" showErrorMessage="0" allowBlank="0" type="list">
      <formula1>"Input,Output,Internal transfer,Emission,Waste,Coproduct"</formula1>
    </dataValidation>
    <dataValidation sqref="S5:S204" showDropDown="0" showInputMessage="0" showErrorMessage="0" allowBlank="0" type="list">
      <formula1>"是,否"</formula1>
    </dataValidation>
    <dataValidation sqref="T5:T204" showDropDown="0" showInputMessage="0" showErrorMessage="0" allowBlank="0" type="list">
      <formula1>"adopted_physical,adopted_environment,source_allocation_excluded,substitution_deferred,review"</formula1>
    </dataValidation>
    <dataValidation sqref="V5:V204" showDropDown="0" showInputMessage="0" showErrorMessage="0" allowBlank="0" type="list">
      <formula1>"PASS,PASS_WITH_NOTE,REVIEW,BLOCKED,NOT_APPLICABLE"</formula1>
    </dataValidation>
    <dataValidation sqref="W5:W204" showDropDown="0" showInputMessage="0" showErrorMessage="0" allowBlank="0" type="list">
      <formula1>"是,否,待确认"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0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44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20" customWidth="1" min="11" max="11"/>
    <col width="16" customWidth="1" min="12" max="12"/>
    <col width="44" customWidth="1" min="13" max="13"/>
    <col width="18" customWidth="1" min="14" max="14"/>
    <col width="18" customWidth="1" min="15" max="15"/>
    <col width="18" customWidth="1" min="16" max="16"/>
  </cols>
  <sheetData>
    <row r="1" ht="24" customHeight="1">
      <c r="A1" s="1" t="inlineStr">
        <is>
          <t>核算检查</t>
        </is>
      </c>
    </row>
    <row r="2" ht="24" customHeight="1">
      <c r="A2" s="2" t="inlineStr">
        <is>
          <t>检查表只记录诊断，不作为模型输入。BLOCKED 未解决前不得冻结。</t>
        </is>
      </c>
    </row>
    <row r="4" ht="28" customHeight="1">
      <c r="A4" s="14" t="inlineStr">
        <is>
          <t>检查ID</t>
        </is>
      </c>
      <c r="B4" s="15" t="inlineStr">
        <is>
          <t>检查类型</t>
        </is>
      </c>
      <c r="C4" s="15" t="inlineStr">
        <is>
          <t>对象类型</t>
        </is>
      </c>
      <c r="D4" s="15" t="inlineStr">
        <is>
          <t>对象ID</t>
        </is>
      </c>
      <c r="E4" s="15" t="inlineStr">
        <is>
          <t>检查方法/公式</t>
        </is>
      </c>
      <c r="F4" s="15" t="inlineStr">
        <is>
          <t>期望值</t>
        </is>
      </c>
      <c r="G4" s="15" t="inlineStr">
        <is>
          <t>实际值</t>
        </is>
      </c>
      <c r="H4" s="15" t="inlineStr">
        <is>
          <t>单位</t>
        </is>
      </c>
      <c r="I4" s="15" t="inlineStr">
        <is>
          <t>容差</t>
        </is>
      </c>
      <c r="J4" s="15" t="inlineStr">
        <is>
          <t>差值</t>
        </is>
      </c>
      <c r="K4" s="15" t="inlineStr">
        <is>
          <t>结果</t>
        </is>
      </c>
      <c r="L4" s="15" t="inlineStr">
        <is>
          <t>问题ID</t>
        </is>
      </c>
      <c r="M4" s="16" t="inlineStr">
        <is>
          <t>说明</t>
        </is>
      </c>
      <c r="N4" s="42" t="inlineStr">
        <is>
          <t>审查路线</t>
        </is>
      </c>
      <c r="O4" s="42" t="inlineStr">
        <is>
          <t>实际验证结论</t>
        </is>
      </c>
      <c r="P4" s="42" t="inlineStr">
        <is>
          <t>影响对象ID</t>
        </is>
      </c>
    </row>
    <row r="5">
      <c r="A5" s="18" t="inlineStr">
        <is>
          <t>CHK01</t>
        </is>
      </c>
      <c r="B5" s="18" t="inlineStr">
        <is>
          <t>物质平衡</t>
        </is>
      </c>
      <c r="C5" s="18" t="inlineStr">
        <is>
          <t>流</t>
        </is>
      </c>
      <c r="D5" s="18" t="inlineStr">
        <is>
          <t>F01;F02;F03</t>
        </is>
      </c>
      <c r="E5" s="18" t="inlineStr">
        <is>
          <t>大豆原料 = 脱皮大豆+豆皮</t>
        </is>
      </c>
      <c r="F5" s="51" t="n">
        <v>2.722899</v>
      </c>
      <c r="G5" s="51" t="n">
        <v>2.722899</v>
      </c>
      <c r="H5" s="51" t="inlineStr">
        <is>
          <t>kg</t>
        </is>
      </c>
      <c r="I5" s="51" t="n">
        <v>0.001</v>
      </c>
      <c r="J5" s="51">
        <f>IF(OR(F5="",G5=""),"",G5-F5)</f>
        <v/>
      </c>
      <c r="K5" s="18" t="inlineStr">
        <is>
          <t>PASS</t>
        </is>
      </c>
      <c r="L5" s="18" t="inlineStr"/>
      <c r="M5" s="18" t="inlineStr">
        <is>
          <t>M1 输入=输出（含共产品）</t>
        </is>
      </c>
      <c r="N5" t="inlineStr">
        <is>
          <t>来源内部核对（同一工作簿公式复算）</t>
        </is>
      </c>
      <c r="O5" t="inlineStr">
        <is>
          <t>已执行：2.521203+0.201696=2.722899，一致</t>
        </is>
      </c>
      <c r="P5" t="inlineStr">
        <is>
          <t>F01</t>
        </is>
      </c>
    </row>
    <row r="6">
      <c r="A6" s="18" t="inlineStr">
        <is>
          <t>CHK02</t>
        </is>
      </c>
      <c r="B6" s="18" t="inlineStr">
        <is>
          <t>物质平衡</t>
        </is>
      </c>
      <c r="C6" s="18" t="inlineStr">
        <is>
          <t>过程</t>
        </is>
      </c>
      <c r="D6" s="18" t="inlineStr">
        <is>
          <t>M2</t>
        </is>
      </c>
      <c r="E6" s="18" t="inlineStr">
        <is>
          <t>输入(脱皮豆+水+己烷)=输出(白豆片+油+废水+己烷排放)</t>
        </is>
      </c>
      <c r="F6" s="51" t="n">
        <v>3.149007</v>
      </c>
      <c r="G6" s="51" t="n">
        <v>3.089426</v>
      </c>
      <c r="H6" s="51" t="inlineStr">
        <is>
          <t>kg</t>
        </is>
      </c>
      <c r="I6" s="51" t="n">
        <v>0.02</v>
      </c>
      <c r="J6" s="51">
        <f>IF(OR(F6="",G6=""),"",G6-F6)</f>
        <v/>
      </c>
      <c r="K6" s="18" t="inlineStr">
        <is>
          <t>REVIEW</t>
        </is>
      </c>
      <c r="L6" s="18" t="inlineStr">
        <is>
          <t>Q09</t>
        </is>
      </c>
      <c r="M6" s="18" t="inlineStr">
        <is>
          <t>差 0.0596 kg（1.9%）：1.27 与 1+0.24 差 0.03 kg/kg 未闭合</t>
        </is>
      </c>
      <c r="N6" t="inlineStr">
        <is>
          <t>来源内部核对</t>
        </is>
      </c>
      <c r="O6" t="inlineStr">
        <is>
          <t>已执行：差额登记，不硬补；作者参数化代表清单</t>
        </is>
      </c>
      <c r="P6" t="inlineStr">
        <is>
          <t>F09;F10</t>
        </is>
      </c>
    </row>
    <row r="7">
      <c r="A7" s="18" t="inlineStr">
        <is>
          <t>CHK03</t>
        </is>
      </c>
      <c r="B7" s="18" t="inlineStr">
        <is>
          <t>物质平衡</t>
        </is>
      </c>
      <c r="C7" s="18" t="inlineStr">
        <is>
          <t>过程</t>
        </is>
      </c>
      <c r="D7" s="18" t="inlineStr">
        <is>
          <t>M3</t>
        </is>
      </c>
      <c r="E7" s="18" t="inlineStr">
        <is>
          <t>输入干物质(白豆片×0.88)=输出干物质(SPI+豆渣×0.9+whey×0.03)</t>
        </is>
      </c>
      <c r="F7" s="51" t="n">
        <v>1.747</v>
      </c>
      <c r="G7" s="51" t="n">
        <v>1.7851</v>
      </c>
      <c r="H7" s="51" t="inlineStr">
        <is>
          <t>kg DM</t>
        </is>
      </c>
      <c r="I7" s="51" t="n">
        <v>0.01</v>
      </c>
      <c r="J7" s="51">
        <f>IF(OR(F7="",G7=""),"",G7-F7)</f>
        <v/>
      </c>
      <c r="K7" s="18" t="inlineStr">
        <is>
          <t>REVIEW</t>
        </is>
      </c>
      <c r="L7" s="18" t="inlineStr">
        <is>
          <t>Q03</t>
        </is>
      </c>
      <c r="M7" s="18" t="inlineStr">
        <is>
          <t>输出超输入约 2.2%；0.93 口径输入 1.8462 亦不闭合</t>
        </is>
      </c>
      <c r="N7" t="inlineStr">
        <is>
          <t>来源内部核对</t>
        </is>
      </c>
      <c r="O7" t="inlineStr">
        <is>
          <t>已执行：干物质超额登记，受影响流标审计中</t>
        </is>
      </c>
      <c r="P7" t="inlineStr">
        <is>
          <t>F21;F22</t>
        </is>
      </c>
    </row>
    <row r="8">
      <c r="A8" s="18" t="inlineStr">
        <is>
          <t>CHK04</t>
        </is>
      </c>
      <c r="B8" s="18" t="inlineStr">
        <is>
          <t>单位检查</t>
        </is>
      </c>
      <c r="C8" s="18" t="inlineStr">
        <is>
          <t>流</t>
        </is>
      </c>
      <c r="D8" s="18" t="inlineStr">
        <is>
          <t>F04</t>
        </is>
      </c>
      <c r="E8" s="18" t="inlineStr">
        <is>
          <t>23.4 kJ/kg×2.521203 kg÷3600</t>
        </is>
      </c>
      <c r="F8" s="51" t="n">
        <v>0.016388</v>
      </c>
      <c r="G8" s="51" t="n">
        <v>0.016387818</v>
      </c>
      <c r="H8" s="51" t="inlineStr">
        <is>
          <t>kWh</t>
        </is>
      </c>
      <c r="I8" s="51" t="n">
        <v>1e-06</v>
      </c>
      <c r="J8" s="51">
        <f>IF(OR(F8="",G8=""),"",G8-F8)</f>
        <v/>
      </c>
      <c r="K8" s="18" t="inlineStr">
        <is>
          <t>PASS</t>
        </is>
      </c>
      <c r="L8" s="18" t="inlineStr"/>
      <c r="M8" s="18" t="inlineStr">
        <is>
          <t>kJ→kWh 换算</t>
        </is>
      </c>
      <c r="N8" t="inlineStr">
        <is>
          <t>基础审查</t>
        </is>
      </c>
      <c r="O8" t="inlineStr">
        <is>
          <t>已执行：一致</t>
        </is>
      </c>
      <c r="P8" t="inlineStr">
        <is>
          <t>F04</t>
        </is>
      </c>
    </row>
    <row r="9">
      <c r="A9" s="18" t="inlineStr">
        <is>
          <t>CHK05</t>
        </is>
      </c>
      <c r="B9" s="18" t="inlineStr">
        <is>
          <t>单位检查</t>
        </is>
      </c>
      <c r="C9" s="18" t="inlineStr">
        <is>
          <t>流</t>
        </is>
      </c>
      <c r="D9" s="18" t="inlineStr">
        <is>
          <t>F07</t>
        </is>
      </c>
      <c r="E9" s="18" t="inlineStr">
        <is>
          <t>142.983 kJ/kg×1.985199÷3600</t>
        </is>
      </c>
      <c r="F9" s="51" t="n">
        <v>0.078847</v>
      </c>
      <c r="G9" s="51" t="n">
        <v>0.07884711899999999</v>
      </c>
      <c r="H9" s="51" t="inlineStr">
        <is>
          <t>kWh</t>
        </is>
      </c>
      <c r="I9" s="51" t="n">
        <v>1e-06</v>
      </c>
      <c r="J9" s="51">
        <f>IF(OR(F9="",G9=""),"",G9-F9)</f>
        <v/>
      </c>
      <c r="K9" s="18" t="inlineStr">
        <is>
          <t>PASS</t>
        </is>
      </c>
      <c r="L9" s="18" t="inlineStr"/>
      <c r="M9" s="18" t="inlineStr">
        <is>
          <t>kJ→kWh 换算</t>
        </is>
      </c>
      <c r="N9" t="inlineStr">
        <is>
          <t>基础审查</t>
        </is>
      </c>
      <c r="O9" t="inlineStr">
        <is>
          <t>已执行：一致</t>
        </is>
      </c>
      <c r="P9" t="inlineStr">
        <is>
          <t>F07</t>
        </is>
      </c>
    </row>
    <row r="10">
      <c r="A10" s="18" t="inlineStr">
        <is>
          <t>CHK06</t>
        </is>
      </c>
      <c r="B10" s="18" t="inlineStr">
        <is>
          <t>单位检查</t>
        </is>
      </c>
      <c r="C10" s="18" t="inlineStr">
        <is>
          <t>流</t>
        </is>
      </c>
      <c r="D10" s="18" t="inlineStr">
        <is>
          <t>F08</t>
        </is>
      </c>
      <c r="E10" s="18" t="inlineStr">
        <is>
          <t>951.918 kJ/kg×1.985199÷1000</t>
        </is>
      </c>
      <c r="F10" s="51" t="n">
        <v>1.889747</v>
      </c>
      <c r="G10" s="51" t="n">
        <v>1.889746603</v>
      </c>
      <c r="H10" s="51" t="inlineStr">
        <is>
          <t>MJ</t>
        </is>
      </c>
      <c r="I10" s="51" t="n">
        <v>1e-06</v>
      </c>
      <c r="J10" s="51">
        <f>IF(OR(F10="",G10=""),"",G10-F10)</f>
        <v/>
      </c>
      <c r="K10" s="18" t="inlineStr">
        <is>
          <t>PASS</t>
        </is>
      </c>
      <c r="L10" s="18" t="inlineStr"/>
      <c r="M10" s="18" t="inlineStr">
        <is>
          <t>kJ→MJ 换算</t>
        </is>
      </c>
      <c r="N10" t="inlineStr">
        <is>
          <t>基础审查</t>
        </is>
      </c>
      <c r="O10" t="inlineStr">
        <is>
          <t>已执行：一致</t>
        </is>
      </c>
      <c r="P10" t="inlineStr">
        <is>
          <t>F08</t>
        </is>
      </c>
    </row>
    <row r="11">
      <c r="A11" s="18" t="inlineStr">
        <is>
          <t>CHK07</t>
        </is>
      </c>
      <c r="B11" s="18" t="inlineStr">
        <is>
          <t>版本检查</t>
        </is>
      </c>
      <c r="C11" s="18" t="inlineStr">
        <is>
          <t>流</t>
        </is>
      </c>
      <c r="D11" s="18" t="inlineStr">
        <is>
          <t>F17</t>
        </is>
      </c>
      <c r="E11" s="18" t="inlineStr">
        <is>
          <t>旧版 I48=0.0463879 vs 当前版/runtime=0.0629995</t>
        </is>
      </c>
      <c r="F11" s="51" t="n">
        <v>0.0629995</v>
      </c>
      <c r="G11" s="51" t="n">
        <v>0.062999518</v>
      </c>
      <c r="H11" s="51" t="inlineStr">
        <is>
          <t>kWh</t>
        </is>
      </c>
      <c r="I11" s="51" t="n">
        <v>1e-07</v>
      </c>
      <c r="J11" s="51">
        <f>IF(OR(F11="",G11=""),"",G11-F11)</f>
        <v/>
      </c>
      <c r="K11" s="18" t="inlineStr">
        <is>
          <t>PASS_WITH_NOTE</t>
        </is>
      </c>
      <c r="L11" s="18" t="inlineStr">
        <is>
          <t>Q01</t>
        </is>
      </c>
      <c r="M11" s="18" t="inlineStr">
        <is>
          <t>旧版 L6=3 硬编码；采用当前版值</t>
        </is>
      </c>
      <c r="N11" t="inlineStr">
        <is>
          <t>来源内部核对（版本对照）</t>
        </is>
      </c>
      <c r="O11" t="inlineStr">
        <is>
          <t>已执行：差异原因已查清并决策</t>
        </is>
      </c>
      <c r="P11" t="inlineStr">
        <is>
          <t>F17</t>
        </is>
      </c>
    </row>
    <row r="12">
      <c r="A12" s="18" t="inlineStr">
        <is>
          <t>CHK08</t>
        </is>
      </c>
      <c r="B12" s="18" t="inlineStr">
        <is>
          <t>代表值复算</t>
        </is>
      </c>
      <c r="C12" s="18" t="inlineStr">
        <is>
          <t>流</t>
        </is>
      </c>
      <c r="D12" s="18" t="inlineStr">
        <is>
          <t>F18</t>
        </is>
      </c>
      <c r="E12" s="18" t="inlineStr">
        <is>
          <t>SPI!I49=27500.8326 kJ=27.5008 MJ</t>
        </is>
      </c>
      <c r="F12" s="51" t="n">
        <v>27.5008</v>
      </c>
      <c r="G12" s="51" t="n">
        <v>27.50083262</v>
      </c>
      <c r="H12" s="51" t="inlineStr">
        <is>
          <t>MJ</t>
        </is>
      </c>
      <c r="I12" s="51" t="n">
        <v>0.0001</v>
      </c>
      <c r="J12" s="51">
        <f>IF(OR(F12="",G12=""),"",G12-F12)</f>
        <v/>
      </c>
      <c r="K12" s="18" t="inlineStr">
        <is>
          <t>PASS</t>
        </is>
      </c>
      <c r="L12" s="18" t="inlineStr"/>
      <c r="M12" s="18" t="inlineStr">
        <is>
          <t>kJ→MJ</t>
        </is>
      </c>
      <c r="N12" t="inlineStr">
        <is>
          <t>基础审查</t>
        </is>
      </c>
      <c r="O12" t="inlineStr">
        <is>
          <t>已执行：一致</t>
        </is>
      </c>
      <c r="P12" t="inlineStr">
        <is>
          <t>F18</t>
        </is>
      </c>
    </row>
    <row r="13">
      <c r="A13" s="18" t="inlineStr">
        <is>
          <t>CHK09</t>
        </is>
      </c>
      <c r="B13" s="18" t="inlineStr">
        <is>
          <t>内部流检查</t>
        </is>
      </c>
      <c r="C13" s="18" t="inlineStr">
        <is>
          <t>流</t>
        </is>
      </c>
      <c r="D13" s="18" t="inlineStr">
        <is>
          <t>F02;F09</t>
        </is>
      </c>
      <c r="E13" s="18" t="inlineStr">
        <is>
          <t>内部流不得重复计为外部投入/产出</t>
        </is>
      </c>
      <c r="F13" s="51" t="n">
        <v>0</v>
      </c>
      <c r="G13" s="51" t="n">
        <v>0</v>
      </c>
      <c r="H13" s="51" t="inlineStr">
        <is>
          <t>kg</t>
        </is>
      </c>
      <c r="I13" s="51" t="n">
        <v>0</v>
      </c>
      <c r="J13" s="51">
        <f>IF(OR(F13="",G13=""),"",G13-F13)</f>
        <v/>
      </c>
      <c r="K13" s="18" t="inlineStr">
        <is>
          <t>PASS</t>
        </is>
      </c>
      <c r="L13" s="18" t="inlineStr"/>
      <c r="M13" s="18" t="inlineStr">
        <is>
          <t>跨模块物流各只出现一次</t>
        </is>
      </c>
      <c r="N13" t="inlineStr">
        <is>
          <t>结构检查</t>
        </is>
      </c>
      <c r="O13" t="inlineStr">
        <is>
          <t>已执行：F02/F09 只作模块间连接</t>
        </is>
      </c>
      <c r="P13" t="inlineStr">
        <is>
          <t>F02;F09</t>
        </is>
      </c>
    </row>
    <row r="14">
      <c r="A14" s="18" t="inlineStr">
        <is>
          <t>CHK10</t>
        </is>
      </c>
      <c r="B14" s="18" t="inlineStr">
        <is>
          <t>重复计入</t>
        </is>
      </c>
      <c r="C14" s="18" t="inlineStr">
        <is>
          <t>流</t>
        </is>
      </c>
      <c r="D14" s="18" t="inlineStr">
        <is>
          <t>F05;F11</t>
        </is>
      </c>
      <c r="E14" s="18" t="inlineStr">
        <is>
          <t>M2 水输入=废水输出（同参数）</t>
        </is>
      </c>
      <c r="F14" s="51" t="n">
        <v>0.62507</v>
      </c>
      <c r="G14" s="51" t="n">
        <v>0.62507</v>
      </c>
      <c r="H14" s="51" t="inlineStr">
        <is>
          <t>kg</t>
        </is>
      </c>
      <c r="I14" s="51" t="n">
        <v>1e-06</v>
      </c>
      <c r="J14" s="51">
        <f>IF(OR(F14="",G14=""),"",G14-F14)</f>
        <v/>
      </c>
      <c r="K14" s="18" t="inlineStr">
        <is>
          <t>PASS_WITH_NOTE</t>
        </is>
      </c>
      <c r="L14" s="18" t="inlineStr"/>
      <c r="M14" s="18" t="inlineStr">
        <is>
          <t>同值但分属输入/输出两侧，不重复计入</t>
        </is>
      </c>
      <c r="N14" t="inlineStr">
        <is>
          <t>基础审查</t>
        </is>
      </c>
      <c r="O14" t="inlineStr">
        <is>
          <t>已执行：作者模型同值假设已注明</t>
        </is>
      </c>
      <c r="P14" t="inlineStr">
        <is>
          <t>F05;F11</t>
        </is>
      </c>
    </row>
    <row r="15">
      <c r="A15" s="18" t="inlineStr">
        <is>
          <t>CHK11</t>
        </is>
      </c>
      <c r="B15" s="18" t="inlineStr">
        <is>
          <t>方向符号</t>
        </is>
      </c>
      <c r="C15" s="18" t="inlineStr">
        <is>
          <t>流</t>
        </is>
      </c>
      <c r="D15" s="18" t="inlineStr">
        <is>
          <t>F12;F21</t>
        </is>
      </c>
      <c r="E15" s="18" t="inlineStr">
        <is>
          <t>源公式 wastewater 带 (-1) 为软件交换约定</t>
        </is>
      </c>
      <c r="F15" s="51" t="n">
        <v>0</v>
      </c>
      <c r="G15" s="51" t="n">
        <v>0</v>
      </c>
      <c r="H15" s="51" t="inlineStr">
        <is>
          <t>-</t>
        </is>
      </c>
      <c r="I15" s="51" t="n">
        <v>0</v>
      </c>
      <c r="J15" s="51">
        <f>IF(OR(F15="",G15=""),"",G15-F15)</f>
        <v/>
      </c>
      <c r="K15" s="18" t="inlineStr">
        <is>
          <t>PASS_WITH_NOTE</t>
        </is>
      </c>
      <c r="L15" s="18" t="inlineStr"/>
      <c r="M15" s="18" t="inlineStr">
        <is>
          <t>负号≠负质量，方向单独记录</t>
        </is>
      </c>
      <c r="N15" t="inlineStr">
        <is>
          <t>基础审查</t>
        </is>
      </c>
      <c r="O15" t="inlineStr">
        <is>
          <t>已执行：符号与方向分开登记</t>
        </is>
      </c>
      <c r="P15" t="inlineStr">
        <is>
          <t>F12;F21</t>
        </is>
      </c>
    </row>
    <row r="16">
      <c r="A16" s="18" t="inlineStr">
        <is>
          <t>CHK12</t>
        </is>
      </c>
      <c r="B16" s="18" t="inlineStr">
        <is>
          <t>覆盖检查</t>
        </is>
      </c>
      <c r="C16" s="18" t="inlineStr">
        <is>
          <t>模型</t>
        </is>
      </c>
      <c r="D16" s="18" t="inlineStr">
        <is>
          <t>ALL</t>
        </is>
      </c>
      <c r="E16" s="18" t="inlineStr">
        <is>
          <t>采用流 24+接口 3 均有来源/公式/ID/基准</t>
        </is>
      </c>
      <c r="F16" s="51" t="n">
        <v>27</v>
      </c>
      <c r="G16" s="51" t="n">
        <v>27</v>
      </c>
      <c r="H16" s="51" t="inlineStr">
        <is>
          <t>条</t>
        </is>
      </c>
      <c r="I16" s="51" t="n">
        <v>0</v>
      </c>
      <c r="J16" s="51">
        <f>IF(OR(F16="",G16=""),"",G16-F16)</f>
        <v/>
      </c>
      <c r="K16" s="18" t="inlineStr">
        <is>
          <t>PASS</t>
        </is>
      </c>
      <c r="L16" s="18" t="inlineStr"/>
      <c r="M16" s="18" t="inlineStr">
        <is>
          <t>逐流记录完整性</t>
        </is>
      </c>
      <c r="N16" t="inlineStr">
        <is>
          <t>结构检查</t>
        </is>
      </c>
      <c r="O16" t="inlineStr">
        <is>
          <t>已执行：全部流卡字段齐备</t>
        </is>
      </c>
      <c r="P16" t="inlineStr">
        <is>
          <t>ALL</t>
        </is>
      </c>
    </row>
    <row r="17">
      <c r="A17" s="18" t="inlineStr">
        <is>
          <t>CHK13</t>
        </is>
      </c>
      <c r="B17" s="18" t="inlineStr">
        <is>
          <t>能源汇总</t>
        </is>
      </c>
      <c r="C17" s="18" t="inlineStr">
        <is>
          <t>过程</t>
        </is>
      </c>
      <c r="D17" s="18" t="inlineStr">
        <is>
          <t>PS-SPI</t>
        </is>
      </c>
      <c r="E17" s="18" t="inlineStr">
        <is>
          <t>全流程电=0.016388+0.078847+0.0629995；热=1.889747+27.500833</t>
        </is>
      </c>
      <c r="F17" s="51" t="n">
        <v>0.158235</v>
      </c>
      <c r="G17" s="51" t="n">
        <v>0.158234455</v>
      </c>
      <c r="H17" s="51" t="inlineStr">
        <is>
          <t>kWh</t>
        </is>
      </c>
      <c r="I17" s="51" t="n">
        <v>1e-06</v>
      </c>
      <c r="J17" s="51">
        <f>IF(OR(F17="",G17=""),"",G17-F17)</f>
        <v/>
      </c>
      <c r="K17" s="18" t="inlineStr">
        <is>
          <t>PASS</t>
        </is>
      </c>
      <c r="L17" s="18" t="inlineStr"/>
      <c r="M17" s="18" t="inlineStr">
        <is>
          <t>电/热分别汇总，不合并载体</t>
        </is>
      </c>
      <c r="N17" t="inlineStr">
        <is>
          <t>基础审查</t>
        </is>
      </c>
      <c r="O17" t="inlineStr">
        <is>
          <t>已执行：电 0.158234 kWh、热 29.39058 MJ 分别成立</t>
        </is>
      </c>
      <c r="P17" t="inlineStr">
        <is>
          <t>F04;F07;F17</t>
        </is>
      </c>
    </row>
    <row r="18">
      <c r="A18" s="18" t="inlineStr">
        <is>
          <t>CHK14</t>
        </is>
      </c>
      <c r="B18" s="18" t="inlineStr">
        <is>
          <t>方法处理</t>
        </is>
      </c>
      <c r="C18" s="18" t="inlineStr">
        <is>
          <t>模型</t>
        </is>
      </c>
      <c r="D18" s="18" t="inlineStr">
        <is>
          <t>ALL</t>
        </is>
      </c>
      <c r="E18" s="18" t="inlineStr">
        <is>
          <t>price ratio/allocation 全部排除，共产品显式</t>
        </is>
      </c>
      <c r="F18" s="51" t="n">
        <v>0</v>
      </c>
      <c r="G18" s="51" t="n">
        <v>0</v>
      </c>
      <c r="H18" s="51" t="inlineStr">
        <is>
          <t>-</t>
        </is>
      </c>
      <c r="I18" s="51" t="n">
        <v>0</v>
      </c>
      <c r="J18" s="51">
        <f>IF(OR(F18="",G18=""),"",G18-F18)</f>
        <v/>
      </c>
      <c r="K18" s="18" t="inlineStr">
        <is>
          <t>PASS</t>
        </is>
      </c>
      <c r="L18" s="18" t="inlineStr">
        <is>
          <t>Q02</t>
        </is>
      </c>
      <c r="M18" s="18" t="inlineStr">
        <is>
          <t>作者 ALCA 经济分配仅作方法证据</t>
        </is>
      </c>
      <c r="N18" t="inlineStr">
        <is>
          <t>方法检查</t>
        </is>
      </c>
      <c r="O18" t="inlineStr">
        <is>
          <t>已执行：CAD-33/34/35 已排除；F25–F27 接口占位</t>
        </is>
      </c>
      <c r="P18" t="inlineStr">
        <is>
          <t>ALL</t>
        </is>
      </c>
    </row>
    <row r="19">
      <c r="A19" s="18" t="inlineStr">
        <is>
          <t>CHK15</t>
        </is>
      </c>
      <c r="B19" s="18" t="inlineStr">
        <is>
          <t>可比性</t>
        </is>
      </c>
      <c r="C19" s="18" t="inlineStr">
        <is>
          <t>参数</t>
        </is>
      </c>
      <c r="D19" s="18" t="inlineStr">
        <is>
          <t>P08;P14</t>
        </is>
      </c>
      <c r="E19" s="18" t="inlineStr">
        <is>
          <t>1.27 vs 1+0.24 的 0.03 差额</t>
        </is>
      </c>
      <c r="F19" s="51" t="n">
        <v>0.03</v>
      </c>
      <c r="G19" s="51" t="n">
        <v>0.03</v>
      </c>
      <c r="H19" s="51" t="inlineStr">
        <is>
          <t>kg/kg</t>
        </is>
      </c>
      <c r="I19" s="51" t="n">
        <v>0</v>
      </c>
      <c r="J19" s="51">
        <f>IF(OR(F19="",G19=""),"",G19-F19)</f>
        <v/>
      </c>
      <c r="K19" s="18" t="inlineStr">
        <is>
          <t>REVIEW</t>
        </is>
      </c>
      <c r="L19" s="18" t="inlineStr">
        <is>
          <t>Q09</t>
        </is>
      </c>
      <c r="M19" s="18" t="inlineStr">
        <is>
          <t>多文献参数化非单一工厂闭合平衡</t>
        </is>
      </c>
      <c r="N19" t="inlineStr">
        <is>
          <t>来源内部核对</t>
        </is>
      </c>
      <c r="O19" t="inlineStr">
        <is>
          <t>已执行：按作者代表值采用，方法中说明</t>
        </is>
      </c>
      <c r="P19" t="inlineStr">
        <is>
          <t>F09</t>
        </is>
      </c>
    </row>
    <row r="20">
      <c r="A20" s="18" t="n"/>
      <c r="B20" s="18" t="n"/>
      <c r="C20" s="18" t="n"/>
      <c r="D20" s="18" t="n"/>
      <c r="E20" s="18" t="n"/>
      <c r="F20" s="51" t="n"/>
      <c r="G20" s="51" t="n"/>
      <c r="H20" s="51" t="n"/>
      <c r="I20" s="51" t="n"/>
      <c r="J20" s="51">
        <f>IF(OR(F20="",G20=""),"",G20-F20)</f>
        <v/>
      </c>
      <c r="K20" s="18" t="n"/>
      <c r="L20" s="18" t="n"/>
      <c r="M20" s="18" t="n"/>
    </row>
    <row r="21">
      <c r="A21" s="18" t="n"/>
      <c r="B21" s="18" t="n"/>
      <c r="C21" s="18" t="n"/>
      <c r="D21" s="18" t="n"/>
      <c r="E21" s="18" t="n"/>
      <c r="F21" s="51" t="n"/>
      <c r="G21" s="51" t="n"/>
      <c r="H21" s="51" t="n"/>
      <c r="I21" s="51" t="n"/>
      <c r="J21" s="51">
        <f>IF(OR(F21="",G21=""),"",G21-F21)</f>
        <v/>
      </c>
      <c r="K21" s="18" t="n"/>
      <c r="L21" s="18" t="n"/>
      <c r="M21" s="18" t="n"/>
    </row>
    <row r="22">
      <c r="A22" s="18" t="n"/>
      <c r="B22" s="18" t="n"/>
      <c r="C22" s="18" t="n"/>
      <c r="D22" s="18" t="n"/>
      <c r="E22" s="18" t="n"/>
      <c r="F22" s="51" t="n"/>
      <c r="G22" s="51" t="n"/>
      <c r="H22" s="51" t="n"/>
      <c r="I22" s="51" t="n"/>
      <c r="J22" s="51">
        <f>IF(OR(F22="",G22=""),"",G22-F22)</f>
        <v/>
      </c>
      <c r="K22" s="18" t="n"/>
      <c r="L22" s="18" t="n"/>
      <c r="M22" s="18" t="n"/>
    </row>
    <row r="23">
      <c r="A23" s="18" t="n"/>
      <c r="B23" s="18" t="n"/>
      <c r="C23" s="18" t="n"/>
      <c r="D23" s="18" t="n"/>
      <c r="E23" s="18" t="n"/>
      <c r="F23" s="51" t="n"/>
      <c r="G23" s="51" t="n"/>
      <c r="H23" s="51" t="n"/>
      <c r="I23" s="51" t="n"/>
      <c r="J23" s="51">
        <f>IF(OR(F23="",G23=""),"",G23-F23)</f>
        <v/>
      </c>
      <c r="K23" s="18" t="n"/>
      <c r="L23" s="18" t="n"/>
      <c r="M23" s="18" t="n"/>
    </row>
    <row r="24">
      <c r="A24" s="18" t="n"/>
      <c r="B24" s="18" t="n"/>
      <c r="C24" s="18" t="n"/>
      <c r="D24" s="18" t="n"/>
      <c r="E24" s="18" t="n"/>
      <c r="F24" s="51" t="n"/>
      <c r="G24" s="51" t="n"/>
      <c r="H24" s="51" t="n"/>
      <c r="I24" s="51" t="n"/>
      <c r="J24" s="51">
        <f>IF(OR(F24="",G24=""),"",G24-F24)</f>
        <v/>
      </c>
      <c r="K24" s="18" t="n"/>
      <c r="L24" s="18" t="n"/>
      <c r="M24" s="18" t="n"/>
    </row>
    <row r="25">
      <c r="A25" s="18" t="n"/>
      <c r="B25" s="18" t="n"/>
      <c r="C25" s="18" t="n"/>
      <c r="D25" s="18" t="n"/>
      <c r="E25" s="18" t="n"/>
      <c r="F25" s="51" t="n"/>
      <c r="G25" s="51" t="n"/>
      <c r="H25" s="51" t="n"/>
      <c r="I25" s="51" t="n"/>
      <c r="J25" s="51">
        <f>IF(OR(F25="",G25=""),"",G25-F25)</f>
        <v/>
      </c>
      <c r="K25" s="18" t="n"/>
      <c r="L25" s="18" t="n"/>
      <c r="M25" s="18" t="n"/>
    </row>
    <row r="26">
      <c r="A26" s="18" t="n"/>
      <c r="B26" s="18" t="n"/>
      <c r="C26" s="18" t="n"/>
      <c r="D26" s="18" t="n"/>
      <c r="E26" s="18" t="n"/>
      <c r="F26" s="51" t="n"/>
      <c r="G26" s="51" t="n"/>
      <c r="H26" s="51" t="n"/>
      <c r="I26" s="51" t="n"/>
      <c r="J26" s="51">
        <f>IF(OR(F26="",G26=""),"",G26-F26)</f>
        <v/>
      </c>
      <c r="K26" s="18" t="n"/>
      <c r="L26" s="18" t="n"/>
      <c r="M26" s="18" t="n"/>
    </row>
    <row r="27">
      <c r="A27" s="18" t="n"/>
      <c r="B27" s="18" t="n"/>
      <c r="C27" s="18" t="n"/>
      <c r="D27" s="18" t="n"/>
      <c r="E27" s="18" t="n"/>
      <c r="F27" s="51" t="n"/>
      <c r="G27" s="51" t="n"/>
      <c r="H27" s="51" t="n"/>
      <c r="I27" s="51" t="n"/>
      <c r="J27" s="51">
        <f>IF(OR(F27="",G27=""),"",G27-F27)</f>
        <v/>
      </c>
      <c r="K27" s="18" t="n"/>
      <c r="L27" s="18" t="n"/>
      <c r="M27" s="18" t="n"/>
    </row>
    <row r="28">
      <c r="A28" s="18" t="n"/>
      <c r="B28" s="18" t="n"/>
      <c r="C28" s="18" t="n"/>
      <c r="D28" s="18" t="n"/>
      <c r="E28" s="18" t="n"/>
      <c r="F28" s="51" t="n"/>
      <c r="G28" s="51" t="n"/>
      <c r="H28" s="51" t="n"/>
      <c r="I28" s="51" t="n"/>
      <c r="J28" s="51">
        <f>IF(OR(F28="",G28=""),"",G28-F28)</f>
        <v/>
      </c>
      <c r="K28" s="18" t="n"/>
      <c r="L28" s="18" t="n"/>
      <c r="M28" s="18" t="n"/>
    </row>
    <row r="29">
      <c r="A29" s="18" t="n"/>
      <c r="B29" s="18" t="n"/>
      <c r="C29" s="18" t="n"/>
      <c r="D29" s="18" t="n"/>
      <c r="E29" s="18" t="n"/>
      <c r="F29" s="51" t="n"/>
      <c r="G29" s="51" t="n"/>
      <c r="H29" s="51" t="n"/>
      <c r="I29" s="51" t="n"/>
      <c r="J29" s="51">
        <f>IF(OR(F29="",G29=""),"",G29-F29)</f>
        <v/>
      </c>
      <c r="K29" s="18" t="n"/>
      <c r="L29" s="18" t="n"/>
      <c r="M29" s="18" t="n"/>
    </row>
    <row r="30">
      <c r="A30" s="18" t="n"/>
      <c r="B30" s="18" t="n"/>
      <c r="C30" s="18" t="n"/>
      <c r="D30" s="18" t="n"/>
      <c r="E30" s="18" t="n"/>
      <c r="F30" s="51" t="n"/>
      <c r="G30" s="51" t="n"/>
      <c r="H30" s="51" t="n"/>
      <c r="I30" s="51" t="n"/>
      <c r="J30" s="51">
        <f>IF(OR(F30="",G30=""),"",G30-F30)</f>
        <v/>
      </c>
      <c r="K30" s="18" t="n"/>
      <c r="L30" s="18" t="n"/>
      <c r="M30" s="18" t="n"/>
    </row>
    <row r="31">
      <c r="A31" s="18" t="n"/>
      <c r="B31" s="18" t="n"/>
      <c r="C31" s="18" t="n"/>
      <c r="D31" s="18" t="n"/>
      <c r="E31" s="18" t="n"/>
      <c r="F31" s="51" t="n"/>
      <c r="G31" s="51" t="n"/>
      <c r="H31" s="51" t="n"/>
      <c r="I31" s="51" t="n"/>
      <c r="J31" s="51">
        <f>IF(OR(F31="",G31=""),"",G31-F31)</f>
        <v/>
      </c>
      <c r="K31" s="18" t="n"/>
      <c r="L31" s="18" t="n"/>
      <c r="M31" s="18" t="n"/>
    </row>
    <row r="32">
      <c r="A32" s="18" t="n"/>
      <c r="B32" s="18" t="n"/>
      <c r="C32" s="18" t="n"/>
      <c r="D32" s="18" t="n"/>
      <c r="E32" s="18" t="n"/>
      <c r="F32" s="51" t="n"/>
      <c r="G32" s="51" t="n"/>
      <c r="H32" s="51" t="n"/>
      <c r="I32" s="51" t="n"/>
      <c r="J32" s="51">
        <f>IF(OR(F32="",G32=""),"",G32-F32)</f>
        <v/>
      </c>
      <c r="K32" s="18" t="n"/>
      <c r="L32" s="18" t="n"/>
      <c r="M32" s="18" t="n"/>
    </row>
    <row r="33">
      <c r="A33" s="18" t="n"/>
      <c r="B33" s="18" t="n"/>
      <c r="C33" s="18" t="n"/>
      <c r="D33" s="18" t="n"/>
      <c r="E33" s="18" t="n"/>
      <c r="F33" s="51" t="n"/>
      <c r="G33" s="51" t="n"/>
      <c r="H33" s="51" t="n"/>
      <c r="I33" s="51" t="n"/>
      <c r="J33" s="51">
        <f>IF(OR(F33="",G33=""),"",G33-F33)</f>
        <v/>
      </c>
      <c r="K33" s="18" t="n"/>
      <c r="L33" s="18" t="n"/>
      <c r="M33" s="18" t="n"/>
    </row>
    <row r="34">
      <c r="A34" s="18" t="n"/>
      <c r="B34" s="18" t="n"/>
      <c r="C34" s="18" t="n"/>
      <c r="D34" s="18" t="n"/>
      <c r="E34" s="18" t="n"/>
      <c r="F34" s="51" t="n"/>
      <c r="G34" s="51" t="n"/>
      <c r="H34" s="51" t="n"/>
      <c r="I34" s="51" t="n"/>
      <c r="J34" s="51">
        <f>IF(OR(F34="",G34=""),"",G34-F34)</f>
        <v/>
      </c>
      <c r="K34" s="18" t="n"/>
      <c r="L34" s="18" t="n"/>
      <c r="M34" s="18" t="n"/>
    </row>
    <row r="35">
      <c r="A35" s="18" t="n"/>
      <c r="B35" s="18" t="n"/>
      <c r="C35" s="18" t="n"/>
      <c r="D35" s="18" t="n"/>
      <c r="E35" s="18" t="n"/>
      <c r="F35" s="51" t="n"/>
      <c r="G35" s="51" t="n"/>
      <c r="H35" s="51" t="n"/>
      <c r="I35" s="51" t="n"/>
      <c r="J35" s="51">
        <f>IF(OR(F35="",G35=""),"",G35-F35)</f>
        <v/>
      </c>
      <c r="K35" s="18" t="n"/>
      <c r="L35" s="18" t="n"/>
      <c r="M35" s="18" t="n"/>
    </row>
    <row r="36">
      <c r="A36" s="18" t="n"/>
      <c r="B36" s="18" t="n"/>
      <c r="C36" s="18" t="n"/>
      <c r="D36" s="18" t="n"/>
      <c r="E36" s="18" t="n"/>
      <c r="F36" s="51" t="n"/>
      <c r="G36" s="51" t="n"/>
      <c r="H36" s="51" t="n"/>
      <c r="I36" s="51" t="n"/>
      <c r="J36" s="51">
        <f>IF(OR(F36="",G36=""),"",G36-F36)</f>
        <v/>
      </c>
      <c r="K36" s="18" t="n"/>
      <c r="L36" s="18" t="n"/>
      <c r="M36" s="18" t="n"/>
    </row>
    <row r="37">
      <c r="A37" s="18" t="n"/>
      <c r="B37" s="18" t="n"/>
      <c r="C37" s="18" t="n"/>
      <c r="D37" s="18" t="n"/>
      <c r="E37" s="18" t="n"/>
      <c r="F37" s="51" t="n"/>
      <c r="G37" s="51" t="n"/>
      <c r="H37" s="51" t="n"/>
      <c r="I37" s="51" t="n"/>
      <c r="J37" s="51">
        <f>IF(OR(F37="",G37=""),"",G37-F37)</f>
        <v/>
      </c>
      <c r="K37" s="18" t="n"/>
      <c r="L37" s="18" t="n"/>
      <c r="M37" s="18" t="n"/>
    </row>
    <row r="38">
      <c r="A38" s="18" t="n"/>
      <c r="B38" s="18" t="n"/>
      <c r="C38" s="18" t="n"/>
      <c r="D38" s="18" t="n"/>
      <c r="E38" s="18" t="n"/>
      <c r="F38" s="51" t="n"/>
      <c r="G38" s="51" t="n"/>
      <c r="H38" s="51" t="n"/>
      <c r="I38" s="51" t="n"/>
      <c r="J38" s="51">
        <f>IF(OR(F38="",G38=""),"",G38-F38)</f>
        <v/>
      </c>
      <c r="K38" s="18" t="n"/>
      <c r="L38" s="18" t="n"/>
      <c r="M38" s="18" t="n"/>
    </row>
    <row r="39">
      <c r="A39" s="18" t="n"/>
      <c r="B39" s="18" t="n"/>
      <c r="C39" s="18" t="n"/>
      <c r="D39" s="18" t="n"/>
      <c r="E39" s="18" t="n"/>
      <c r="F39" s="51" t="n"/>
      <c r="G39" s="51" t="n"/>
      <c r="H39" s="51" t="n"/>
      <c r="I39" s="51" t="n"/>
      <c r="J39" s="51">
        <f>IF(OR(F39="",G39=""),"",G39-F39)</f>
        <v/>
      </c>
      <c r="K39" s="18" t="n"/>
      <c r="L39" s="18" t="n"/>
      <c r="M39" s="18" t="n"/>
    </row>
    <row r="40">
      <c r="A40" s="18" t="n"/>
      <c r="B40" s="18" t="n"/>
      <c r="C40" s="18" t="n"/>
      <c r="D40" s="18" t="n"/>
      <c r="E40" s="18" t="n"/>
      <c r="F40" s="51" t="n"/>
      <c r="G40" s="51" t="n"/>
      <c r="H40" s="51" t="n"/>
      <c r="I40" s="51" t="n"/>
      <c r="J40" s="51">
        <f>IF(OR(F40="",G40=""),"",G40-F40)</f>
        <v/>
      </c>
      <c r="K40" s="18" t="n"/>
      <c r="L40" s="18" t="n"/>
      <c r="M40" s="18" t="n"/>
    </row>
    <row r="41">
      <c r="A41" s="18" t="n"/>
      <c r="B41" s="18" t="n"/>
      <c r="C41" s="18" t="n"/>
      <c r="D41" s="18" t="n"/>
      <c r="E41" s="18" t="n"/>
      <c r="F41" s="51" t="n"/>
      <c r="G41" s="51" t="n"/>
      <c r="H41" s="51" t="n"/>
      <c r="I41" s="51" t="n"/>
      <c r="J41" s="51">
        <f>IF(OR(F41="",G41=""),"",G41-F41)</f>
        <v/>
      </c>
      <c r="K41" s="18" t="n"/>
      <c r="L41" s="18" t="n"/>
      <c r="M41" s="18" t="n"/>
    </row>
    <row r="42">
      <c r="A42" s="18" t="n"/>
      <c r="B42" s="18" t="n"/>
      <c r="C42" s="18" t="n"/>
      <c r="D42" s="18" t="n"/>
      <c r="E42" s="18" t="n"/>
      <c r="F42" s="51" t="n"/>
      <c r="G42" s="51" t="n"/>
      <c r="H42" s="51" t="n"/>
      <c r="I42" s="51" t="n"/>
      <c r="J42" s="51">
        <f>IF(OR(F42="",G42=""),"",G42-F42)</f>
        <v/>
      </c>
      <c r="K42" s="18" t="n"/>
      <c r="L42" s="18" t="n"/>
      <c r="M42" s="18" t="n"/>
    </row>
    <row r="43">
      <c r="A43" s="18" t="n"/>
      <c r="B43" s="18" t="n"/>
      <c r="C43" s="18" t="n"/>
      <c r="D43" s="18" t="n"/>
      <c r="E43" s="18" t="n"/>
      <c r="F43" s="51" t="n"/>
      <c r="G43" s="51" t="n"/>
      <c r="H43" s="51" t="n"/>
      <c r="I43" s="51" t="n"/>
      <c r="J43" s="51">
        <f>IF(OR(F43="",G43=""),"",G43-F43)</f>
        <v/>
      </c>
      <c r="K43" s="18" t="n"/>
      <c r="L43" s="18" t="n"/>
      <c r="M43" s="18" t="n"/>
    </row>
    <row r="44">
      <c r="A44" s="18" t="n"/>
      <c r="B44" s="18" t="n"/>
      <c r="C44" s="18" t="n"/>
      <c r="D44" s="18" t="n"/>
      <c r="E44" s="18" t="n"/>
      <c r="F44" s="51" t="n"/>
      <c r="G44" s="51" t="n"/>
      <c r="H44" s="51" t="n"/>
      <c r="I44" s="51" t="n"/>
      <c r="J44" s="51">
        <f>IF(OR(F44="",G44=""),"",G44-F44)</f>
        <v/>
      </c>
      <c r="K44" s="18" t="n"/>
      <c r="L44" s="18" t="n"/>
      <c r="M44" s="18" t="n"/>
    </row>
    <row r="45">
      <c r="A45" s="18" t="n"/>
      <c r="B45" s="18" t="n"/>
      <c r="C45" s="18" t="n"/>
      <c r="D45" s="18" t="n"/>
      <c r="E45" s="18" t="n"/>
      <c r="F45" s="51" t="n"/>
      <c r="G45" s="51" t="n"/>
      <c r="H45" s="51" t="n"/>
      <c r="I45" s="51" t="n"/>
      <c r="J45" s="51">
        <f>IF(OR(F45="",G45=""),"",G45-F45)</f>
        <v/>
      </c>
      <c r="K45" s="18" t="n"/>
      <c r="L45" s="18" t="n"/>
      <c r="M45" s="18" t="n"/>
    </row>
    <row r="46">
      <c r="A46" s="18" t="n"/>
      <c r="B46" s="18" t="n"/>
      <c r="C46" s="18" t="n"/>
      <c r="D46" s="18" t="n"/>
      <c r="E46" s="18" t="n"/>
      <c r="F46" s="51" t="n"/>
      <c r="G46" s="51" t="n"/>
      <c r="H46" s="51" t="n"/>
      <c r="I46" s="51" t="n"/>
      <c r="J46" s="51">
        <f>IF(OR(F46="",G46=""),"",G46-F46)</f>
        <v/>
      </c>
      <c r="K46" s="18" t="n"/>
      <c r="L46" s="18" t="n"/>
      <c r="M46" s="18" t="n"/>
    </row>
    <row r="47">
      <c r="A47" s="18" t="n"/>
      <c r="B47" s="18" t="n"/>
      <c r="C47" s="18" t="n"/>
      <c r="D47" s="18" t="n"/>
      <c r="E47" s="18" t="n"/>
      <c r="F47" s="51" t="n"/>
      <c r="G47" s="51" t="n"/>
      <c r="H47" s="51" t="n"/>
      <c r="I47" s="51" t="n"/>
      <c r="J47" s="51">
        <f>IF(OR(F47="",G47=""),"",G47-F47)</f>
        <v/>
      </c>
      <c r="K47" s="18" t="n"/>
      <c r="L47" s="18" t="n"/>
      <c r="M47" s="18" t="n"/>
    </row>
    <row r="48">
      <c r="A48" s="18" t="n"/>
      <c r="B48" s="18" t="n"/>
      <c r="C48" s="18" t="n"/>
      <c r="D48" s="18" t="n"/>
      <c r="E48" s="18" t="n"/>
      <c r="F48" s="51" t="n"/>
      <c r="G48" s="51" t="n"/>
      <c r="H48" s="51" t="n"/>
      <c r="I48" s="51" t="n"/>
      <c r="J48" s="51">
        <f>IF(OR(F48="",G48=""),"",G48-F48)</f>
        <v/>
      </c>
      <c r="K48" s="18" t="n"/>
      <c r="L48" s="18" t="n"/>
      <c r="M48" s="18" t="n"/>
    </row>
    <row r="49">
      <c r="A49" s="18" t="n"/>
      <c r="B49" s="18" t="n"/>
      <c r="C49" s="18" t="n"/>
      <c r="D49" s="18" t="n"/>
      <c r="E49" s="18" t="n"/>
      <c r="F49" s="51" t="n"/>
      <c r="G49" s="51" t="n"/>
      <c r="H49" s="51" t="n"/>
      <c r="I49" s="51" t="n"/>
      <c r="J49" s="51">
        <f>IF(OR(F49="",G49=""),"",G49-F49)</f>
        <v/>
      </c>
      <c r="K49" s="18" t="n"/>
      <c r="L49" s="18" t="n"/>
      <c r="M49" s="18" t="n"/>
    </row>
    <row r="50">
      <c r="A50" s="18" t="n"/>
      <c r="B50" s="18" t="n"/>
      <c r="C50" s="18" t="n"/>
      <c r="D50" s="18" t="n"/>
      <c r="E50" s="18" t="n"/>
      <c r="F50" s="51" t="n"/>
      <c r="G50" s="51" t="n"/>
      <c r="H50" s="51" t="n"/>
      <c r="I50" s="51" t="n"/>
      <c r="J50" s="51">
        <f>IF(OR(F50="",G50=""),"",G50-F50)</f>
        <v/>
      </c>
      <c r="K50" s="18" t="n"/>
      <c r="L50" s="18" t="n"/>
      <c r="M50" s="18" t="n"/>
    </row>
    <row r="51">
      <c r="A51" s="18" t="n"/>
      <c r="B51" s="18" t="n"/>
      <c r="C51" s="18" t="n"/>
      <c r="D51" s="18" t="n"/>
      <c r="E51" s="18" t="n"/>
      <c r="F51" s="51" t="n"/>
      <c r="G51" s="51" t="n"/>
      <c r="H51" s="51" t="n"/>
      <c r="I51" s="51" t="n"/>
      <c r="J51" s="51">
        <f>IF(OR(F51="",G51=""),"",G51-F51)</f>
        <v/>
      </c>
      <c r="K51" s="18" t="n"/>
      <c r="L51" s="18" t="n"/>
      <c r="M51" s="18" t="n"/>
    </row>
    <row r="52">
      <c r="A52" s="18" t="n"/>
      <c r="B52" s="18" t="n"/>
      <c r="C52" s="18" t="n"/>
      <c r="D52" s="18" t="n"/>
      <c r="E52" s="18" t="n"/>
      <c r="F52" s="51" t="n"/>
      <c r="G52" s="51" t="n"/>
      <c r="H52" s="51" t="n"/>
      <c r="I52" s="51" t="n"/>
      <c r="J52" s="51">
        <f>IF(OR(F52="",G52=""),"",G52-F52)</f>
        <v/>
      </c>
      <c r="K52" s="18" t="n"/>
      <c r="L52" s="18" t="n"/>
      <c r="M52" s="18" t="n"/>
    </row>
    <row r="53">
      <c r="A53" s="18" t="n"/>
      <c r="B53" s="18" t="n"/>
      <c r="C53" s="18" t="n"/>
      <c r="D53" s="18" t="n"/>
      <c r="E53" s="18" t="n"/>
      <c r="F53" s="51" t="n"/>
      <c r="G53" s="51" t="n"/>
      <c r="H53" s="51" t="n"/>
      <c r="I53" s="51" t="n"/>
      <c r="J53" s="51">
        <f>IF(OR(F53="",G53=""),"",G53-F53)</f>
        <v/>
      </c>
      <c r="K53" s="18" t="n"/>
      <c r="L53" s="18" t="n"/>
      <c r="M53" s="18" t="n"/>
    </row>
    <row r="54">
      <c r="A54" s="18" t="n"/>
      <c r="B54" s="18" t="n"/>
      <c r="C54" s="18" t="n"/>
      <c r="D54" s="18" t="n"/>
      <c r="E54" s="18" t="n"/>
      <c r="F54" s="51" t="n"/>
      <c r="G54" s="51" t="n"/>
      <c r="H54" s="51" t="n"/>
      <c r="I54" s="51" t="n"/>
      <c r="J54" s="51">
        <f>IF(OR(F54="",G54=""),"",G54-F54)</f>
        <v/>
      </c>
      <c r="K54" s="18" t="n"/>
      <c r="L54" s="18" t="n"/>
      <c r="M54" s="18" t="n"/>
    </row>
    <row r="55">
      <c r="A55" s="18" t="n"/>
      <c r="B55" s="18" t="n"/>
      <c r="C55" s="18" t="n"/>
      <c r="D55" s="18" t="n"/>
      <c r="E55" s="18" t="n"/>
      <c r="F55" s="51" t="n"/>
      <c r="G55" s="51" t="n"/>
      <c r="H55" s="51" t="n"/>
      <c r="I55" s="51" t="n"/>
      <c r="J55" s="51">
        <f>IF(OR(F55="",G55=""),"",G55-F55)</f>
        <v/>
      </c>
      <c r="K55" s="18" t="n"/>
      <c r="L55" s="18" t="n"/>
      <c r="M55" s="18" t="n"/>
    </row>
    <row r="56">
      <c r="A56" s="18" t="n"/>
      <c r="B56" s="18" t="n"/>
      <c r="C56" s="18" t="n"/>
      <c r="D56" s="18" t="n"/>
      <c r="E56" s="18" t="n"/>
      <c r="F56" s="51" t="n"/>
      <c r="G56" s="51" t="n"/>
      <c r="H56" s="51" t="n"/>
      <c r="I56" s="51" t="n"/>
      <c r="J56" s="51">
        <f>IF(OR(F56="",G56=""),"",G56-F56)</f>
        <v/>
      </c>
      <c r="K56" s="18" t="n"/>
      <c r="L56" s="18" t="n"/>
      <c r="M56" s="18" t="n"/>
    </row>
    <row r="57">
      <c r="A57" s="18" t="n"/>
      <c r="B57" s="18" t="n"/>
      <c r="C57" s="18" t="n"/>
      <c r="D57" s="18" t="n"/>
      <c r="E57" s="18" t="n"/>
      <c r="F57" s="51" t="n"/>
      <c r="G57" s="51" t="n"/>
      <c r="H57" s="51" t="n"/>
      <c r="I57" s="51" t="n"/>
      <c r="J57" s="51">
        <f>IF(OR(F57="",G57=""),"",G57-F57)</f>
        <v/>
      </c>
      <c r="K57" s="18" t="n"/>
      <c r="L57" s="18" t="n"/>
      <c r="M57" s="18" t="n"/>
    </row>
    <row r="58">
      <c r="A58" s="18" t="n"/>
      <c r="B58" s="18" t="n"/>
      <c r="C58" s="18" t="n"/>
      <c r="D58" s="18" t="n"/>
      <c r="E58" s="18" t="n"/>
      <c r="F58" s="51" t="n"/>
      <c r="G58" s="51" t="n"/>
      <c r="H58" s="51" t="n"/>
      <c r="I58" s="51" t="n"/>
      <c r="J58" s="51">
        <f>IF(OR(F58="",G58=""),"",G58-F58)</f>
        <v/>
      </c>
      <c r="K58" s="18" t="n"/>
      <c r="L58" s="18" t="n"/>
      <c r="M58" s="18" t="n"/>
    </row>
    <row r="59">
      <c r="A59" s="18" t="n"/>
      <c r="B59" s="18" t="n"/>
      <c r="C59" s="18" t="n"/>
      <c r="D59" s="18" t="n"/>
      <c r="E59" s="18" t="n"/>
      <c r="F59" s="51" t="n"/>
      <c r="G59" s="51" t="n"/>
      <c r="H59" s="51" t="n"/>
      <c r="I59" s="51" t="n"/>
      <c r="J59" s="51">
        <f>IF(OR(F59="",G59=""),"",G59-F59)</f>
        <v/>
      </c>
      <c r="K59" s="18" t="n"/>
      <c r="L59" s="18" t="n"/>
      <c r="M59" s="18" t="n"/>
    </row>
    <row r="60">
      <c r="A60" s="18" t="n"/>
      <c r="B60" s="18" t="n"/>
      <c r="C60" s="18" t="n"/>
      <c r="D60" s="18" t="n"/>
      <c r="E60" s="18" t="n"/>
      <c r="F60" s="51" t="n"/>
      <c r="G60" s="51" t="n"/>
      <c r="H60" s="51" t="n"/>
      <c r="I60" s="51" t="n"/>
      <c r="J60" s="51">
        <f>IF(OR(F60="",G60=""),"",G60-F60)</f>
        <v/>
      </c>
      <c r="K60" s="18" t="n"/>
      <c r="L60" s="18" t="n"/>
      <c r="M60" s="18" t="n"/>
    </row>
    <row r="61">
      <c r="A61" s="18" t="n"/>
      <c r="B61" s="18" t="n"/>
      <c r="C61" s="18" t="n"/>
      <c r="D61" s="18" t="n"/>
      <c r="E61" s="18" t="n"/>
      <c r="F61" s="51" t="n"/>
      <c r="G61" s="51" t="n"/>
      <c r="H61" s="51" t="n"/>
      <c r="I61" s="51" t="n"/>
      <c r="J61" s="51">
        <f>IF(OR(F61="",G61=""),"",G61-F61)</f>
        <v/>
      </c>
      <c r="K61" s="18" t="n"/>
      <c r="L61" s="18" t="n"/>
      <c r="M61" s="18" t="n"/>
    </row>
    <row r="62">
      <c r="A62" s="18" t="n"/>
      <c r="B62" s="18" t="n"/>
      <c r="C62" s="18" t="n"/>
      <c r="D62" s="18" t="n"/>
      <c r="E62" s="18" t="n"/>
      <c r="F62" s="51" t="n"/>
      <c r="G62" s="51" t="n"/>
      <c r="H62" s="51" t="n"/>
      <c r="I62" s="51" t="n"/>
      <c r="J62" s="51">
        <f>IF(OR(F62="",G62=""),"",G62-F62)</f>
        <v/>
      </c>
      <c r="K62" s="18" t="n"/>
      <c r="L62" s="18" t="n"/>
      <c r="M62" s="18" t="n"/>
    </row>
    <row r="63">
      <c r="A63" s="18" t="n"/>
      <c r="B63" s="18" t="n"/>
      <c r="C63" s="18" t="n"/>
      <c r="D63" s="18" t="n"/>
      <c r="E63" s="18" t="n"/>
      <c r="F63" s="51" t="n"/>
      <c r="G63" s="51" t="n"/>
      <c r="H63" s="51" t="n"/>
      <c r="I63" s="51" t="n"/>
      <c r="J63" s="51">
        <f>IF(OR(F63="",G63=""),"",G63-F63)</f>
        <v/>
      </c>
      <c r="K63" s="18" t="n"/>
      <c r="L63" s="18" t="n"/>
      <c r="M63" s="18" t="n"/>
    </row>
    <row r="64">
      <c r="A64" s="18" t="n"/>
      <c r="B64" s="18" t="n"/>
      <c r="C64" s="18" t="n"/>
      <c r="D64" s="18" t="n"/>
      <c r="E64" s="18" t="n"/>
      <c r="F64" s="51" t="n"/>
      <c r="G64" s="51" t="n"/>
      <c r="H64" s="51" t="n"/>
      <c r="I64" s="51" t="n"/>
      <c r="J64" s="51">
        <f>IF(OR(F64="",G64=""),"",G64-F64)</f>
        <v/>
      </c>
      <c r="K64" s="18" t="n"/>
      <c r="L64" s="18" t="n"/>
      <c r="M64" s="18" t="n"/>
    </row>
    <row r="65">
      <c r="A65" s="18" t="n"/>
      <c r="B65" s="18" t="n"/>
      <c r="C65" s="18" t="n"/>
      <c r="D65" s="18" t="n"/>
      <c r="E65" s="18" t="n"/>
      <c r="F65" s="51" t="n"/>
      <c r="G65" s="51" t="n"/>
      <c r="H65" s="51" t="n"/>
      <c r="I65" s="51" t="n"/>
      <c r="J65" s="51">
        <f>IF(OR(F65="",G65=""),"",G65-F65)</f>
        <v/>
      </c>
      <c r="K65" s="18" t="n"/>
      <c r="L65" s="18" t="n"/>
      <c r="M65" s="18" t="n"/>
    </row>
    <row r="66">
      <c r="A66" s="18" t="n"/>
      <c r="B66" s="18" t="n"/>
      <c r="C66" s="18" t="n"/>
      <c r="D66" s="18" t="n"/>
      <c r="E66" s="18" t="n"/>
      <c r="F66" s="51" t="n"/>
      <c r="G66" s="51" t="n"/>
      <c r="H66" s="51" t="n"/>
      <c r="I66" s="51" t="n"/>
      <c r="J66" s="51">
        <f>IF(OR(F66="",G66=""),"",G66-F66)</f>
        <v/>
      </c>
      <c r="K66" s="18" t="n"/>
      <c r="L66" s="18" t="n"/>
      <c r="M66" s="18" t="n"/>
    </row>
    <row r="67">
      <c r="A67" s="18" t="n"/>
      <c r="B67" s="18" t="n"/>
      <c r="C67" s="18" t="n"/>
      <c r="D67" s="18" t="n"/>
      <c r="E67" s="18" t="n"/>
      <c r="F67" s="51" t="n"/>
      <c r="G67" s="51" t="n"/>
      <c r="H67" s="51" t="n"/>
      <c r="I67" s="51" t="n"/>
      <c r="J67" s="51">
        <f>IF(OR(F67="",G67=""),"",G67-F67)</f>
        <v/>
      </c>
      <c r="K67" s="18" t="n"/>
      <c r="L67" s="18" t="n"/>
      <c r="M67" s="18" t="n"/>
    </row>
    <row r="68">
      <c r="A68" s="18" t="n"/>
      <c r="B68" s="18" t="n"/>
      <c r="C68" s="18" t="n"/>
      <c r="D68" s="18" t="n"/>
      <c r="E68" s="18" t="n"/>
      <c r="F68" s="51" t="n"/>
      <c r="G68" s="51" t="n"/>
      <c r="H68" s="51" t="n"/>
      <c r="I68" s="51" t="n"/>
      <c r="J68" s="51">
        <f>IF(OR(F68="",G68=""),"",G68-F68)</f>
        <v/>
      </c>
      <c r="K68" s="18" t="n"/>
      <c r="L68" s="18" t="n"/>
      <c r="M68" s="18" t="n"/>
    </row>
    <row r="69">
      <c r="A69" s="18" t="n"/>
      <c r="B69" s="18" t="n"/>
      <c r="C69" s="18" t="n"/>
      <c r="D69" s="18" t="n"/>
      <c r="E69" s="18" t="n"/>
      <c r="F69" s="51" t="n"/>
      <c r="G69" s="51" t="n"/>
      <c r="H69" s="51" t="n"/>
      <c r="I69" s="51" t="n"/>
      <c r="J69" s="51">
        <f>IF(OR(F69="",G69=""),"",G69-F69)</f>
        <v/>
      </c>
      <c r="K69" s="18" t="n"/>
      <c r="L69" s="18" t="n"/>
      <c r="M69" s="18" t="n"/>
    </row>
    <row r="70">
      <c r="A70" s="18" t="n"/>
      <c r="B70" s="18" t="n"/>
      <c r="C70" s="18" t="n"/>
      <c r="D70" s="18" t="n"/>
      <c r="E70" s="18" t="n"/>
      <c r="F70" s="51" t="n"/>
      <c r="G70" s="51" t="n"/>
      <c r="H70" s="51" t="n"/>
      <c r="I70" s="51" t="n"/>
      <c r="J70" s="51">
        <f>IF(OR(F70="",G70=""),"",G70-F70)</f>
        <v/>
      </c>
      <c r="K70" s="18" t="n"/>
      <c r="L70" s="18" t="n"/>
      <c r="M70" s="18" t="n"/>
    </row>
    <row r="71">
      <c r="A71" s="18" t="n"/>
      <c r="B71" s="18" t="n"/>
      <c r="C71" s="18" t="n"/>
      <c r="D71" s="18" t="n"/>
      <c r="E71" s="18" t="n"/>
      <c r="F71" s="51" t="n"/>
      <c r="G71" s="51" t="n"/>
      <c r="H71" s="51" t="n"/>
      <c r="I71" s="51" t="n"/>
      <c r="J71" s="51">
        <f>IF(OR(F71="",G71=""),"",G71-F71)</f>
        <v/>
      </c>
      <c r="K71" s="18" t="n"/>
      <c r="L71" s="18" t="n"/>
      <c r="M71" s="18" t="n"/>
    </row>
    <row r="72">
      <c r="A72" s="18" t="n"/>
      <c r="B72" s="18" t="n"/>
      <c r="C72" s="18" t="n"/>
      <c r="D72" s="18" t="n"/>
      <c r="E72" s="18" t="n"/>
      <c r="F72" s="51" t="n"/>
      <c r="G72" s="51" t="n"/>
      <c r="H72" s="51" t="n"/>
      <c r="I72" s="51" t="n"/>
      <c r="J72" s="51">
        <f>IF(OR(F72="",G72=""),"",G72-F72)</f>
        <v/>
      </c>
      <c r="K72" s="18" t="n"/>
      <c r="L72" s="18" t="n"/>
      <c r="M72" s="18" t="n"/>
    </row>
    <row r="73">
      <c r="A73" s="18" t="n"/>
      <c r="B73" s="18" t="n"/>
      <c r="C73" s="18" t="n"/>
      <c r="D73" s="18" t="n"/>
      <c r="E73" s="18" t="n"/>
      <c r="F73" s="51" t="n"/>
      <c r="G73" s="51" t="n"/>
      <c r="H73" s="51" t="n"/>
      <c r="I73" s="51" t="n"/>
      <c r="J73" s="51">
        <f>IF(OR(F73="",G73=""),"",G73-F73)</f>
        <v/>
      </c>
      <c r="K73" s="18" t="n"/>
      <c r="L73" s="18" t="n"/>
      <c r="M73" s="18" t="n"/>
    </row>
    <row r="74">
      <c r="A74" s="18" t="n"/>
      <c r="B74" s="18" t="n"/>
      <c r="C74" s="18" t="n"/>
      <c r="D74" s="18" t="n"/>
      <c r="E74" s="18" t="n"/>
      <c r="F74" s="51" t="n"/>
      <c r="G74" s="51" t="n"/>
      <c r="H74" s="51" t="n"/>
      <c r="I74" s="51" t="n"/>
      <c r="J74" s="51">
        <f>IF(OR(F74="",G74=""),"",G74-F74)</f>
        <v/>
      </c>
      <c r="K74" s="18" t="n"/>
      <c r="L74" s="18" t="n"/>
      <c r="M74" s="18" t="n"/>
    </row>
    <row r="75">
      <c r="A75" s="18" t="n"/>
      <c r="B75" s="18" t="n"/>
      <c r="C75" s="18" t="n"/>
      <c r="D75" s="18" t="n"/>
      <c r="E75" s="18" t="n"/>
      <c r="F75" s="51" t="n"/>
      <c r="G75" s="51" t="n"/>
      <c r="H75" s="51" t="n"/>
      <c r="I75" s="51" t="n"/>
      <c r="J75" s="51">
        <f>IF(OR(F75="",G75=""),"",G75-F75)</f>
        <v/>
      </c>
      <c r="K75" s="18" t="n"/>
      <c r="L75" s="18" t="n"/>
      <c r="M75" s="18" t="n"/>
    </row>
    <row r="76">
      <c r="A76" s="18" t="n"/>
      <c r="B76" s="18" t="n"/>
      <c r="C76" s="18" t="n"/>
      <c r="D76" s="18" t="n"/>
      <c r="E76" s="18" t="n"/>
      <c r="F76" s="51" t="n"/>
      <c r="G76" s="51" t="n"/>
      <c r="H76" s="51" t="n"/>
      <c r="I76" s="51" t="n"/>
      <c r="J76" s="51">
        <f>IF(OR(F76="",G76=""),"",G76-F76)</f>
        <v/>
      </c>
      <c r="K76" s="18" t="n"/>
      <c r="L76" s="18" t="n"/>
      <c r="M76" s="18" t="n"/>
    </row>
    <row r="77">
      <c r="A77" s="18" t="n"/>
      <c r="B77" s="18" t="n"/>
      <c r="C77" s="18" t="n"/>
      <c r="D77" s="18" t="n"/>
      <c r="E77" s="18" t="n"/>
      <c r="F77" s="51" t="n"/>
      <c r="G77" s="51" t="n"/>
      <c r="H77" s="51" t="n"/>
      <c r="I77" s="51" t="n"/>
      <c r="J77" s="51">
        <f>IF(OR(F77="",G77=""),"",G77-F77)</f>
        <v/>
      </c>
      <c r="K77" s="18" t="n"/>
      <c r="L77" s="18" t="n"/>
      <c r="M77" s="18" t="n"/>
    </row>
    <row r="78">
      <c r="A78" s="18" t="n"/>
      <c r="B78" s="18" t="n"/>
      <c r="C78" s="18" t="n"/>
      <c r="D78" s="18" t="n"/>
      <c r="E78" s="18" t="n"/>
      <c r="F78" s="51" t="n"/>
      <c r="G78" s="51" t="n"/>
      <c r="H78" s="51" t="n"/>
      <c r="I78" s="51" t="n"/>
      <c r="J78" s="51">
        <f>IF(OR(F78="",G78=""),"",G78-F78)</f>
        <v/>
      </c>
      <c r="K78" s="18" t="n"/>
      <c r="L78" s="18" t="n"/>
      <c r="M78" s="18" t="n"/>
    </row>
    <row r="79">
      <c r="A79" s="18" t="n"/>
      <c r="B79" s="18" t="n"/>
      <c r="C79" s="18" t="n"/>
      <c r="D79" s="18" t="n"/>
      <c r="E79" s="18" t="n"/>
      <c r="F79" s="51" t="n"/>
      <c r="G79" s="51" t="n"/>
      <c r="H79" s="51" t="n"/>
      <c r="I79" s="51" t="n"/>
      <c r="J79" s="51">
        <f>IF(OR(F79="",G79=""),"",G79-F79)</f>
        <v/>
      </c>
      <c r="K79" s="18" t="n"/>
      <c r="L79" s="18" t="n"/>
      <c r="M79" s="18" t="n"/>
    </row>
    <row r="80">
      <c r="A80" s="18" t="n"/>
      <c r="B80" s="18" t="n"/>
      <c r="C80" s="18" t="n"/>
      <c r="D80" s="18" t="n"/>
      <c r="E80" s="18" t="n"/>
      <c r="F80" s="51" t="n"/>
      <c r="G80" s="51" t="n"/>
      <c r="H80" s="51" t="n"/>
      <c r="I80" s="51" t="n"/>
      <c r="J80" s="51">
        <f>IF(OR(F80="",G80=""),"",G80-F80)</f>
        <v/>
      </c>
      <c r="K80" s="18" t="n"/>
      <c r="L80" s="18" t="n"/>
      <c r="M80" s="18" t="n"/>
    </row>
    <row r="81">
      <c r="A81" s="18" t="n"/>
      <c r="B81" s="18" t="n"/>
      <c r="C81" s="18" t="n"/>
      <c r="D81" s="18" t="n"/>
      <c r="E81" s="18" t="n"/>
      <c r="F81" s="51" t="n"/>
      <c r="G81" s="51" t="n"/>
      <c r="H81" s="51" t="n"/>
      <c r="I81" s="51" t="n"/>
      <c r="J81" s="51">
        <f>IF(OR(F81="",G81=""),"",G81-F81)</f>
        <v/>
      </c>
      <c r="K81" s="18" t="n"/>
      <c r="L81" s="18" t="n"/>
      <c r="M81" s="18" t="n"/>
    </row>
    <row r="82">
      <c r="A82" s="18" t="n"/>
      <c r="B82" s="18" t="n"/>
      <c r="C82" s="18" t="n"/>
      <c r="D82" s="18" t="n"/>
      <c r="E82" s="18" t="n"/>
      <c r="F82" s="51" t="n"/>
      <c r="G82" s="51" t="n"/>
      <c r="H82" s="51" t="n"/>
      <c r="I82" s="51" t="n"/>
      <c r="J82" s="51">
        <f>IF(OR(F82="",G82=""),"",G82-F82)</f>
        <v/>
      </c>
      <c r="K82" s="18" t="n"/>
      <c r="L82" s="18" t="n"/>
      <c r="M82" s="18" t="n"/>
    </row>
    <row r="83">
      <c r="A83" s="18" t="n"/>
      <c r="B83" s="18" t="n"/>
      <c r="C83" s="18" t="n"/>
      <c r="D83" s="18" t="n"/>
      <c r="E83" s="18" t="n"/>
      <c r="F83" s="51" t="n"/>
      <c r="G83" s="51" t="n"/>
      <c r="H83" s="51" t="n"/>
      <c r="I83" s="51" t="n"/>
      <c r="J83" s="51">
        <f>IF(OR(F83="",G83=""),"",G83-F83)</f>
        <v/>
      </c>
      <c r="K83" s="18" t="n"/>
      <c r="L83" s="18" t="n"/>
      <c r="M83" s="18" t="n"/>
    </row>
    <row r="84">
      <c r="A84" s="18" t="n"/>
      <c r="B84" s="18" t="n"/>
      <c r="C84" s="18" t="n"/>
      <c r="D84" s="18" t="n"/>
      <c r="E84" s="18" t="n"/>
      <c r="F84" s="51" t="n"/>
      <c r="G84" s="51" t="n"/>
      <c r="H84" s="51" t="n"/>
      <c r="I84" s="51" t="n"/>
      <c r="J84" s="51">
        <f>IF(OR(F84="",G84=""),"",G84-F84)</f>
        <v/>
      </c>
      <c r="K84" s="18" t="n"/>
      <c r="L84" s="18" t="n"/>
      <c r="M84" s="18" t="n"/>
    </row>
    <row r="85">
      <c r="A85" s="18" t="n"/>
      <c r="B85" s="18" t="n"/>
      <c r="C85" s="18" t="n"/>
      <c r="D85" s="18" t="n"/>
      <c r="E85" s="18" t="n"/>
      <c r="F85" s="51" t="n"/>
      <c r="G85" s="51" t="n"/>
      <c r="H85" s="51" t="n"/>
      <c r="I85" s="51" t="n"/>
      <c r="J85" s="51">
        <f>IF(OR(F85="",G85=""),"",G85-F85)</f>
        <v/>
      </c>
      <c r="K85" s="18" t="n"/>
      <c r="L85" s="18" t="n"/>
      <c r="M85" s="18" t="n"/>
    </row>
    <row r="86">
      <c r="A86" s="18" t="n"/>
      <c r="B86" s="18" t="n"/>
      <c r="C86" s="18" t="n"/>
      <c r="D86" s="18" t="n"/>
      <c r="E86" s="18" t="n"/>
      <c r="F86" s="51" t="n"/>
      <c r="G86" s="51" t="n"/>
      <c r="H86" s="51" t="n"/>
      <c r="I86" s="51" t="n"/>
      <c r="J86" s="51">
        <f>IF(OR(F86="",G86=""),"",G86-F86)</f>
        <v/>
      </c>
      <c r="K86" s="18" t="n"/>
      <c r="L86" s="18" t="n"/>
      <c r="M86" s="18" t="n"/>
    </row>
    <row r="87">
      <c r="A87" s="18" t="n"/>
      <c r="B87" s="18" t="n"/>
      <c r="C87" s="18" t="n"/>
      <c r="D87" s="18" t="n"/>
      <c r="E87" s="18" t="n"/>
      <c r="F87" s="51" t="n"/>
      <c r="G87" s="51" t="n"/>
      <c r="H87" s="51" t="n"/>
      <c r="I87" s="51" t="n"/>
      <c r="J87" s="51">
        <f>IF(OR(F87="",G87=""),"",G87-F87)</f>
        <v/>
      </c>
      <c r="K87" s="18" t="n"/>
      <c r="L87" s="18" t="n"/>
      <c r="M87" s="18" t="n"/>
    </row>
    <row r="88">
      <c r="A88" s="18" t="n"/>
      <c r="B88" s="18" t="n"/>
      <c r="C88" s="18" t="n"/>
      <c r="D88" s="18" t="n"/>
      <c r="E88" s="18" t="n"/>
      <c r="F88" s="51" t="n"/>
      <c r="G88" s="51" t="n"/>
      <c r="H88" s="51" t="n"/>
      <c r="I88" s="51" t="n"/>
      <c r="J88" s="51">
        <f>IF(OR(F88="",G88=""),"",G88-F88)</f>
        <v/>
      </c>
      <c r="K88" s="18" t="n"/>
      <c r="L88" s="18" t="n"/>
      <c r="M88" s="18" t="n"/>
    </row>
    <row r="89">
      <c r="A89" s="18" t="n"/>
      <c r="B89" s="18" t="n"/>
      <c r="C89" s="18" t="n"/>
      <c r="D89" s="18" t="n"/>
      <c r="E89" s="18" t="n"/>
      <c r="F89" s="51" t="n"/>
      <c r="G89" s="51" t="n"/>
      <c r="H89" s="51" t="n"/>
      <c r="I89" s="51" t="n"/>
      <c r="J89" s="51">
        <f>IF(OR(F89="",G89=""),"",G89-F89)</f>
        <v/>
      </c>
      <c r="K89" s="18" t="n"/>
      <c r="L89" s="18" t="n"/>
      <c r="M89" s="18" t="n"/>
    </row>
    <row r="90">
      <c r="A90" s="18" t="n"/>
      <c r="B90" s="18" t="n"/>
      <c r="C90" s="18" t="n"/>
      <c r="D90" s="18" t="n"/>
      <c r="E90" s="18" t="n"/>
      <c r="F90" s="51" t="n"/>
      <c r="G90" s="51" t="n"/>
      <c r="H90" s="51" t="n"/>
      <c r="I90" s="51" t="n"/>
      <c r="J90" s="51">
        <f>IF(OR(F90="",G90=""),"",G90-F90)</f>
        <v/>
      </c>
      <c r="K90" s="18" t="n"/>
      <c r="L90" s="18" t="n"/>
      <c r="M90" s="18" t="n"/>
    </row>
    <row r="91">
      <c r="A91" s="18" t="n"/>
      <c r="B91" s="18" t="n"/>
      <c r="C91" s="18" t="n"/>
      <c r="D91" s="18" t="n"/>
      <c r="E91" s="18" t="n"/>
      <c r="F91" s="51" t="n"/>
      <c r="G91" s="51" t="n"/>
      <c r="H91" s="51" t="n"/>
      <c r="I91" s="51" t="n"/>
      <c r="J91" s="51">
        <f>IF(OR(F91="",G91=""),"",G91-F91)</f>
        <v/>
      </c>
      <c r="K91" s="18" t="n"/>
      <c r="L91" s="18" t="n"/>
      <c r="M91" s="18" t="n"/>
    </row>
    <row r="92">
      <c r="A92" s="18" t="n"/>
      <c r="B92" s="18" t="n"/>
      <c r="C92" s="18" t="n"/>
      <c r="D92" s="18" t="n"/>
      <c r="E92" s="18" t="n"/>
      <c r="F92" s="51" t="n"/>
      <c r="G92" s="51" t="n"/>
      <c r="H92" s="51" t="n"/>
      <c r="I92" s="51" t="n"/>
      <c r="J92" s="51">
        <f>IF(OR(F92="",G92=""),"",G92-F92)</f>
        <v/>
      </c>
      <c r="K92" s="18" t="n"/>
      <c r="L92" s="18" t="n"/>
      <c r="M92" s="18" t="n"/>
    </row>
    <row r="93">
      <c r="A93" s="18" t="n"/>
      <c r="B93" s="18" t="n"/>
      <c r="C93" s="18" t="n"/>
      <c r="D93" s="18" t="n"/>
      <c r="E93" s="18" t="n"/>
      <c r="F93" s="51" t="n"/>
      <c r="G93" s="51" t="n"/>
      <c r="H93" s="51" t="n"/>
      <c r="I93" s="51" t="n"/>
      <c r="J93" s="51">
        <f>IF(OR(F93="",G93=""),"",G93-F93)</f>
        <v/>
      </c>
      <c r="K93" s="18" t="n"/>
      <c r="L93" s="18" t="n"/>
      <c r="M93" s="18" t="n"/>
    </row>
    <row r="94">
      <c r="A94" s="18" t="n"/>
      <c r="B94" s="18" t="n"/>
      <c r="C94" s="18" t="n"/>
      <c r="D94" s="18" t="n"/>
      <c r="E94" s="18" t="n"/>
      <c r="F94" s="51" t="n"/>
      <c r="G94" s="51" t="n"/>
      <c r="H94" s="51" t="n"/>
      <c r="I94" s="51" t="n"/>
      <c r="J94" s="51">
        <f>IF(OR(F94="",G94=""),"",G94-F94)</f>
        <v/>
      </c>
      <c r="K94" s="18" t="n"/>
      <c r="L94" s="18" t="n"/>
      <c r="M94" s="18" t="n"/>
    </row>
    <row r="95">
      <c r="A95" s="18" t="n"/>
      <c r="B95" s="18" t="n"/>
      <c r="C95" s="18" t="n"/>
      <c r="D95" s="18" t="n"/>
      <c r="E95" s="18" t="n"/>
      <c r="F95" s="51" t="n"/>
      <c r="G95" s="51" t="n"/>
      <c r="H95" s="51" t="n"/>
      <c r="I95" s="51" t="n"/>
      <c r="J95" s="51">
        <f>IF(OR(F95="",G95=""),"",G95-F95)</f>
        <v/>
      </c>
      <c r="K95" s="18" t="n"/>
      <c r="L95" s="18" t="n"/>
      <c r="M95" s="18" t="n"/>
    </row>
    <row r="96">
      <c r="A96" s="18" t="n"/>
      <c r="B96" s="18" t="n"/>
      <c r="C96" s="18" t="n"/>
      <c r="D96" s="18" t="n"/>
      <c r="E96" s="18" t="n"/>
      <c r="F96" s="51" t="n"/>
      <c r="G96" s="51" t="n"/>
      <c r="H96" s="51" t="n"/>
      <c r="I96" s="51" t="n"/>
      <c r="J96" s="51">
        <f>IF(OR(F96="",G96=""),"",G96-F96)</f>
        <v/>
      </c>
      <c r="K96" s="18" t="n"/>
      <c r="L96" s="18" t="n"/>
      <c r="M96" s="18" t="n"/>
    </row>
    <row r="97">
      <c r="A97" s="18" t="n"/>
      <c r="B97" s="18" t="n"/>
      <c r="C97" s="18" t="n"/>
      <c r="D97" s="18" t="n"/>
      <c r="E97" s="18" t="n"/>
      <c r="F97" s="51" t="n"/>
      <c r="G97" s="51" t="n"/>
      <c r="H97" s="51" t="n"/>
      <c r="I97" s="51" t="n"/>
      <c r="J97" s="51">
        <f>IF(OR(F97="",G97=""),"",G97-F97)</f>
        <v/>
      </c>
      <c r="K97" s="18" t="n"/>
      <c r="L97" s="18" t="n"/>
      <c r="M97" s="18" t="n"/>
    </row>
    <row r="98">
      <c r="A98" s="18" t="n"/>
      <c r="B98" s="18" t="n"/>
      <c r="C98" s="18" t="n"/>
      <c r="D98" s="18" t="n"/>
      <c r="E98" s="18" t="n"/>
      <c r="F98" s="51" t="n"/>
      <c r="G98" s="51" t="n"/>
      <c r="H98" s="51" t="n"/>
      <c r="I98" s="51" t="n"/>
      <c r="J98" s="51">
        <f>IF(OR(F98="",G98=""),"",G98-F98)</f>
        <v/>
      </c>
      <c r="K98" s="18" t="n"/>
      <c r="L98" s="18" t="n"/>
      <c r="M98" s="18" t="n"/>
    </row>
    <row r="99">
      <c r="A99" s="18" t="n"/>
      <c r="B99" s="18" t="n"/>
      <c r="C99" s="18" t="n"/>
      <c r="D99" s="18" t="n"/>
      <c r="E99" s="18" t="n"/>
      <c r="F99" s="51" t="n"/>
      <c r="G99" s="51" t="n"/>
      <c r="H99" s="51" t="n"/>
      <c r="I99" s="51" t="n"/>
      <c r="J99" s="51">
        <f>IF(OR(F99="",G99=""),"",G99-F99)</f>
        <v/>
      </c>
      <c r="K99" s="18" t="n"/>
      <c r="L99" s="18" t="n"/>
      <c r="M99" s="18" t="n"/>
    </row>
    <row r="100">
      <c r="A100" s="18" t="n"/>
      <c r="B100" s="18" t="n"/>
      <c r="C100" s="18" t="n"/>
      <c r="D100" s="18" t="n"/>
      <c r="E100" s="18" t="n"/>
      <c r="F100" s="51" t="n"/>
      <c r="G100" s="51" t="n"/>
      <c r="H100" s="51" t="n"/>
      <c r="I100" s="51" t="n"/>
      <c r="J100" s="51">
        <f>IF(OR(F100="",G100=""),"",G100-F100)</f>
        <v/>
      </c>
      <c r="K100" s="18" t="n"/>
      <c r="L100" s="18" t="n"/>
      <c r="M100" s="18" t="n"/>
    </row>
    <row r="101">
      <c r="A101" s="18" t="n"/>
      <c r="B101" s="18" t="n"/>
      <c r="C101" s="18" t="n"/>
      <c r="D101" s="18" t="n"/>
      <c r="E101" s="18" t="n"/>
      <c r="F101" s="51" t="n"/>
      <c r="G101" s="51" t="n"/>
      <c r="H101" s="51" t="n"/>
      <c r="I101" s="51" t="n"/>
      <c r="J101" s="51">
        <f>IF(OR(F101="",G101=""),"",G101-F101)</f>
        <v/>
      </c>
      <c r="K101" s="18" t="n"/>
      <c r="L101" s="18" t="n"/>
      <c r="M101" s="18" t="n"/>
    </row>
    <row r="102">
      <c r="A102" s="18" t="n"/>
      <c r="B102" s="18" t="n"/>
      <c r="C102" s="18" t="n"/>
      <c r="D102" s="18" t="n"/>
      <c r="E102" s="18" t="n"/>
      <c r="F102" s="51" t="n"/>
      <c r="G102" s="51" t="n"/>
      <c r="H102" s="51" t="n"/>
      <c r="I102" s="51" t="n"/>
      <c r="J102" s="51">
        <f>IF(OR(F102="",G102=""),"",G102-F102)</f>
        <v/>
      </c>
      <c r="K102" s="18" t="n"/>
      <c r="L102" s="18" t="n"/>
      <c r="M102" s="18" t="n"/>
    </row>
    <row r="103">
      <c r="A103" s="18" t="n"/>
      <c r="B103" s="18" t="n"/>
      <c r="C103" s="18" t="n"/>
      <c r="D103" s="18" t="n"/>
      <c r="E103" s="18" t="n"/>
      <c r="F103" s="51" t="n"/>
      <c r="G103" s="51" t="n"/>
      <c r="H103" s="51" t="n"/>
      <c r="I103" s="51" t="n"/>
      <c r="J103" s="51">
        <f>IF(OR(F103="",G103=""),"",G103-F103)</f>
        <v/>
      </c>
      <c r="K103" s="18" t="n"/>
      <c r="L103" s="18" t="n"/>
      <c r="M103" s="18" t="n"/>
    </row>
    <row r="104">
      <c r="A104" s="18" t="n"/>
      <c r="B104" s="18" t="n"/>
      <c r="C104" s="18" t="n"/>
      <c r="D104" s="18" t="n"/>
      <c r="E104" s="18" t="n"/>
      <c r="F104" s="51" t="n"/>
      <c r="G104" s="51" t="n"/>
      <c r="H104" s="51" t="n"/>
      <c r="I104" s="51" t="n"/>
      <c r="J104" s="51">
        <f>IF(OR(F104="",G104=""),"",G104-F104)</f>
        <v/>
      </c>
      <c r="K104" s="18" t="n"/>
      <c r="L104" s="18" t="n"/>
      <c r="M104" s="18" t="n"/>
    </row>
    <row r="105">
      <c r="A105" s="18" t="n"/>
      <c r="B105" s="18" t="n"/>
      <c r="C105" s="18" t="n"/>
      <c r="D105" s="18" t="n"/>
      <c r="E105" s="18" t="n"/>
      <c r="F105" s="51" t="n"/>
      <c r="G105" s="51" t="n"/>
      <c r="H105" s="51" t="n"/>
      <c r="I105" s="51" t="n"/>
      <c r="J105" s="51">
        <f>IF(OR(F105="",G105=""),"",G105-F105)</f>
        <v/>
      </c>
      <c r="K105" s="18" t="n"/>
      <c r="L105" s="18" t="n"/>
      <c r="M105" s="18" t="n"/>
    </row>
    <row r="106">
      <c r="A106" s="18" t="n"/>
      <c r="B106" s="18" t="n"/>
      <c r="C106" s="18" t="n"/>
      <c r="D106" s="18" t="n"/>
      <c r="E106" s="18" t="n"/>
      <c r="F106" s="51" t="n"/>
      <c r="G106" s="51" t="n"/>
      <c r="H106" s="51" t="n"/>
      <c r="I106" s="51" t="n"/>
      <c r="J106" s="51">
        <f>IF(OR(F106="",G106=""),"",G106-F106)</f>
        <v/>
      </c>
      <c r="K106" s="18" t="n"/>
      <c r="L106" s="18" t="n"/>
      <c r="M106" s="18" t="n"/>
    </row>
    <row r="107">
      <c r="A107" s="18" t="n"/>
      <c r="B107" s="18" t="n"/>
      <c r="C107" s="18" t="n"/>
      <c r="D107" s="18" t="n"/>
      <c r="E107" s="18" t="n"/>
      <c r="F107" s="51" t="n"/>
      <c r="G107" s="51" t="n"/>
      <c r="H107" s="51" t="n"/>
      <c r="I107" s="51" t="n"/>
      <c r="J107" s="51">
        <f>IF(OR(F107="",G107=""),"",G107-F107)</f>
        <v/>
      </c>
      <c r="K107" s="18" t="n"/>
      <c r="L107" s="18" t="n"/>
      <c r="M107" s="18" t="n"/>
    </row>
    <row r="108">
      <c r="A108" s="18" t="n"/>
      <c r="B108" s="18" t="n"/>
      <c r="C108" s="18" t="n"/>
      <c r="D108" s="18" t="n"/>
      <c r="E108" s="18" t="n"/>
      <c r="F108" s="51" t="n"/>
      <c r="G108" s="51" t="n"/>
      <c r="H108" s="51" t="n"/>
      <c r="I108" s="51" t="n"/>
      <c r="J108" s="51">
        <f>IF(OR(F108="",G108=""),"",G108-F108)</f>
        <v/>
      </c>
      <c r="K108" s="18" t="n"/>
      <c r="L108" s="18" t="n"/>
      <c r="M108" s="18" t="n"/>
    </row>
    <row r="109">
      <c r="A109" s="18" t="n"/>
      <c r="B109" s="18" t="n"/>
      <c r="C109" s="18" t="n"/>
      <c r="D109" s="18" t="n"/>
      <c r="E109" s="18" t="n"/>
      <c r="F109" s="51" t="n"/>
      <c r="G109" s="51" t="n"/>
      <c r="H109" s="51" t="n"/>
      <c r="I109" s="51" t="n"/>
      <c r="J109" s="51">
        <f>IF(OR(F109="",G109=""),"",G109-F109)</f>
        <v/>
      </c>
      <c r="K109" s="18" t="n"/>
      <c r="L109" s="18" t="n"/>
      <c r="M109" s="18" t="n"/>
    </row>
    <row r="110">
      <c r="A110" s="18" t="n"/>
      <c r="B110" s="18" t="n"/>
      <c r="C110" s="18" t="n"/>
      <c r="D110" s="18" t="n"/>
      <c r="E110" s="18" t="n"/>
      <c r="F110" s="51" t="n"/>
      <c r="G110" s="51" t="n"/>
      <c r="H110" s="51" t="n"/>
      <c r="I110" s="51" t="n"/>
      <c r="J110" s="51">
        <f>IF(OR(F110="",G110=""),"",G110-F110)</f>
        <v/>
      </c>
      <c r="K110" s="18" t="n"/>
      <c r="L110" s="18" t="n"/>
      <c r="M110" s="18" t="n"/>
    </row>
    <row r="111">
      <c r="A111" s="18" t="n"/>
      <c r="B111" s="18" t="n"/>
      <c r="C111" s="18" t="n"/>
      <c r="D111" s="18" t="n"/>
      <c r="E111" s="18" t="n"/>
      <c r="F111" s="51" t="n"/>
      <c r="G111" s="51" t="n"/>
      <c r="H111" s="51" t="n"/>
      <c r="I111" s="51" t="n"/>
      <c r="J111" s="51">
        <f>IF(OR(F111="",G111=""),"",G111-F111)</f>
        <v/>
      </c>
      <c r="K111" s="18" t="n"/>
      <c r="L111" s="18" t="n"/>
      <c r="M111" s="18" t="n"/>
    </row>
    <row r="112">
      <c r="A112" s="18" t="n"/>
      <c r="B112" s="18" t="n"/>
      <c r="C112" s="18" t="n"/>
      <c r="D112" s="18" t="n"/>
      <c r="E112" s="18" t="n"/>
      <c r="F112" s="51" t="n"/>
      <c r="G112" s="51" t="n"/>
      <c r="H112" s="51" t="n"/>
      <c r="I112" s="51" t="n"/>
      <c r="J112" s="51">
        <f>IF(OR(F112="",G112=""),"",G112-F112)</f>
        <v/>
      </c>
      <c r="K112" s="18" t="n"/>
      <c r="L112" s="18" t="n"/>
      <c r="M112" s="18" t="n"/>
    </row>
    <row r="113">
      <c r="A113" s="18" t="n"/>
      <c r="B113" s="18" t="n"/>
      <c r="C113" s="18" t="n"/>
      <c r="D113" s="18" t="n"/>
      <c r="E113" s="18" t="n"/>
      <c r="F113" s="51" t="n"/>
      <c r="G113" s="51" t="n"/>
      <c r="H113" s="51" t="n"/>
      <c r="I113" s="51" t="n"/>
      <c r="J113" s="51">
        <f>IF(OR(F113="",G113=""),"",G113-F113)</f>
        <v/>
      </c>
      <c r="K113" s="18" t="n"/>
      <c r="L113" s="18" t="n"/>
      <c r="M113" s="18" t="n"/>
    </row>
    <row r="114">
      <c r="A114" s="18" t="n"/>
      <c r="B114" s="18" t="n"/>
      <c r="C114" s="18" t="n"/>
      <c r="D114" s="18" t="n"/>
      <c r="E114" s="18" t="n"/>
      <c r="F114" s="51" t="n"/>
      <c r="G114" s="51" t="n"/>
      <c r="H114" s="51" t="n"/>
      <c r="I114" s="51" t="n"/>
      <c r="J114" s="51">
        <f>IF(OR(F114="",G114=""),"",G114-F114)</f>
        <v/>
      </c>
      <c r="K114" s="18" t="n"/>
      <c r="L114" s="18" t="n"/>
      <c r="M114" s="18" t="n"/>
    </row>
    <row r="115">
      <c r="A115" s="18" t="n"/>
      <c r="B115" s="18" t="n"/>
      <c r="C115" s="18" t="n"/>
      <c r="D115" s="18" t="n"/>
      <c r="E115" s="18" t="n"/>
      <c r="F115" s="51" t="n"/>
      <c r="G115" s="51" t="n"/>
      <c r="H115" s="51" t="n"/>
      <c r="I115" s="51" t="n"/>
      <c r="J115" s="51">
        <f>IF(OR(F115="",G115=""),"",G115-F115)</f>
        <v/>
      </c>
      <c r="K115" s="18" t="n"/>
      <c r="L115" s="18" t="n"/>
      <c r="M115" s="18" t="n"/>
    </row>
    <row r="116">
      <c r="A116" s="18" t="n"/>
      <c r="B116" s="18" t="n"/>
      <c r="C116" s="18" t="n"/>
      <c r="D116" s="18" t="n"/>
      <c r="E116" s="18" t="n"/>
      <c r="F116" s="51" t="n"/>
      <c r="G116" s="51" t="n"/>
      <c r="H116" s="51" t="n"/>
      <c r="I116" s="51" t="n"/>
      <c r="J116" s="51">
        <f>IF(OR(F116="",G116=""),"",G116-F116)</f>
        <v/>
      </c>
      <c r="K116" s="18" t="n"/>
      <c r="L116" s="18" t="n"/>
      <c r="M116" s="18" t="n"/>
    </row>
    <row r="117">
      <c r="A117" s="18" t="n"/>
      <c r="B117" s="18" t="n"/>
      <c r="C117" s="18" t="n"/>
      <c r="D117" s="18" t="n"/>
      <c r="E117" s="18" t="n"/>
      <c r="F117" s="51" t="n"/>
      <c r="G117" s="51" t="n"/>
      <c r="H117" s="51" t="n"/>
      <c r="I117" s="51" t="n"/>
      <c r="J117" s="51">
        <f>IF(OR(F117="",G117=""),"",G117-F117)</f>
        <v/>
      </c>
      <c r="K117" s="18" t="n"/>
      <c r="L117" s="18" t="n"/>
      <c r="M117" s="18" t="n"/>
    </row>
    <row r="118">
      <c r="A118" s="18" t="n"/>
      <c r="B118" s="18" t="n"/>
      <c r="C118" s="18" t="n"/>
      <c r="D118" s="18" t="n"/>
      <c r="E118" s="18" t="n"/>
      <c r="F118" s="51" t="n"/>
      <c r="G118" s="51" t="n"/>
      <c r="H118" s="51" t="n"/>
      <c r="I118" s="51" t="n"/>
      <c r="J118" s="51">
        <f>IF(OR(F118="",G118=""),"",G118-F118)</f>
        <v/>
      </c>
      <c r="K118" s="18" t="n"/>
      <c r="L118" s="18" t="n"/>
      <c r="M118" s="18" t="n"/>
    </row>
    <row r="119">
      <c r="A119" s="18" t="n"/>
      <c r="B119" s="18" t="n"/>
      <c r="C119" s="18" t="n"/>
      <c r="D119" s="18" t="n"/>
      <c r="E119" s="18" t="n"/>
      <c r="F119" s="51" t="n"/>
      <c r="G119" s="51" t="n"/>
      <c r="H119" s="51" t="n"/>
      <c r="I119" s="51" t="n"/>
      <c r="J119" s="51">
        <f>IF(OR(F119="",G119=""),"",G119-F119)</f>
        <v/>
      </c>
      <c r="K119" s="18" t="n"/>
      <c r="L119" s="18" t="n"/>
      <c r="M119" s="18" t="n"/>
    </row>
    <row r="120">
      <c r="A120" s="18" t="n"/>
      <c r="B120" s="18" t="n"/>
      <c r="C120" s="18" t="n"/>
      <c r="D120" s="18" t="n"/>
      <c r="E120" s="18" t="n"/>
      <c r="F120" s="51" t="n"/>
      <c r="G120" s="51" t="n"/>
      <c r="H120" s="51" t="n"/>
      <c r="I120" s="51" t="n"/>
      <c r="J120" s="51">
        <f>IF(OR(F120="",G120=""),"",G120-F120)</f>
        <v/>
      </c>
      <c r="K120" s="18" t="n"/>
      <c r="L120" s="18" t="n"/>
      <c r="M120" s="18" t="n"/>
    </row>
    <row r="121">
      <c r="A121" s="18" t="n"/>
      <c r="B121" s="18" t="n"/>
      <c r="C121" s="18" t="n"/>
      <c r="D121" s="18" t="n"/>
      <c r="E121" s="18" t="n"/>
      <c r="F121" s="51" t="n"/>
      <c r="G121" s="51" t="n"/>
      <c r="H121" s="51" t="n"/>
      <c r="I121" s="51" t="n"/>
      <c r="J121" s="51">
        <f>IF(OR(F121="",G121=""),"",G121-F121)</f>
        <v/>
      </c>
      <c r="K121" s="18" t="n"/>
      <c r="L121" s="18" t="n"/>
      <c r="M121" s="18" t="n"/>
    </row>
    <row r="122">
      <c r="A122" s="18" t="n"/>
      <c r="B122" s="18" t="n"/>
      <c r="C122" s="18" t="n"/>
      <c r="D122" s="18" t="n"/>
      <c r="E122" s="18" t="n"/>
      <c r="F122" s="51" t="n"/>
      <c r="G122" s="51" t="n"/>
      <c r="H122" s="51" t="n"/>
      <c r="I122" s="51" t="n"/>
      <c r="J122" s="51">
        <f>IF(OR(F122="",G122=""),"",G122-F122)</f>
        <v/>
      </c>
      <c r="K122" s="18" t="n"/>
      <c r="L122" s="18" t="n"/>
      <c r="M122" s="18" t="n"/>
    </row>
    <row r="123">
      <c r="A123" s="18" t="n"/>
      <c r="B123" s="18" t="n"/>
      <c r="C123" s="18" t="n"/>
      <c r="D123" s="18" t="n"/>
      <c r="E123" s="18" t="n"/>
      <c r="F123" s="51" t="n"/>
      <c r="G123" s="51" t="n"/>
      <c r="H123" s="51" t="n"/>
      <c r="I123" s="51" t="n"/>
      <c r="J123" s="51">
        <f>IF(OR(F123="",G123=""),"",G123-F123)</f>
        <v/>
      </c>
      <c r="K123" s="18" t="n"/>
      <c r="L123" s="18" t="n"/>
      <c r="M123" s="18" t="n"/>
    </row>
    <row r="124">
      <c r="A124" s="18" t="n"/>
      <c r="B124" s="18" t="n"/>
      <c r="C124" s="18" t="n"/>
      <c r="D124" s="18" t="n"/>
      <c r="E124" s="18" t="n"/>
      <c r="F124" s="51" t="n"/>
      <c r="G124" s="51" t="n"/>
      <c r="H124" s="51" t="n"/>
      <c r="I124" s="51" t="n"/>
      <c r="J124" s="51">
        <f>IF(OR(F124="",G124=""),"",G124-F124)</f>
        <v/>
      </c>
      <c r="K124" s="18" t="n"/>
      <c r="L124" s="18" t="n"/>
      <c r="M124" s="18" t="n"/>
    </row>
    <row r="125">
      <c r="A125" s="18" t="n"/>
      <c r="B125" s="18" t="n"/>
      <c r="C125" s="18" t="n"/>
      <c r="D125" s="18" t="n"/>
      <c r="E125" s="18" t="n"/>
      <c r="F125" s="51" t="n"/>
      <c r="G125" s="51" t="n"/>
      <c r="H125" s="51" t="n"/>
      <c r="I125" s="51" t="n"/>
      <c r="J125" s="51">
        <f>IF(OR(F125="",G125=""),"",G125-F125)</f>
        <v/>
      </c>
      <c r="K125" s="18" t="n"/>
      <c r="L125" s="18" t="n"/>
      <c r="M125" s="18" t="n"/>
    </row>
    <row r="126">
      <c r="A126" s="18" t="n"/>
      <c r="B126" s="18" t="n"/>
      <c r="C126" s="18" t="n"/>
      <c r="D126" s="18" t="n"/>
      <c r="E126" s="18" t="n"/>
      <c r="F126" s="51" t="n"/>
      <c r="G126" s="51" t="n"/>
      <c r="H126" s="51" t="n"/>
      <c r="I126" s="51" t="n"/>
      <c r="J126" s="51">
        <f>IF(OR(F126="",G126=""),"",G126-F126)</f>
        <v/>
      </c>
      <c r="K126" s="18" t="n"/>
      <c r="L126" s="18" t="n"/>
      <c r="M126" s="18" t="n"/>
    </row>
    <row r="127">
      <c r="A127" s="18" t="n"/>
      <c r="B127" s="18" t="n"/>
      <c r="C127" s="18" t="n"/>
      <c r="D127" s="18" t="n"/>
      <c r="E127" s="18" t="n"/>
      <c r="F127" s="51" t="n"/>
      <c r="G127" s="51" t="n"/>
      <c r="H127" s="51" t="n"/>
      <c r="I127" s="51" t="n"/>
      <c r="J127" s="51">
        <f>IF(OR(F127="",G127=""),"",G127-F127)</f>
        <v/>
      </c>
      <c r="K127" s="18" t="n"/>
      <c r="L127" s="18" t="n"/>
      <c r="M127" s="18" t="n"/>
    </row>
    <row r="128">
      <c r="A128" s="18" t="n"/>
      <c r="B128" s="18" t="n"/>
      <c r="C128" s="18" t="n"/>
      <c r="D128" s="18" t="n"/>
      <c r="E128" s="18" t="n"/>
      <c r="F128" s="51" t="n"/>
      <c r="G128" s="51" t="n"/>
      <c r="H128" s="51" t="n"/>
      <c r="I128" s="51" t="n"/>
      <c r="J128" s="51">
        <f>IF(OR(F128="",G128=""),"",G128-F128)</f>
        <v/>
      </c>
      <c r="K128" s="18" t="n"/>
      <c r="L128" s="18" t="n"/>
      <c r="M128" s="18" t="n"/>
    </row>
    <row r="129">
      <c r="A129" s="18" t="n"/>
      <c r="B129" s="18" t="n"/>
      <c r="C129" s="18" t="n"/>
      <c r="D129" s="18" t="n"/>
      <c r="E129" s="18" t="n"/>
      <c r="F129" s="51" t="n"/>
      <c r="G129" s="51" t="n"/>
      <c r="H129" s="51" t="n"/>
      <c r="I129" s="51" t="n"/>
      <c r="J129" s="51">
        <f>IF(OR(F129="",G129=""),"",G129-F129)</f>
        <v/>
      </c>
      <c r="K129" s="18" t="n"/>
      <c r="L129" s="18" t="n"/>
      <c r="M129" s="18" t="n"/>
    </row>
    <row r="130">
      <c r="A130" s="18" t="n"/>
      <c r="B130" s="18" t="n"/>
      <c r="C130" s="18" t="n"/>
      <c r="D130" s="18" t="n"/>
      <c r="E130" s="18" t="n"/>
      <c r="F130" s="51" t="n"/>
      <c r="G130" s="51" t="n"/>
      <c r="H130" s="51" t="n"/>
      <c r="I130" s="51" t="n"/>
      <c r="J130" s="51">
        <f>IF(OR(F130="",G130=""),"",G130-F130)</f>
        <v/>
      </c>
      <c r="K130" s="18" t="n"/>
      <c r="L130" s="18" t="n"/>
      <c r="M130" s="18" t="n"/>
    </row>
    <row r="131">
      <c r="A131" s="18" t="n"/>
      <c r="B131" s="18" t="n"/>
      <c r="C131" s="18" t="n"/>
      <c r="D131" s="18" t="n"/>
      <c r="E131" s="18" t="n"/>
      <c r="F131" s="51" t="n"/>
      <c r="G131" s="51" t="n"/>
      <c r="H131" s="51" t="n"/>
      <c r="I131" s="51" t="n"/>
      <c r="J131" s="51">
        <f>IF(OR(F131="",G131=""),"",G131-F131)</f>
        <v/>
      </c>
      <c r="K131" s="18" t="n"/>
      <c r="L131" s="18" t="n"/>
      <c r="M131" s="18" t="n"/>
    </row>
    <row r="132">
      <c r="A132" s="18" t="n"/>
      <c r="B132" s="18" t="n"/>
      <c r="C132" s="18" t="n"/>
      <c r="D132" s="18" t="n"/>
      <c r="E132" s="18" t="n"/>
      <c r="F132" s="51" t="n"/>
      <c r="G132" s="51" t="n"/>
      <c r="H132" s="51" t="n"/>
      <c r="I132" s="51" t="n"/>
      <c r="J132" s="51">
        <f>IF(OR(F132="",G132=""),"",G132-F132)</f>
        <v/>
      </c>
      <c r="K132" s="18" t="n"/>
      <c r="L132" s="18" t="n"/>
      <c r="M132" s="18" t="n"/>
    </row>
    <row r="133">
      <c r="A133" s="18" t="n"/>
      <c r="B133" s="18" t="n"/>
      <c r="C133" s="18" t="n"/>
      <c r="D133" s="18" t="n"/>
      <c r="E133" s="18" t="n"/>
      <c r="F133" s="51" t="n"/>
      <c r="G133" s="51" t="n"/>
      <c r="H133" s="51" t="n"/>
      <c r="I133" s="51" t="n"/>
      <c r="J133" s="51">
        <f>IF(OR(F133="",G133=""),"",G133-F133)</f>
        <v/>
      </c>
      <c r="K133" s="18" t="n"/>
      <c r="L133" s="18" t="n"/>
      <c r="M133" s="18" t="n"/>
    </row>
    <row r="134">
      <c r="A134" s="18" t="n"/>
      <c r="B134" s="18" t="n"/>
      <c r="C134" s="18" t="n"/>
      <c r="D134" s="18" t="n"/>
      <c r="E134" s="18" t="n"/>
      <c r="F134" s="51" t="n"/>
      <c r="G134" s="51" t="n"/>
      <c r="H134" s="51" t="n"/>
      <c r="I134" s="51" t="n"/>
      <c r="J134" s="51">
        <f>IF(OR(F134="",G134=""),"",G134-F134)</f>
        <v/>
      </c>
      <c r="K134" s="18" t="n"/>
      <c r="L134" s="18" t="n"/>
      <c r="M134" s="18" t="n"/>
    </row>
    <row r="135">
      <c r="A135" s="18" t="n"/>
      <c r="B135" s="18" t="n"/>
      <c r="C135" s="18" t="n"/>
      <c r="D135" s="18" t="n"/>
      <c r="E135" s="18" t="n"/>
      <c r="F135" s="51" t="n"/>
      <c r="G135" s="51" t="n"/>
      <c r="H135" s="51" t="n"/>
      <c r="I135" s="51" t="n"/>
      <c r="J135" s="51">
        <f>IF(OR(F135="",G135=""),"",G135-F135)</f>
        <v/>
      </c>
      <c r="K135" s="18" t="n"/>
      <c r="L135" s="18" t="n"/>
      <c r="M135" s="18" t="n"/>
    </row>
    <row r="136">
      <c r="A136" s="18" t="n"/>
      <c r="B136" s="18" t="n"/>
      <c r="C136" s="18" t="n"/>
      <c r="D136" s="18" t="n"/>
      <c r="E136" s="18" t="n"/>
      <c r="F136" s="51" t="n"/>
      <c r="G136" s="51" t="n"/>
      <c r="H136" s="51" t="n"/>
      <c r="I136" s="51" t="n"/>
      <c r="J136" s="51">
        <f>IF(OR(F136="",G136=""),"",G136-F136)</f>
        <v/>
      </c>
      <c r="K136" s="18" t="n"/>
      <c r="L136" s="18" t="n"/>
      <c r="M136" s="18" t="n"/>
    </row>
    <row r="137">
      <c r="A137" s="18" t="n"/>
      <c r="B137" s="18" t="n"/>
      <c r="C137" s="18" t="n"/>
      <c r="D137" s="18" t="n"/>
      <c r="E137" s="18" t="n"/>
      <c r="F137" s="51" t="n"/>
      <c r="G137" s="51" t="n"/>
      <c r="H137" s="51" t="n"/>
      <c r="I137" s="51" t="n"/>
      <c r="J137" s="51">
        <f>IF(OR(F137="",G137=""),"",G137-F137)</f>
        <v/>
      </c>
      <c r="K137" s="18" t="n"/>
      <c r="L137" s="18" t="n"/>
      <c r="M137" s="18" t="n"/>
    </row>
    <row r="138">
      <c r="A138" s="18" t="n"/>
      <c r="B138" s="18" t="n"/>
      <c r="C138" s="18" t="n"/>
      <c r="D138" s="18" t="n"/>
      <c r="E138" s="18" t="n"/>
      <c r="F138" s="51" t="n"/>
      <c r="G138" s="51" t="n"/>
      <c r="H138" s="51" t="n"/>
      <c r="I138" s="51" t="n"/>
      <c r="J138" s="51">
        <f>IF(OR(F138="",G138=""),"",G138-F138)</f>
        <v/>
      </c>
      <c r="K138" s="18" t="n"/>
      <c r="L138" s="18" t="n"/>
      <c r="M138" s="18" t="n"/>
    </row>
    <row r="139">
      <c r="A139" s="18" t="n"/>
      <c r="B139" s="18" t="n"/>
      <c r="C139" s="18" t="n"/>
      <c r="D139" s="18" t="n"/>
      <c r="E139" s="18" t="n"/>
      <c r="F139" s="51" t="n"/>
      <c r="G139" s="51" t="n"/>
      <c r="H139" s="51" t="n"/>
      <c r="I139" s="51" t="n"/>
      <c r="J139" s="51">
        <f>IF(OR(F139="",G139=""),"",G139-F139)</f>
        <v/>
      </c>
      <c r="K139" s="18" t="n"/>
      <c r="L139" s="18" t="n"/>
      <c r="M139" s="18" t="n"/>
    </row>
    <row r="140">
      <c r="A140" s="18" t="n"/>
      <c r="B140" s="18" t="n"/>
      <c r="C140" s="18" t="n"/>
      <c r="D140" s="18" t="n"/>
      <c r="E140" s="18" t="n"/>
      <c r="F140" s="51" t="n"/>
      <c r="G140" s="51" t="n"/>
      <c r="H140" s="51" t="n"/>
      <c r="I140" s="51" t="n"/>
      <c r="J140" s="51">
        <f>IF(OR(F140="",G140=""),"",G140-F140)</f>
        <v/>
      </c>
      <c r="K140" s="18" t="n"/>
      <c r="L140" s="18" t="n"/>
      <c r="M140" s="18" t="n"/>
    </row>
    <row r="141">
      <c r="A141" s="18" t="n"/>
      <c r="B141" s="18" t="n"/>
      <c r="C141" s="18" t="n"/>
      <c r="D141" s="18" t="n"/>
      <c r="E141" s="18" t="n"/>
      <c r="F141" s="51" t="n"/>
      <c r="G141" s="51" t="n"/>
      <c r="H141" s="51" t="n"/>
      <c r="I141" s="51" t="n"/>
      <c r="J141" s="51">
        <f>IF(OR(F141="",G141=""),"",G141-F141)</f>
        <v/>
      </c>
      <c r="K141" s="18" t="n"/>
      <c r="L141" s="18" t="n"/>
      <c r="M141" s="18" t="n"/>
    </row>
    <row r="142">
      <c r="A142" s="18" t="n"/>
      <c r="B142" s="18" t="n"/>
      <c r="C142" s="18" t="n"/>
      <c r="D142" s="18" t="n"/>
      <c r="E142" s="18" t="n"/>
      <c r="F142" s="51" t="n"/>
      <c r="G142" s="51" t="n"/>
      <c r="H142" s="51" t="n"/>
      <c r="I142" s="51" t="n"/>
      <c r="J142" s="51">
        <f>IF(OR(F142="",G142=""),"",G142-F142)</f>
        <v/>
      </c>
      <c r="K142" s="18" t="n"/>
      <c r="L142" s="18" t="n"/>
      <c r="M142" s="18" t="n"/>
    </row>
    <row r="143">
      <c r="A143" s="18" t="n"/>
      <c r="B143" s="18" t="n"/>
      <c r="C143" s="18" t="n"/>
      <c r="D143" s="18" t="n"/>
      <c r="E143" s="18" t="n"/>
      <c r="F143" s="51" t="n"/>
      <c r="G143" s="51" t="n"/>
      <c r="H143" s="51" t="n"/>
      <c r="I143" s="51" t="n"/>
      <c r="J143" s="51">
        <f>IF(OR(F143="",G143=""),"",G143-F143)</f>
        <v/>
      </c>
      <c r="K143" s="18" t="n"/>
      <c r="L143" s="18" t="n"/>
      <c r="M143" s="18" t="n"/>
    </row>
    <row r="144">
      <c r="A144" s="18" t="n"/>
      <c r="B144" s="18" t="n"/>
      <c r="C144" s="18" t="n"/>
      <c r="D144" s="18" t="n"/>
      <c r="E144" s="18" t="n"/>
      <c r="F144" s="51" t="n"/>
      <c r="G144" s="51" t="n"/>
      <c r="H144" s="51" t="n"/>
      <c r="I144" s="51" t="n"/>
      <c r="J144" s="51">
        <f>IF(OR(F144="",G144=""),"",G144-F144)</f>
        <v/>
      </c>
      <c r="K144" s="18" t="n"/>
      <c r="L144" s="18" t="n"/>
      <c r="M144" s="18" t="n"/>
    </row>
    <row r="145">
      <c r="A145" s="18" t="n"/>
      <c r="B145" s="18" t="n"/>
      <c r="C145" s="18" t="n"/>
      <c r="D145" s="18" t="n"/>
      <c r="E145" s="18" t="n"/>
      <c r="F145" s="51" t="n"/>
      <c r="G145" s="51" t="n"/>
      <c r="H145" s="51" t="n"/>
      <c r="I145" s="51" t="n"/>
      <c r="J145" s="51">
        <f>IF(OR(F145="",G145=""),"",G145-F145)</f>
        <v/>
      </c>
      <c r="K145" s="18" t="n"/>
      <c r="L145" s="18" t="n"/>
      <c r="M145" s="18" t="n"/>
    </row>
    <row r="146">
      <c r="A146" s="18" t="n"/>
      <c r="B146" s="18" t="n"/>
      <c r="C146" s="18" t="n"/>
      <c r="D146" s="18" t="n"/>
      <c r="E146" s="18" t="n"/>
      <c r="F146" s="51" t="n"/>
      <c r="G146" s="51" t="n"/>
      <c r="H146" s="51" t="n"/>
      <c r="I146" s="51" t="n"/>
      <c r="J146" s="51">
        <f>IF(OR(F146="",G146=""),"",G146-F146)</f>
        <v/>
      </c>
      <c r="K146" s="18" t="n"/>
      <c r="L146" s="18" t="n"/>
      <c r="M146" s="18" t="n"/>
    </row>
    <row r="147">
      <c r="A147" s="18" t="n"/>
      <c r="B147" s="18" t="n"/>
      <c r="C147" s="18" t="n"/>
      <c r="D147" s="18" t="n"/>
      <c r="E147" s="18" t="n"/>
      <c r="F147" s="51" t="n"/>
      <c r="G147" s="51" t="n"/>
      <c r="H147" s="51" t="n"/>
      <c r="I147" s="51" t="n"/>
      <c r="J147" s="51">
        <f>IF(OR(F147="",G147=""),"",G147-F147)</f>
        <v/>
      </c>
      <c r="K147" s="18" t="n"/>
      <c r="L147" s="18" t="n"/>
      <c r="M147" s="18" t="n"/>
    </row>
    <row r="148">
      <c r="A148" s="18" t="n"/>
      <c r="B148" s="18" t="n"/>
      <c r="C148" s="18" t="n"/>
      <c r="D148" s="18" t="n"/>
      <c r="E148" s="18" t="n"/>
      <c r="F148" s="51" t="n"/>
      <c r="G148" s="51" t="n"/>
      <c r="H148" s="51" t="n"/>
      <c r="I148" s="51" t="n"/>
      <c r="J148" s="51">
        <f>IF(OR(F148="",G148=""),"",G148-F148)</f>
        <v/>
      </c>
      <c r="K148" s="18" t="n"/>
      <c r="L148" s="18" t="n"/>
      <c r="M148" s="18" t="n"/>
    </row>
    <row r="149">
      <c r="A149" s="18" t="n"/>
      <c r="B149" s="18" t="n"/>
      <c r="C149" s="18" t="n"/>
      <c r="D149" s="18" t="n"/>
      <c r="E149" s="18" t="n"/>
      <c r="F149" s="51" t="n"/>
      <c r="G149" s="51" t="n"/>
      <c r="H149" s="51" t="n"/>
      <c r="I149" s="51" t="n"/>
      <c r="J149" s="51">
        <f>IF(OR(F149="",G149=""),"",G149-F149)</f>
        <v/>
      </c>
      <c r="K149" s="18" t="n"/>
      <c r="L149" s="18" t="n"/>
      <c r="M149" s="18" t="n"/>
    </row>
    <row r="150">
      <c r="A150" s="18" t="n"/>
      <c r="B150" s="18" t="n"/>
      <c r="C150" s="18" t="n"/>
      <c r="D150" s="18" t="n"/>
      <c r="E150" s="18" t="n"/>
      <c r="F150" s="51" t="n"/>
      <c r="G150" s="51" t="n"/>
      <c r="H150" s="51" t="n"/>
      <c r="I150" s="51" t="n"/>
      <c r="J150" s="51">
        <f>IF(OR(F150="",G150=""),"",G150-F150)</f>
        <v/>
      </c>
      <c r="K150" s="18" t="n"/>
      <c r="L150" s="18" t="n"/>
      <c r="M150" s="18" t="n"/>
    </row>
    <row r="151">
      <c r="A151" s="18" t="n"/>
      <c r="B151" s="18" t="n"/>
      <c r="C151" s="18" t="n"/>
      <c r="D151" s="18" t="n"/>
      <c r="E151" s="18" t="n"/>
      <c r="F151" s="51" t="n"/>
      <c r="G151" s="51" t="n"/>
      <c r="H151" s="51" t="n"/>
      <c r="I151" s="51" t="n"/>
      <c r="J151" s="51">
        <f>IF(OR(F151="",G151=""),"",G151-F151)</f>
        <v/>
      </c>
      <c r="K151" s="18" t="n"/>
      <c r="L151" s="18" t="n"/>
      <c r="M151" s="18" t="n"/>
    </row>
    <row r="152">
      <c r="A152" s="18" t="n"/>
      <c r="B152" s="18" t="n"/>
      <c r="C152" s="18" t="n"/>
      <c r="D152" s="18" t="n"/>
      <c r="E152" s="18" t="n"/>
      <c r="F152" s="51" t="n"/>
      <c r="G152" s="51" t="n"/>
      <c r="H152" s="51" t="n"/>
      <c r="I152" s="51" t="n"/>
      <c r="J152" s="51">
        <f>IF(OR(F152="",G152=""),"",G152-F152)</f>
        <v/>
      </c>
      <c r="K152" s="18" t="n"/>
      <c r="L152" s="18" t="n"/>
      <c r="M152" s="18" t="n"/>
    </row>
    <row r="153">
      <c r="A153" s="18" t="n"/>
      <c r="B153" s="18" t="n"/>
      <c r="C153" s="18" t="n"/>
      <c r="D153" s="18" t="n"/>
      <c r="E153" s="18" t="n"/>
      <c r="F153" s="51" t="n"/>
      <c r="G153" s="51" t="n"/>
      <c r="H153" s="51" t="n"/>
      <c r="I153" s="51" t="n"/>
      <c r="J153" s="51">
        <f>IF(OR(F153="",G153=""),"",G153-F153)</f>
        <v/>
      </c>
      <c r="K153" s="18" t="n"/>
      <c r="L153" s="18" t="n"/>
      <c r="M153" s="18" t="n"/>
    </row>
    <row r="154">
      <c r="A154" s="18" t="n"/>
      <c r="B154" s="18" t="n"/>
      <c r="C154" s="18" t="n"/>
      <c r="D154" s="18" t="n"/>
      <c r="E154" s="18" t="n"/>
      <c r="F154" s="51" t="n"/>
      <c r="G154" s="51" t="n"/>
      <c r="H154" s="51" t="n"/>
      <c r="I154" s="51" t="n"/>
      <c r="J154" s="51">
        <f>IF(OR(F154="",G154=""),"",G154-F154)</f>
        <v/>
      </c>
      <c r="K154" s="18" t="n"/>
      <c r="L154" s="18" t="n"/>
      <c r="M154" s="18" t="n"/>
    </row>
    <row r="155">
      <c r="A155" s="18" t="n"/>
      <c r="B155" s="18" t="n"/>
      <c r="C155" s="18" t="n"/>
      <c r="D155" s="18" t="n"/>
      <c r="E155" s="18" t="n"/>
      <c r="F155" s="51" t="n"/>
      <c r="G155" s="51" t="n"/>
      <c r="H155" s="51" t="n"/>
      <c r="I155" s="51" t="n"/>
      <c r="J155" s="51">
        <f>IF(OR(F155="",G155=""),"",G155-F155)</f>
        <v/>
      </c>
      <c r="K155" s="18" t="n"/>
      <c r="L155" s="18" t="n"/>
      <c r="M155" s="18" t="n"/>
    </row>
    <row r="156">
      <c r="A156" s="18" t="n"/>
      <c r="B156" s="18" t="n"/>
      <c r="C156" s="18" t="n"/>
      <c r="D156" s="18" t="n"/>
      <c r="E156" s="18" t="n"/>
      <c r="F156" s="51" t="n"/>
      <c r="G156" s="51" t="n"/>
      <c r="H156" s="51" t="n"/>
      <c r="I156" s="51" t="n"/>
      <c r="J156" s="51">
        <f>IF(OR(F156="",G156=""),"",G156-F156)</f>
        <v/>
      </c>
      <c r="K156" s="18" t="n"/>
      <c r="L156" s="18" t="n"/>
      <c r="M156" s="18" t="n"/>
    </row>
    <row r="157">
      <c r="A157" s="18" t="n"/>
      <c r="B157" s="18" t="n"/>
      <c r="C157" s="18" t="n"/>
      <c r="D157" s="18" t="n"/>
      <c r="E157" s="18" t="n"/>
      <c r="F157" s="51" t="n"/>
      <c r="G157" s="51" t="n"/>
      <c r="H157" s="51" t="n"/>
      <c r="I157" s="51" t="n"/>
      <c r="J157" s="51">
        <f>IF(OR(F157="",G157=""),"",G157-F157)</f>
        <v/>
      </c>
      <c r="K157" s="18" t="n"/>
      <c r="L157" s="18" t="n"/>
      <c r="M157" s="18" t="n"/>
    </row>
    <row r="158">
      <c r="A158" s="18" t="n"/>
      <c r="B158" s="18" t="n"/>
      <c r="C158" s="18" t="n"/>
      <c r="D158" s="18" t="n"/>
      <c r="E158" s="18" t="n"/>
      <c r="F158" s="51" t="n"/>
      <c r="G158" s="51" t="n"/>
      <c r="H158" s="51" t="n"/>
      <c r="I158" s="51" t="n"/>
      <c r="J158" s="51">
        <f>IF(OR(F158="",G158=""),"",G158-F158)</f>
        <v/>
      </c>
      <c r="K158" s="18" t="n"/>
      <c r="L158" s="18" t="n"/>
      <c r="M158" s="18" t="n"/>
    </row>
    <row r="159">
      <c r="A159" s="18" t="n"/>
      <c r="B159" s="18" t="n"/>
      <c r="C159" s="18" t="n"/>
      <c r="D159" s="18" t="n"/>
      <c r="E159" s="18" t="n"/>
      <c r="F159" s="51" t="n"/>
      <c r="G159" s="51" t="n"/>
      <c r="H159" s="51" t="n"/>
      <c r="I159" s="51" t="n"/>
      <c r="J159" s="51">
        <f>IF(OR(F159="",G159=""),"",G159-F159)</f>
        <v/>
      </c>
      <c r="K159" s="18" t="n"/>
      <c r="L159" s="18" t="n"/>
      <c r="M159" s="18" t="n"/>
    </row>
    <row r="160">
      <c r="A160" s="18" t="n"/>
      <c r="B160" s="18" t="n"/>
      <c r="C160" s="18" t="n"/>
      <c r="D160" s="18" t="n"/>
      <c r="E160" s="18" t="n"/>
      <c r="F160" s="51" t="n"/>
      <c r="G160" s="51" t="n"/>
      <c r="H160" s="51" t="n"/>
      <c r="I160" s="51" t="n"/>
      <c r="J160" s="51">
        <f>IF(OR(F160="",G160=""),"",G160-F160)</f>
        <v/>
      </c>
      <c r="K160" s="18" t="n"/>
      <c r="L160" s="18" t="n"/>
      <c r="M160" s="18" t="n"/>
    </row>
    <row r="161">
      <c r="A161" s="18" t="n"/>
      <c r="B161" s="18" t="n"/>
      <c r="C161" s="18" t="n"/>
      <c r="D161" s="18" t="n"/>
      <c r="E161" s="18" t="n"/>
      <c r="F161" s="51" t="n"/>
      <c r="G161" s="51" t="n"/>
      <c r="H161" s="51" t="n"/>
      <c r="I161" s="51" t="n"/>
      <c r="J161" s="51">
        <f>IF(OR(F161="",G161=""),"",G161-F161)</f>
        <v/>
      </c>
      <c r="K161" s="18" t="n"/>
      <c r="L161" s="18" t="n"/>
      <c r="M161" s="18" t="n"/>
    </row>
    <row r="162">
      <c r="A162" s="18" t="n"/>
      <c r="B162" s="18" t="n"/>
      <c r="C162" s="18" t="n"/>
      <c r="D162" s="18" t="n"/>
      <c r="E162" s="18" t="n"/>
      <c r="F162" s="51" t="n"/>
      <c r="G162" s="51" t="n"/>
      <c r="H162" s="51" t="n"/>
      <c r="I162" s="51" t="n"/>
      <c r="J162" s="51">
        <f>IF(OR(F162="",G162=""),"",G162-F162)</f>
        <v/>
      </c>
      <c r="K162" s="18" t="n"/>
      <c r="L162" s="18" t="n"/>
      <c r="M162" s="18" t="n"/>
    </row>
    <row r="163">
      <c r="A163" s="18" t="n"/>
      <c r="B163" s="18" t="n"/>
      <c r="C163" s="18" t="n"/>
      <c r="D163" s="18" t="n"/>
      <c r="E163" s="18" t="n"/>
      <c r="F163" s="51" t="n"/>
      <c r="G163" s="51" t="n"/>
      <c r="H163" s="51" t="n"/>
      <c r="I163" s="51" t="n"/>
      <c r="J163" s="51">
        <f>IF(OR(F163="",G163=""),"",G163-F163)</f>
        <v/>
      </c>
      <c r="K163" s="18" t="n"/>
      <c r="L163" s="18" t="n"/>
      <c r="M163" s="18" t="n"/>
    </row>
    <row r="164">
      <c r="A164" s="18" t="n"/>
      <c r="B164" s="18" t="n"/>
      <c r="C164" s="18" t="n"/>
      <c r="D164" s="18" t="n"/>
      <c r="E164" s="18" t="n"/>
      <c r="F164" s="51" t="n"/>
      <c r="G164" s="51" t="n"/>
      <c r="H164" s="51" t="n"/>
      <c r="I164" s="51" t="n"/>
      <c r="J164" s="51">
        <f>IF(OR(F164="",G164=""),"",G164-F164)</f>
        <v/>
      </c>
      <c r="K164" s="18" t="n"/>
      <c r="L164" s="18" t="n"/>
      <c r="M164" s="18" t="n"/>
    </row>
    <row r="165">
      <c r="A165" s="18" t="n"/>
      <c r="B165" s="18" t="n"/>
      <c r="C165" s="18" t="n"/>
      <c r="D165" s="18" t="n"/>
      <c r="E165" s="18" t="n"/>
      <c r="F165" s="51" t="n"/>
      <c r="G165" s="51" t="n"/>
      <c r="H165" s="51" t="n"/>
      <c r="I165" s="51" t="n"/>
      <c r="J165" s="51">
        <f>IF(OR(F165="",G165=""),"",G165-F165)</f>
        <v/>
      </c>
      <c r="K165" s="18" t="n"/>
      <c r="L165" s="18" t="n"/>
      <c r="M165" s="18" t="n"/>
    </row>
    <row r="166">
      <c r="A166" s="18" t="n"/>
      <c r="B166" s="18" t="n"/>
      <c r="C166" s="18" t="n"/>
      <c r="D166" s="18" t="n"/>
      <c r="E166" s="18" t="n"/>
      <c r="F166" s="51" t="n"/>
      <c r="G166" s="51" t="n"/>
      <c r="H166" s="51" t="n"/>
      <c r="I166" s="51" t="n"/>
      <c r="J166" s="51">
        <f>IF(OR(F166="",G166=""),"",G166-F166)</f>
        <v/>
      </c>
      <c r="K166" s="18" t="n"/>
      <c r="L166" s="18" t="n"/>
      <c r="M166" s="18" t="n"/>
    </row>
    <row r="167">
      <c r="A167" s="18" t="n"/>
      <c r="B167" s="18" t="n"/>
      <c r="C167" s="18" t="n"/>
      <c r="D167" s="18" t="n"/>
      <c r="E167" s="18" t="n"/>
      <c r="F167" s="51" t="n"/>
      <c r="G167" s="51" t="n"/>
      <c r="H167" s="51" t="n"/>
      <c r="I167" s="51" t="n"/>
      <c r="J167" s="51">
        <f>IF(OR(F167="",G167=""),"",G167-F167)</f>
        <v/>
      </c>
      <c r="K167" s="18" t="n"/>
      <c r="L167" s="18" t="n"/>
      <c r="M167" s="18" t="n"/>
    </row>
    <row r="168">
      <c r="A168" s="18" t="n"/>
      <c r="B168" s="18" t="n"/>
      <c r="C168" s="18" t="n"/>
      <c r="D168" s="18" t="n"/>
      <c r="E168" s="18" t="n"/>
      <c r="F168" s="51" t="n"/>
      <c r="G168" s="51" t="n"/>
      <c r="H168" s="51" t="n"/>
      <c r="I168" s="51" t="n"/>
      <c r="J168" s="51">
        <f>IF(OR(F168="",G168=""),"",G168-F168)</f>
        <v/>
      </c>
      <c r="K168" s="18" t="n"/>
      <c r="L168" s="18" t="n"/>
      <c r="M168" s="18" t="n"/>
    </row>
    <row r="169">
      <c r="A169" s="18" t="n"/>
      <c r="B169" s="18" t="n"/>
      <c r="C169" s="18" t="n"/>
      <c r="D169" s="18" t="n"/>
      <c r="E169" s="18" t="n"/>
      <c r="F169" s="51" t="n"/>
      <c r="G169" s="51" t="n"/>
      <c r="H169" s="51" t="n"/>
      <c r="I169" s="51" t="n"/>
      <c r="J169" s="51">
        <f>IF(OR(F169="",G169=""),"",G169-F169)</f>
        <v/>
      </c>
      <c r="K169" s="18" t="n"/>
      <c r="L169" s="18" t="n"/>
      <c r="M169" s="18" t="n"/>
    </row>
    <row r="170">
      <c r="A170" s="18" t="n"/>
      <c r="B170" s="18" t="n"/>
      <c r="C170" s="18" t="n"/>
      <c r="D170" s="18" t="n"/>
      <c r="E170" s="18" t="n"/>
      <c r="F170" s="51" t="n"/>
      <c r="G170" s="51" t="n"/>
      <c r="H170" s="51" t="n"/>
      <c r="I170" s="51" t="n"/>
      <c r="J170" s="51">
        <f>IF(OR(F170="",G170=""),"",G170-F170)</f>
        <v/>
      </c>
      <c r="K170" s="18" t="n"/>
      <c r="L170" s="18" t="n"/>
      <c r="M170" s="18" t="n"/>
    </row>
    <row r="171">
      <c r="A171" s="18" t="n"/>
      <c r="B171" s="18" t="n"/>
      <c r="C171" s="18" t="n"/>
      <c r="D171" s="18" t="n"/>
      <c r="E171" s="18" t="n"/>
      <c r="F171" s="51" t="n"/>
      <c r="G171" s="51" t="n"/>
      <c r="H171" s="51" t="n"/>
      <c r="I171" s="51" t="n"/>
      <c r="J171" s="51">
        <f>IF(OR(F171="",G171=""),"",G171-F171)</f>
        <v/>
      </c>
      <c r="K171" s="18" t="n"/>
      <c r="L171" s="18" t="n"/>
      <c r="M171" s="18" t="n"/>
    </row>
    <row r="172">
      <c r="A172" s="18" t="n"/>
      <c r="B172" s="18" t="n"/>
      <c r="C172" s="18" t="n"/>
      <c r="D172" s="18" t="n"/>
      <c r="E172" s="18" t="n"/>
      <c r="F172" s="51" t="n"/>
      <c r="G172" s="51" t="n"/>
      <c r="H172" s="51" t="n"/>
      <c r="I172" s="51" t="n"/>
      <c r="J172" s="51">
        <f>IF(OR(F172="",G172=""),"",G172-F172)</f>
        <v/>
      </c>
      <c r="K172" s="18" t="n"/>
      <c r="L172" s="18" t="n"/>
      <c r="M172" s="18" t="n"/>
    </row>
    <row r="173">
      <c r="A173" s="18" t="n"/>
      <c r="B173" s="18" t="n"/>
      <c r="C173" s="18" t="n"/>
      <c r="D173" s="18" t="n"/>
      <c r="E173" s="18" t="n"/>
      <c r="F173" s="51" t="n"/>
      <c r="G173" s="51" t="n"/>
      <c r="H173" s="51" t="n"/>
      <c r="I173" s="51" t="n"/>
      <c r="J173" s="51">
        <f>IF(OR(F173="",G173=""),"",G173-F173)</f>
        <v/>
      </c>
      <c r="K173" s="18" t="n"/>
      <c r="L173" s="18" t="n"/>
      <c r="M173" s="18" t="n"/>
    </row>
    <row r="174">
      <c r="A174" s="18" t="n"/>
      <c r="B174" s="18" t="n"/>
      <c r="C174" s="18" t="n"/>
      <c r="D174" s="18" t="n"/>
      <c r="E174" s="18" t="n"/>
      <c r="F174" s="51" t="n"/>
      <c r="G174" s="51" t="n"/>
      <c r="H174" s="51" t="n"/>
      <c r="I174" s="51" t="n"/>
      <c r="J174" s="51">
        <f>IF(OR(F174="",G174=""),"",G174-F174)</f>
        <v/>
      </c>
      <c r="K174" s="18" t="n"/>
      <c r="L174" s="18" t="n"/>
      <c r="M174" s="18" t="n"/>
    </row>
    <row r="175">
      <c r="A175" s="18" t="n"/>
      <c r="B175" s="18" t="n"/>
      <c r="C175" s="18" t="n"/>
      <c r="D175" s="18" t="n"/>
      <c r="E175" s="18" t="n"/>
      <c r="F175" s="51" t="n"/>
      <c r="G175" s="51" t="n"/>
      <c r="H175" s="51" t="n"/>
      <c r="I175" s="51" t="n"/>
      <c r="J175" s="51">
        <f>IF(OR(F175="",G175=""),"",G175-F175)</f>
        <v/>
      </c>
      <c r="K175" s="18" t="n"/>
      <c r="L175" s="18" t="n"/>
      <c r="M175" s="18" t="n"/>
    </row>
    <row r="176">
      <c r="A176" s="18" t="n"/>
      <c r="B176" s="18" t="n"/>
      <c r="C176" s="18" t="n"/>
      <c r="D176" s="18" t="n"/>
      <c r="E176" s="18" t="n"/>
      <c r="F176" s="51" t="n"/>
      <c r="G176" s="51" t="n"/>
      <c r="H176" s="51" t="n"/>
      <c r="I176" s="51" t="n"/>
      <c r="J176" s="51">
        <f>IF(OR(F176="",G176=""),"",G176-F176)</f>
        <v/>
      </c>
      <c r="K176" s="18" t="n"/>
      <c r="L176" s="18" t="n"/>
      <c r="M176" s="18" t="n"/>
    </row>
    <row r="177">
      <c r="A177" s="18" t="n"/>
      <c r="B177" s="18" t="n"/>
      <c r="C177" s="18" t="n"/>
      <c r="D177" s="18" t="n"/>
      <c r="E177" s="18" t="n"/>
      <c r="F177" s="51" t="n"/>
      <c r="G177" s="51" t="n"/>
      <c r="H177" s="51" t="n"/>
      <c r="I177" s="51" t="n"/>
      <c r="J177" s="51">
        <f>IF(OR(F177="",G177=""),"",G177-F177)</f>
        <v/>
      </c>
      <c r="K177" s="18" t="n"/>
      <c r="L177" s="18" t="n"/>
      <c r="M177" s="18" t="n"/>
    </row>
    <row r="178">
      <c r="A178" s="18" t="n"/>
      <c r="B178" s="18" t="n"/>
      <c r="C178" s="18" t="n"/>
      <c r="D178" s="18" t="n"/>
      <c r="E178" s="18" t="n"/>
      <c r="F178" s="51" t="n"/>
      <c r="G178" s="51" t="n"/>
      <c r="H178" s="51" t="n"/>
      <c r="I178" s="51" t="n"/>
      <c r="J178" s="51">
        <f>IF(OR(F178="",G178=""),"",G178-F178)</f>
        <v/>
      </c>
      <c r="K178" s="18" t="n"/>
      <c r="L178" s="18" t="n"/>
      <c r="M178" s="18" t="n"/>
    </row>
    <row r="179">
      <c r="A179" s="18" t="n"/>
      <c r="B179" s="18" t="n"/>
      <c r="C179" s="18" t="n"/>
      <c r="D179" s="18" t="n"/>
      <c r="E179" s="18" t="n"/>
      <c r="F179" s="51" t="n"/>
      <c r="G179" s="51" t="n"/>
      <c r="H179" s="51" t="n"/>
      <c r="I179" s="51" t="n"/>
      <c r="J179" s="51">
        <f>IF(OR(F179="",G179=""),"",G179-F179)</f>
        <v/>
      </c>
      <c r="K179" s="18" t="n"/>
      <c r="L179" s="18" t="n"/>
      <c r="M179" s="18" t="n"/>
    </row>
    <row r="180">
      <c r="A180" s="18" t="n"/>
      <c r="B180" s="18" t="n"/>
      <c r="C180" s="18" t="n"/>
      <c r="D180" s="18" t="n"/>
      <c r="E180" s="18" t="n"/>
      <c r="F180" s="51" t="n"/>
      <c r="G180" s="51" t="n"/>
      <c r="H180" s="51" t="n"/>
      <c r="I180" s="51" t="n"/>
      <c r="J180" s="51">
        <f>IF(OR(F180="",G180=""),"",G180-F180)</f>
        <v/>
      </c>
      <c r="K180" s="18" t="n"/>
      <c r="L180" s="18" t="n"/>
      <c r="M180" s="18" t="n"/>
    </row>
    <row r="181">
      <c r="A181" s="18" t="n"/>
      <c r="B181" s="18" t="n"/>
      <c r="C181" s="18" t="n"/>
      <c r="D181" s="18" t="n"/>
      <c r="E181" s="18" t="n"/>
      <c r="F181" s="51" t="n"/>
      <c r="G181" s="51" t="n"/>
      <c r="H181" s="51" t="n"/>
      <c r="I181" s="51" t="n"/>
      <c r="J181" s="51">
        <f>IF(OR(F181="",G181=""),"",G181-F181)</f>
        <v/>
      </c>
      <c r="K181" s="18" t="n"/>
      <c r="L181" s="18" t="n"/>
      <c r="M181" s="18" t="n"/>
    </row>
    <row r="182">
      <c r="A182" s="18" t="n"/>
      <c r="B182" s="18" t="n"/>
      <c r="C182" s="18" t="n"/>
      <c r="D182" s="18" t="n"/>
      <c r="E182" s="18" t="n"/>
      <c r="F182" s="51" t="n"/>
      <c r="G182" s="51" t="n"/>
      <c r="H182" s="51" t="n"/>
      <c r="I182" s="51" t="n"/>
      <c r="J182" s="51">
        <f>IF(OR(F182="",G182=""),"",G182-F182)</f>
        <v/>
      </c>
      <c r="K182" s="18" t="n"/>
      <c r="L182" s="18" t="n"/>
      <c r="M182" s="18" t="n"/>
    </row>
    <row r="183">
      <c r="A183" s="18" t="n"/>
      <c r="B183" s="18" t="n"/>
      <c r="C183" s="18" t="n"/>
      <c r="D183" s="18" t="n"/>
      <c r="E183" s="18" t="n"/>
      <c r="F183" s="51" t="n"/>
      <c r="G183" s="51" t="n"/>
      <c r="H183" s="51" t="n"/>
      <c r="I183" s="51" t="n"/>
      <c r="J183" s="51">
        <f>IF(OR(F183="",G183=""),"",G183-F183)</f>
        <v/>
      </c>
      <c r="K183" s="18" t="n"/>
      <c r="L183" s="18" t="n"/>
      <c r="M183" s="18" t="n"/>
    </row>
    <row r="184">
      <c r="A184" s="18" t="n"/>
      <c r="B184" s="18" t="n"/>
      <c r="C184" s="18" t="n"/>
      <c r="D184" s="18" t="n"/>
      <c r="E184" s="18" t="n"/>
      <c r="F184" s="51" t="n"/>
      <c r="G184" s="51" t="n"/>
      <c r="H184" s="51" t="n"/>
      <c r="I184" s="51" t="n"/>
      <c r="J184" s="51">
        <f>IF(OR(F184="",G184=""),"",G184-F184)</f>
        <v/>
      </c>
      <c r="K184" s="18" t="n"/>
      <c r="L184" s="18" t="n"/>
      <c r="M184" s="18" t="n"/>
    </row>
    <row r="185">
      <c r="A185" s="18" t="n"/>
      <c r="B185" s="18" t="n"/>
      <c r="C185" s="18" t="n"/>
      <c r="D185" s="18" t="n"/>
      <c r="E185" s="18" t="n"/>
      <c r="F185" s="51" t="n"/>
      <c r="G185" s="51" t="n"/>
      <c r="H185" s="51" t="n"/>
      <c r="I185" s="51" t="n"/>
      <c r="J185" s="51">
        <f>IF(OR(F185="",G185=""),"",G185-F185)</f>
        <v/>
      </c>
      <c r="K185" s="18" t="n"/>
      <c r="L185" s="18" t="n"/>
      <c r="M185" s="18" t="n"/>
    </row>
    <row r="186">
      <c r="A186" s="18" t="n"/>
      <c r="B186" s="18" t="n"/>
      <c r="C186" s="18" t="n"/>
      <c r="D186" s="18" t="n"/>
      <c r="E186" s="18" t="n"/>
      <c r="F186" s="51" t="n"/>
      <c r="G186" s="51" t="n"/>
      <c r="H186" s="51" t="n"/>
      <c r="I186" s="51" t="n"/>
      <c r="J186" s="51">
        <f>IF(OR(F186="",G186=""),"",G186-F186)</f>
        <v/>
      </c>
      <c r="K186" s="18" t="n"/>
      <c r="L186" s="18" t="n"/>
      <c r="M186" s="18" t="n"/>
    </row>
    <row r="187">
      <c r="A187" s="18" t="n"/>
      <c r="B187" s="18" t="n"/>
      <c r="C187" s="18" t="n"/>
      <c r="D187" s="18" t="n"/>
      <c r="E187" s="18" t="n"/>
      <c r="F187" s="51" t="n"/>
      <c r="G187" s="51" t="n"/>
      <c r="H187" s="51" t="n"/>
      <c r="I187" s="51" t="n"/>
      <c r="J187" s="51">
        <f>IF(OR(F187="",G187=""),"",G187-F187)</f>
        <v/>
      </c>
      <c r="K187" s="18" t="n"/>
      <c r="L187" s="18" t="n"/>
      <c r="M187" s="18" t="n"/>
    </row>
    <row r="188">
      <c r="A188" s="18" t="n"/>
      <c r="B188" s="18" t="n"/>
      <c r="C188" s="18" t="n"/>
      <c r="D188" s="18" t="n"/>
      <c r="E188" s="18" t="n"/>
      <c r="F188" s="51" t="n"/>
      <c r="G188" s="51" t="n"/>
      <c r="H188" s="51" t="n"/>
      <c r="I188" s="51" t="n"/>
      <c r="J188" s="51">
        <f>IF(OR(F188="",G188=""),"",G188-F188)</f>
        <v/>
      </c>
      <c r="K188" s="18" t="n"/>
      <c r="L188" s="18" t="n"/>
      <c r="M188" s="18" t="n"/>
    </row>
    <row r="189">
      <c r="A189" s="18" t="n"/>
      <c r="B189" s="18" t="n"/>
      <c r="C189" s="18" t="n"/>
      <c r="D189" s="18" t="n"/>
      <c r="E189" s="18" t="n"/>
      <c r="F189" s="51" t="n"/>
      <c r="G189" s="51" t="n"/>
      <c r="H189" s="51" t="n"/>
      <c r="I189" s="51" t="n"/>
      <c r="J189" s="51">
        <f>IF(OR(F189="",G189=""),"",G189-F189)</f>
        <v/>
      </c>
      <c r="K189" s="18" t="n"/>
      <c r="L189" s="18" t="n"/>
      <c r="M189" s="18" t="n"/>
    </row>
    <row r="190">
      <c r="A190" s="18" t="n"/>
      <c r="B190" s="18" t="n"/>
      <c r="C190" s="18" t="n"/>
      <c r="D190" s="18" t="n"/>
      <c r="E190" s="18" t="n"/>
      <c r="F190" s="51" t="n"/>
      <c r="G190" s="51" t="n"/>
      <c r="H190" s="51" t="n"/>
      <c r="I190" s="51" t="n"/>
      <c r="J190" s="51">
        <f>IF(OR(F190="",G190=""),"",G190-F190)</f>
        <v/>
      </c>
      <c r="K190" s="18" t="n"/>
      <c r="L190" s="18" t="n"/>
      <c r="M190" s="18" t="n"/>
    </row>
    <row r="191">
      <c r="A191" s="18" t="n"/>
      <c r="B191" s="18" t="n"/>
      <c r="C191" s="18" t="n"/>
      <c r="D191" s="18" t="n"/>
      <c r="E191" s="18" t="n"/>
      <c r="F191" s="51" t="n"/>
      <c r="G191" s="51" t="n"/>
      <c r="H191" s="51" t="n"/>
      <c r="I191" s="51" t="n"/>
      <c r="J191" s="51">
        <f>IF(OR(F191="",G191=""),"",G191-F191)</f>
        <v/>
      </c>
      <c r="K191" s="18" t="n"/>
      <c r="L191" s="18" t="n"/>
      <c r="M191" s="18" t="n"/>
    </row>
    <row r="192">
      <c r="A192" s="18" t="n"/>
      <c r="B192" s="18" t="n"/>
      <c r="C192" s="18" t="n"/>
      <c r="D192" s="18" t="n"/>
      <c r="E192" s="18" t="n"/>
      <c r="F192" s="51" t="n"/>
      <c r="G192" s="51" t="n"/>
      <c r="H192" s="51" t="n"/>
      <c r="I192" s="51" t="n"/>
      <c r="J192" s="51">
        <f>IF(OR(F192="",G192=""),"",G192-F192)</f>
        <v/>
      </c>
      <c r="K192" s="18" t="n"/>
      <c r="L192" s="18" t="n"/>
      <c r="M192" s="18" t="n"/>
    </row>
    <row r="193">
      <c r="A193" s="18" t="n"/>
      <c r="B193" s="18" t="n"/>
      <c r="C193" s="18" t="n"/>
      <c r="D193" s="18" t="n"/>
      <c r="E193" s="18" t="n"/>
      <c r="F193" s="51" t="n"/>
      <c r="G193" s="51" t="n"/>
      <c r="H193" s="51" t="n"/>
      <c r="I193" s="51" t="n"/>
      <c r="J193" s="51">
        <f>IF(OR(F193="",G193=""),"",G193-F193)</f>
        <v/>
      </c>
      <c r="K193" s="18" t="n"/>
      <c r="L193" s="18" t="n"/>
      <c r="M193" s="18" t="n"/>
    </row>
    <row r="194">
      <c r="A194" s="18" t="n"/>
      <c r="B194" s="18" t="n"/>
      <c r="C194" s="18" t="n"/>
      <c r="D194" s="18" t="n"/>
      <c r="E194" s="18" t="n"/>
      <c r="F194" s="51" t="n"/>
      <c r="G194" s="51" t="n"/>
      <c r="H194" s="51" t="n"/>
      <c r="I194" s="51" t="n"/>
      <c r="J194" s="51">
        <f>IF(OR(F194="",G194=""),"",G194-F194)</f>
        <v/>
      </c>
      <c r="K194" s="18" t="n"/>
      <c r="L194" s="18" t="n"/>
      <c r="M194" s="18" t="n"/>
    </row>
    <row r="195">
      <c r="A195" s="18" t="n"/>
      <c r="B195" s="18" t="n"/>
      <c r="C195" s="18" t="n"/>
      <c r="D195" s="18" t="n"/>
      <c r="E195" s="18" t="n"/>
      <c r="F195" s="51" t="n"/>
      <c r="G195" s="51" t="n"/>
      <c r="H195" s="51" t="n"/>
      <c r="I195" s="51" t="n"/>
      <c r="J195" s="51">
        <f>IF(OR(F195="",G195=""),"",G195-F195)</f>
        <v/>
      </c>
      <c r="K195" s="18" t="n"/>
      <c r="L195" s="18" t="n"/>
      <c r="M195" s="18" t="n"/>
    </row>
    <row r="196">
      <c r="A196" s="18" t="n"/>
      <c r="B196" s="18" t="n"/>
      <c r="C196" s="18" t="n"/>
      <c r="D196" s="18" t="n"/>
      <c r="E196" s="18" t="n"/>
      <c r="F196" s="51" t="n"/>
      <c r="G196" s="51" t="n"/>
      <c r="H196" s="51" t="n"/>
      <c r="I196" s="51" t="n"/>
      <c r="J196" s="51">
        <f>IF(OR(F196="",G196=""),"",G196-F196)</f>
        <v/>
      </c>
      <c r="K196" s="18" t="n"/>
      <c r="L196" s="18" t="n"/>
      <c r="M196" s="18" t="n"/>
    </row>
    <row r="197">
      <c r="A197" s="18" t="n"/>
      <c r="B197" s="18" t="n"/>
      <c r="C197" s="18" t="n"/>
      <c r="D197" s="18" t="n"/>
      <c r="E197" s="18" t="n"/>
      <c r="F197" s="51" t="n"/>
      <c r="G197" s="51" t="n"/>
      <c r="H197" s="51" t="n"/>
      <c r="I197" s="51" t="n"/>
      <c r="J197" s="51">
        <f>IF(OR(F197="",G197=""),"",G197-F197)</f>
        <v/>
      </c>
      <c r="K197" s="18" t="n"/>
      <c r="L197" s="18" t="n"/>
      <c r="M197" s="18" t="n"/>
    </row>
    <row r="198">
      <c r="A198" s="18" t="n"/>
      <c r="B198" s="18" t="n"/>
      <c r="C198" s="18" t="n"/>
      <c r="D198" s="18" t="n"/>
      <c r="E198" s="18" t="n"/>
      <c r="F198" s="51" t="n"/>
      <c r="G198" s="51" t="n"/>
      <c r="H198" s="51" t="n"/>
      <c r="I198" s="51" t="n"/>
      <c r="J198" s="51">
        <f>IF(OR(F198="",G198=""),"",G198-F198)</f>
        <v/>
      </c>
      <c r="K198" s="18" t="n"/>
      <c r="L198" s="18" t="n"/>
      <c r="M198" s="18" t="n"/>
    </row>
    <row r="199">
      <c r="A199" s="18" t="n"/>
      <c r="B199" s="18" t="n"/>
      <c r="C199" s="18" t="n"/>
      <c r="D199" s="18" t="n"/>
      <c r="E199" s="18" t="n"/>
      <c r="F199" s="51" t="n"/>
      <c r="G199" s="51" t="n"/>
      <c r="H199" s="51" t="n"/>
      <c r="I199" s="51" t="n"/>
      <c r="J199" s="51">
        <f>IF(OR(F199="",G199=""),"",G199-F199)</f>
        <v/>
      </c>
      <c r="K199" s="18" t="n"/>
      <c r="L199" s="18" t="n"/>
      <c r="M199" s="18" t="n"/>
    </row>
    <row r="200">
      <c r="A200" s="18" t="n"/>
      <c r="B200" s="18" t="n"/>
      <c r="C200" s="18" t="n"/>
      <c r="D200" s="18" t="n"/>
      <c r="E200" s="18" t="n"/>
      <c r="F200" s="51" t="n"/>
      <c r="G200" s="51" t="n"/>
      <c r="H200" s="51" t="n"/>
      <c r="I200" s="51" t="n"/>
      <c r="J200" s="51">
        <f>IF(OR(F200="",G200=""),"",G200-F200)</f>
        <v/>
      </c>
      <c r="K200" s="18" t="n"/>
      <c r="L200" s="18" t="n"/>
      <c r="M200" s="18" t="n"/>
    </row>
    <row r="201">
      <c r="A201" s="18" t="n"/>
      <c r="B201" s="18" t="n"/>
      <c r="C201" s="18" t="n"/>
      <c r="D201" s="18" t="n"/>
      <c r="E201" s="18" t="n"/>
      <c r="F201" s="51" t="n"/>
      <c r="G201" s="51" t="n"/>
      <c r="H201" s="51" t="n"/>
      <c r="I201" s="51" t="n"/>
      <c r="J201" s="51">
        <f>IF(OR(F201="",G201=""),"",G201-F201)</f>
        <v/>
      </c>
      <c r="K201" s="18" t="n"/>
      <c r="L201" s="18" t="n"/>
      <c r="M201" s="18" t="n"/>
    </row>
    <row r="202">
      <c r="A202" s="18" t="n"/>
      <c r="B202" s="18" t="n"/>
      <c r="C202" s="18" t="n"/>
      <c r="D202" s="18" t="n"/>
      <c r="E202" s="18" t="n"/>
      <c r="F202" s="51" t="n"/>
      <c r="G202" s="51" t="n"/>
      <c r="H202" s="51" t="n"/>
      <c r="I202" s="51" t="n"/>
      <c r="J202" s="51">
        <f>IF(OR(F202="",G202=""),"",G202-F202)</f>
        <v/>
      </c>
      <c r="K202" s="18" t="n"/>
      <c r="L202" s="18" t="n"/>
      <c r="M202" s="18" t="n"/>
    </row>
    <row r="203">
      <c r="A203" s="18" t="n"/>
      <c r="B203" s="18" t="n"/>
      <c r="C203" s="18" t="n"/>
      <c r="D203" s="18" t="n"/>
      <c r="E203" s="18" t="n"/>
      <c r="F203" s="51" t="n"/>
      <c r="G203" s="51" t="n"/>
      <c r="H203" s="51" t="n"/>
      <c r="I203" s="51" t="n"/>
      <c r="J203" s="51">
        <f>IF(OR(F203="",G203=""),"",G203-F203)</f>
        <v/>
      </c>
      <c r="K203" s="18" t="n"/>
      <c r="L203" s="18" t="n"/>
      <c r="M203" s="18" t="n"/>
    </row>
    <row r="204">
      <c r="A204" s="18" t="n"/>
      <c r="B204" s="18" t="n"/>
      <c r="C204" s="18" t="n"/>
      <c r="D204" s="18" t="n"/>
      <c r="E204" s="18" t="n"/>
      <c r="F204" s="51" t="n"/>
      <c r="G204" s="51" t="n"/>
      <c r="H204" s="51" t="n"/>
      <c r="I204" s="51" t="n"/>
      <c r="J204" s="51">
        <f>IF(OR(F204="",G204=""),"",G204-F204)</f>
        <v/>
      </c>
      <c r="K204" s="18" t="n"/>
      <c r="L204" s="18" t="n"/>
      <c r="M204" s="18" t="n"/>
    </row>
  </sheetData>
  <conditionalFormatting sqref="K5:K204">
    <cfRule type="containsText" priority="1" operator="containsText" dxfId="0" text="BLOCKED"/>
    <cfRule type="containsText" priority="2" operator="containsText" dxfId="1" text="REVIEW"/>
  </conditionalFormatting>
  <dataValidations count="2">
    <dataValidation sqref="B5:B204" showDropDown="0" showInputMessage="0" showErrorMessage="0" allowBlank="0" type="list">
      <formula1>"公式版本,代表值,单位,质量平衡,能量汇总,方向符号,内部流,循环,边界/功能单位,重复计算,CLCA分配排除"</formula1>
    </dataValidation>
    <dataValidation sqref="K5:K204" showDropDown="0" showInputMessage="0" showErrorMessage="0" allowBlank="0" type="list">
      <formula1>"PASS,PASS_WITH_NOTE,REVIEW,BLOCKED,NOT_APPLICABLE"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2" customWidth="1" min="4" max="4"/>
    <col width="36" customWidth="1" min="5" max="5"/>
    <col width="34" customWidth="1" min="6" max="6"/>
    <col width="38" customWidth="1" min="7" max="7"/>
    <col width="38" customWidth="1" min="8" max="8"/>
    <col width="18" customWidth="1" min="9" max="9"/>
    <col width="26" customWidth="1" min="10" max="10"/>
    <col width="16" customWidth="1" min="11" max="11"/>
    <col width="34" customWidth="1" min="12" max="12"/>
    <col width="18" customWidth="1" min="13" max="13"/>
    <col width="18" customWidth="1" min="14" max="14"/>
    <col width="22" customWidth="1" min="15" max="15"/>
  </cols>
  <sheetData>
    <row r="1" ht="24" customHeight="1">
      <c r="A1" s="1" t="inlineStr">
        <is>
          <t>问题与决策</t>
        </is>
      </c>
    </row>
    <row r="2" ht="24" customHeight="1">
      <c r="A2" s="2" t="inlineStr">
        <is>
          <t>保留来源差异、影响、候选处理和用户决定；实际改变要写回事实表。</t>
        </is>
      </c>
    </row>
    <row r="4" ht="28" customHeight="1">
      <c r="A4" s="14" t="inlineStr">
        <is>
          <t>问题ID</t>
        </is>
      </c>
      <c r="B4" s="15" t="inlineStr">
        <is>
          <t>对象类型</t>
        </is>
      </c>
      <c r="C4" s="15" t="inlineStr">
        <is>
          <t>对象ID</t>
        </is>
      </c>
      <c r="D4" s="15" t="inlineStr">
        <is>
          <t>问题描述</t>
        </is>
      </c>
      <c r="E4" s="15" t="inlineStr">
        <is>
          <t>证据/来源</t>
        </is>
      </c>
      <c r="F4" s="15" t="inlineStr">
        <is>
          <t>影响</t>
        </is>
      </c>
      <c r="G4" s="15" t="inlineStr">
        <is>
          <t>候选处理</t>
        </is>
      </c>
      <c r="H4" s="15" t="inlineStr">
        <is>
          <t>用户决定</t>
        </is>
      </c>
      <c r="I4" s="15" t="inlineStr">
        <is>
          <t>状态</t>
        </is>
      </c>
      <c r="J4" s="15" t="inlineStr">
        <is>
          <t>执行位置</t>
        </is>
      </c>
      <c r="K4" s="15" t="inlineStr">
        <is>
          <t>更新日期</t>
        </is>
      </c>
      <c r="L4" s="16" t="inlineStr">
        <is>
          <t>备注</t>
        </is>
      </c>
      <c r="M4" s="42" t="inlineStr">
        <is>
          <t>是否阻断冻结</t>
        </is>
      </c>
      <c r="N4" s="42" t="inlineStr">
        <is>
          <t>确认日期</t>
        </is>
      </c>
      <c r="O4" s="49" t="inlineStr">
        <is>
          <t>归属操作ID</t>
        </is>
      </c>
    </row>
    <row r="5">
      <c r="A5" s="18" t="inlineStr">
        <is>
          <t>Q01</t>
        </is>
      </c>
      <c r="B5" s="18" t="inlineStr">
        <is>
          <t>文件</t>
        </is>
      </c>
      <c r="C5" s="18" t="inlineStr">
        <is>
          <t>SRC-XLS-OLD</t>
        </is>
      </c>
      <c r="D5" s="18" t="inlineStr">
        <is>
          <t>本轮附件 SPI-Siegrist2026.xlsx 为旧版本：SPI!L6=3 硬编码→I48=0.0464 kWh；当前版 (1) 与 ppplca runtime 为 0.0629995；且 (1) 版与 runtime 文件未随附件提供</t>
        </is>
      </c>
      <c r="E5" s="18" t="inlineStr">
        <is>
          <t>上一轮代码审计（交接文档§2/§4）</t>
        </is>
      </c>
      <c r="F5" s="18" t="inlineStr">
        <is>
          <t>F17 模块电耗；版本可信度</t>
        </is>
      </c>
      <c r="G5" s="18" t="inlineStr">
        <is>
          <t>CAD-29 采用（0.0630）；CAD-30 排除（0.0464）</t>
        </is>
      </c>
      <c r="H5" s="18" t="inlineStr">
        <is>
          <t>采用 0.0629995 kWh/kg SPI；旧值仅作版本证据；如需代码复现需用户补充 (1) 版与 Processing_data.xlsx</t>
        </is>
      </c>
      <c r="I5" s="18" t="inlineStr">
        <is>
          <t>已解决</t>
        </is>
      </c>
      <c r="J5" s="18" t="inlineStr">
        <is>
          <t>候选数据/模型参数</t>
        </is>
      </c>
      <c r="K5" s="18" t="inlineStr">
        <is>
          <t>2026-09-26</t>
        </is>
      </c>
      <c r="L5" s="18" t="inlineStr">
        <is>
          <t>2026-09-26 查明：上一轮“(1)版”即期刊官方补充材料 mmc2.xlsx，已重新下载并比对一致</t>
        </is>
      </c>
      <c r="M5" t="inlineStr">
        <is>
          <t>否</t>
        </is>
      </c>
      <c r="N5" t="inlineStr">
        <is>
          <t>2026-09-19</t>
        </is>
      </c>
      <c r="O5" t="inlineStr">
        <is>
          <t>M3</t>
        </is>
      </c>
    </row>
    <row r="6">
      <c r="A6" s="18" t="inlineStr">
        <is>
          <t>Q02</t>
        </is>
      </c>
      <c r="B6" s="18" t="inlineStr">
        <is>
          <t>方法</t>
        </is>
      </c>
      <c r="C6" s="18" t="inlineStr">
        <is>
          <t>PS-SPI</t>
        </is>
      </c>
      <c r="D6" s="18" t="inlineStr">
        <is>
          <t>来源为 ALCA+economic allocation；本研究采用 CLCA，不做分配</t>
        </is>
      </c>
      <c r="E6" s="18" t="inlineStr">
        <is>
          <t>交接文档§1；论文§2.1</t>
        </is>
      </c>
      <c r="F6" s="18" t="inlineStr">
        <is>
          <t>全部 price ratio 参数；共产品处理</t>
        </is>
      </c>
      <c r="G6" s="18" t="inlineStr">
        <is>
          <t>CAD-33/34/35 排除；F25–F27 登记替代接口</t>
        </is>
      </c>
      <c r="H6" s="18" t="inlineStr">
        <is>
          <t>CLCA 不分配；豆皮/豆油/spent flakes 显式物理共产品；替代/系统扩展在 CLCA 层另定（用户 2026-09-19 锁定，本轮沿用）</t>
        </is>
      </c>
      <c r="I6" s="18" t="inlineStr">
        <is>
          <t>已解决</t>
        </is>
      </c>
      <c r="J6" s="18" t="inlineStr">
        <is>
          <t>项目说明/模型流</t>
        </is>
      </c>
      <c r="K6" s="18" t="inlineStr">
        <is>
          <t>2026-09-26</t>
        </is>
      </c>
      <c r="L6" s="18" t="inlineStr">
        <is>
          <t>闸门C条件②③证据</t>
        </is>
      </c>
      <c r="M6" t="inlineStr">
        <is>
          <t>否</t>
        </is>
      </c>
      <c r="N6" t="inlineStr">
        <is>
          <t>2026-09-19</t>
        </is>
      </c>
      <c r="O6" t="inlineStr">
        <is>
          <t>PS-SPI</t>
        </is>
      </c>
    </row>
    <row r="7">
      <c r="A7" s="18" t="inlineStr">
        <is>
          <t>Q03</t>
        </is>
      </c>
      <c r="B7" s="18" t="inlineStr">
        <is>
          <t>参数</t>
        </is>
      </c>
      <c r="C7" s="18" t="inlineStr">
        <is>
          <t>P05;P23;P24;P25;P28</t>
        </is>
      </c>
      <c r="D7" s="18" t="inlineStr">
        <is>
          <t>white flakes 干物质正式参数 0.88，但 K6/I56 等硬编码 0.93 并传入派生质量流/密度/whey</t>
        </is>
      </c>
      <c r="E7" s="18" t="inlineStr">
        <is>
          <t>上一轮审计 A07/A08</t>
        </is>
      </c>
      <c r="F7" s="18" t="inlineStr">
        <is>
          <t>F21 whey、F17 部分离心电耗、CHK03 干物质平衡</t>
        </is>
      </c>
      <c r="G7" s="18" t="inlineStr">
        <is>
          <t>保留作者代表值；受影响流标审计中</t>
        </is>
      </c>
      <c r="H7" s="18" t="inlineStr">
        <is>
          <t>暂不修正、不替换正式清单；下一阶段做完整依赖链重算（统一 0.88 情景对照）后再决定</t>
        </is>
      </c>
      <c r="I7" s="18" t="inlineStr">
        <is>
          <t>未解决</t>
        </is>
      </c>
      <c r="J7" s="18" t="inlineStr">
        <is>
          <t>问题表</t>
        </is>
      </c>
      <c r="K7" s="18" t="inlineStr">
        <is>
          <t>2026-09-26</t>
        </is>
      </c>
      <c r="L7" s="18" t="inlineStr">
        <is>
          <t>0.88 下输出超输入 2.2%</t>
        </is>
      </c>
      <c r="M7" t="inlineStr">
        <is>
          <t>是（对受影响水相/电耗的最终冻结）</t>
        </is>
      </c>
      <c r="O7" t="inlineStr">
        <is>
          <t>M3</t>
        </is>
      </c>
    </row>
    <row r="8">
      <c r="A8" s="18" t="inlineStr">
        <is>
          <t>Q04</t>
        </is>
      </c>
      <c r="B8" s="18" t="inlineStr">
        <is>
          <t>流</t>
        </is>
      </c>
      <c r="C8" s="18" t="inlineStr">
        <is>
          <t>F13;F14;F21;F24</t>
        </is>
      </c>
      <c r="D8" s="18" t="inlineStr">
        <is>
          <t>SPI 水系统口径不一致：步骤加水 19.852+6、Overview 16.5036、Formulas_SPI 16.98、whey 11.490</t>
        </is>
      </c>
      <c r="E8" s="18" t="inlineStr">
        <is>
          <t>上一轮审计 A10/A11/A24</t>
        </is>
      </c>
      <c r="F8" s="18" t="inlineStr">
        <is>
          <t>外部 fresh water 与净废水 exchange 无法锁定</t>
        </is>
      </c>
      <c r="G8" s="18" t="inlineStr">
        <is>
          <t>F24 暂不显示；F13/F14 仅作步骤加水</t>
        </is>
      </c>
      <c r="H8" s="18" t="inlineStr">
        <is>
          <t>已解决：外部取水=16.98 kg（Formulas_SPI公式按官方参数重算验证）；总进水17.49（含豆片自带0.238与酸碱溶液水0.268）vs 总出水16.74（乳清11.490+蒸发5.148+豆渣0.054+产品0.050），残差0.74源于作者公式未计酸碱溶液水；投水25.852与净取水16.98之差8.87为内部循环，不进LCI；6 kg洗涤水经源注释判决属离心4蛋白洗涤（图已修正）。用户2026-09-27确认。；2026-09-27 图面同步：模块Ⅲ水输入改为外部取水 16.98，工艺投水 25.852 撤出图面（进 17.49 ↔ 出 16.74，残差 0.74 为作者公式未计酸碱溶液水）</t>
        </is>
      </c>
      <c r="I8" s="18" t="inlineStr">
        <is>
          <t>已解决</t>
        </is>
      </c>
      <c r="J8" s="18" t="inlineStr">
        <is>
          <t>问题表</t>
        </is>
      </c>
      <c r="K8" s="18" t="inlineStr">
        <is>
          <t>2026-09-26</t>
        </is>
      </c>
      <c r="L8" s="18" t="inlineStr"/>
      <c r="M8" t="inlineStr">
        <is>
          <t>是（对 M3 外部水 exchange 的最终冻结）</t>
        </is>
      </c>
      <c r="O8" t="inlineStr">
        <is>
          <t>M3</t>
        </is>
      </c>
    </row>
    <row r="9">
      <c r="A9" s="18" t="inlineStr">
        <is>
          <t>Q05</t>
        </is>
      </c>
      <c r="B9" s="18" t="inlineStr">
        <is>
          <t>流</t>
        </is>
      </c>
      <c r="C9" s="18" t="inlineStr">
        <is>
          <t>F15;F16</t>
        </is>
      </c>
      <c r="D9" s="18" t="inlineStr">
        <is>
          <t>NaOH/HCl 最终 LCI 单位为 kg，但源系数由 10% 溶液体积折算，缺密度/浓度换算链</t>
        </is>
      </c>
      <c r="E9" s="18" t="inlineStr">
        <is>
          <t>上一轮审计 A12/A13</t>
        </is>
      </c>
      <c r="F9" s="18" t="inlineStr">
        <is>
          <t>化学品 exchange 质量映射</t>
        </is>
      </c>
      <c r="G9" s="18" t="inlineStr">
        <is>
          <t>保留 10% 溶液体积并加*</t>
        </is>
      </c>
      <c r="H9" s="18" t="inlineStr">
        <is>
          <t>核对目标背景数据库 reference product（solution vs active substance）后补齐密度/浓度换算</t>
        </is>
      </c>
      <c r="I9" s="18" t="inlineStr">
        <is>
          <t>未解决</t>
        </is>
      </c>
      <c r="J9" s="18" t="inlineStr">
        <is>
          <t>问题表</t>
        </is>
      </c>
      <c r="K9" s="18" t="inlineStr">
        <is>
          <t>2026-09-26</t>
        </is>
      </c>
      <c r="L9" s="18" t="inlineStr">
        <is>
          <t>soy-specific 数据弱，属模型假设</t>
        </is>
      </c>
      <c r="M9" t="inlineStr">
        <is>
          <t>是（对酸碱 exchange 的最终冻结）</t>
        </is>
      </c>
      <c r="O9" t="inlineStr">
        <is>
          <t>M3</t>
        </is>
      </c>
    </row>
    <row r="10">
      <c r="A10" s="18" t="inlineStr">
        <is>
          <t>Q06</t>
        </is>
      </c>
      <c r="B10" s="18" t="inlineStr">
        <is>
          <t>流</t>
        </is>
      </c>
      <c r="C10" s="18" t="inlineStr">
        <is>
          <t>F12</t>
        </is>
      </c>
      <c r="D10" s="18" t="inlineStr">
        <is>
          <t>hexane 排放数值可用，但环境介质（air/water/unspecified）未定</t>
        </is>
      </c>
      <c r="E10" s="18" t="inlineStr">
        <is>
          <t>上一轮审计</t>
        </is>
      </c>
      <c r="F10" s="18" t="inlineStr">
        <is>
          <t>排放 compartment 映射</t>
        </is>
      </c>
      <c r="G10" s="18" t="inlineStr">
        <is>
          <t>保留数值</t>
        </is>
      </c>
      <c r="H10" s="18" t="inlineStr">
        <is>
          <t>背景数据库映射时确定 compartment</t>
        </is>
      </c>
      <c r="I10" s="18" t="inlineStr">
        <is>
          <t>未解决</t>
        </is>
      </c>
      <c r="J10" s="18" t="inlineStr">
        <is>
          <t>问题表</t>
        </is>
      </c>
      <c r="K10" s="18" t="inlineStr">
        <is>
          <t>2026-09-26</t>
        </is>
      </c>
      <c r="L10" s="18" t="inlineStr">
        <is>
          <t>不阻断骨架与模块值</t>
        </is>
      </c>
      <c r="M10" t="inlineStr">
        <is>
          <t>否</t>
        </is>
      </c>
      <c r="O10" t="inlineStr">
        <is>
          <t>M2</t>
        </is>
      </c>
    </row>
    <row r="11">
      <c r="A11" s="18" t="inlineStr">
        <is>
          <t>Q07</t>
        </is>
      </c>
      <c r="B11" s="18" t="inlineStr">
        <is>
          <t>来源</t>
        </is>
      </c>
      <c r="C11" s="18" t="inlineStr">
        <is>
          <t>SYS-Siegrist2026</t>
        </is>
      </c>
      <c r="D11" s="18" t="inlineStr">
        <is>
          <t>数据表版本溯源：旧版 README 声明归属同组早期论文（Parametric assessment of regionalized...），官方 SI2/runtime 归属 SPC 2026；作者 2025-08 后未再修改数据</t>
        </is>
      </c>
      <c r="E11" s="18" t="inlineStr">
        <is>
          <t>SRC-XLS-OLD README; SRC-README</t>
        </is>
      </c>
      <c r="F11" s="18" t="inlineStr">
        <is>
          <t>来源体系同一性</t>
        </is>
      </c>
      <c r="G11" s="18" t="inlineStr">
        <is>
          <t>旧版=早期论文流传版（含 L6=3 bug）；官方 mmc2=当前版</t>
        </is>
      </c>
      <c r="H11" s="18" t="inlineStr">
        <is>
          <t>以官方 SI2（mmc2）为当前权威版；旧版仅作版本证据。规则沉淀：版本核验先看文件内部 README 归属与论文 DOI 是否一致</t>
        </is>
      </c>
      <c r="I11" s="18" t="inlineStr">
        <is>
          <t>已解决</t>
        </is>
      </c>
      <c r="J11" s="18" t="inlineStr">
        <is>
          <t>数据来源</t>
        </is>
      </c>
      <c r="K11" s="18" t="inlineStr">
        <is>
          <t>2026-09-26</t>
        </is>
      </c>
      <c r="L11" s="18" t="inlineStr"/>
      <c r="M11" t="inlineStr">
        <is>
          <t>否</t>
        </is>
      </c>
      <c r="O11" t="inlineStr">
        <is>
          <t>PS-SPI</t>
        </is>
      </c>
    </row>
    <row r="12">
      <c r="A12" s="18" t="inlineStr">
        <is>
          <t>Q08</t>
        </is>
      </c>
      <c r="B12" s="18" t="inlineStr">
        <is>
          <t>来源</t>
        </is>
      </c>
      <c r="C12" s="18" t="inlineStr">
        <is>
          <t>候选数据</t>
        </is>
      </c>
      <c r="D12" s="18" t="inlineStr">
        <is>
          <t>参数原始文献（Sheehan/Dalgaard/Brasil 等）为数据表内的二级引用，未独立核对原文</t>
        </is>
      </c>
      <c r="E12" s="18" t="inlineStr">
        <is>
          <t>SRC-XLS-OLD Data sources overview</t>
        </is>
      </c>
      <c r="F12" s="18" t="inlineStr">
        <is>
          <t>候选证据等级</t>
        </is>
      </c>
      <c r="G12" s="18" t="inlineStr">
        <is>
          <t>全部参数候选标二级引用</t>
        </is>
      </c>
      <c r="H12" s="18" t="inlineStr">
        <is>
          <t>当前采用可用；GSA/跨源比较前需独立核对原文</t>
        </is>
      </c>
      <c r="I12" s="18" t="inlineStr">
        <is>
          <t>已解决</t>
        </is>
      </c>
      <c r="J12" s="18" t="inlineStr">
        <is>
          <t>候选数据</t>
        </is>
      </c>
      <c r="K12" s="18" t="inlineStr">
        <is>
          <t>2026-09-26</t>
        </is>
      </c>
      <c r="L12" s="18" t="inlineStr"/>
      <c r="M12" t="inlineStr">
        <is>
          <t>否</t>
        </is>
      </c>
      <c r="O12" t="inlineStr">
        <is>
          <t>PS-SPI</t>
        </is>
      </c>
    </row>
    <row r="13">
      <c r="A13" s="18" t="inlineStr">
        <is>
          <t>Q09</t>
        </is>
      </c>
      <c r="B13" s="18" t="inlineStr">
        <is>
          <t>参数</t>
        </is>
      </c>
      <c r="C13" s="18" t="inlineStr">
        <is>
          <t>P08;P14</t>
        </is>
      </c>
      <c r="D13" s="18" t="inlineStr">
        <is>
          <t>脱脂模块质量不闭合：1.27 kg 脱皮豆 vs 1 kg 白豆片+0.24 kg 油，差 0.03 kg/kg</t>
        </is>
      </c>
      <c r="E13" s="18" t="inlineStr">
        <is>
          <t>上一轮审计 A05；SPI前景清单质量平衡1.xlsx</t>
        </is>
      </c>
      <c r="F13" s="18" t="inlineStr">
        <is>
          <t>CHK02/CHK15；全流程物理闭合</t>
        </is>
      </c>
      <c r="G13" s="18" t="inlineStr">
        <is>
          <t>不硬补差额</t>
        </is>
      </c>
      <c r="H13" s="18" t="inlineStr">
        <is>
          <t>按作者参数化代表清单采用并在方法中说明；差额成分列入待补</t>
        </is>
      </c>
      <c r="I13" s="18" t="inlineStr">
        <is>
          <t>未解决</t>
        </is>
      </c>
      <c r="J13" s="18" t="inlineStr">
        <is>
          <t>问题表</t>
        </is>
      </c>
      <c r="K13" s="18" t="inlineStr">
        <is>
          <t>2026-09-26</t>
        </is>
      </c>
      <c r="L13" s="18" t="inlineStr"/>
      <c r="M13" t="inlineStr">
        <is>
          <t>否</t>
        </is>
      </c>
      <c r="O13" t="inlineStr">
        <is>
          <t>M2</t>
        </is>
      </c>
    </row>
    <row r="14">
      <c r="A14" s="18" t="inlineStr">
        <is>
          <t>Q10</t>
        </is>
      </c>
      <c r="B14" s="18" t="inlineStr">
        <is>
          <t>文件</t>
        </is>
      </c>
      <c r="C14" s="18" t="inlineStr">
        <is>
          <t>SRC-XLS-OLD</t>
        </is>
      </c>
      <c r="D14" s="18" t="inlineStr">
        <is>
          <t>本轮附件曾缺当前版详细工作簿与 runtime 文件；2026-09-26 均已补齐（官方 SI2 mmc2.xlsx + GitHub runtime）</t>
        </is>
      </c>
      <c r="E14" s="18" t="inlineStr">
        <is>
          <t>交接文档§3；GitHub siegarmi/ppplca（2026-09-26 下载复核）</t>
        </is>
      </c>
      <c r="F14" s="18" t="inlineStr">
        <is>
          <t>证据链完整性（非当前阻塞）</t>
        </is>
      </c>
      <c r="G14" s="18" t="inlineStr">
        <is>
          <t>SI2 与 runtime 互为印证：39 个 SPI 参数完全一致；SPI!I48=0.0629995</t>
        </is>
      </c>
      <c r="H14" s="18" t="inlineStr">
        <is>
          <t>证据链完整闭合，无需进一步补充</t>
        </is>
      </c>
      <c r="I14" s="18" t="inlineStr">
        <is>
          <t>已解决</t>
        </is>
      </c>
      <c r="J14" s="18" t="inlineStr">
        <is>
          <t>待补清单</t>
        </is>
      </c>
      <c r="K14" s="18" t="inlineStr">
        <is>
          <t>2026-09-26</t>
        </is>
      </c>
      <c r="L14" s="18" t="inlineStr"/>
      <c r="M14" t="inlineStr">
        <is>
          <t>否</t>
        </is>
      </c>
      <c r="O14" t="inlineStr">
        <is>
          <t>PS-SPI</t>
        </is>
      </c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</row>
  </sheetData>
  <conditionalFormatting sqref="I5:I204">
    <cfRule type="containsText" priority="1" operator="containsText" dxfId="0" text="未解决"/>
  </conditionalFormatting>
  <dataValidations count="1">
    <dataValidation sqref="I5:I204" showDropDown="0" showInputMessage="0" showErrorMessage="0" allowBlank="0" type="list">
      <formula1>"未解决,待用户决定,已决定待执行,已解决,保留说明,不适用"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20" customWidth="1" min="8" max="8"/>
    <col width="14" customWidth="1" min="9" max="9"/>
    <col width="34" customWidth="1" min="10" max="10"/>
    <col width="16" customWidth="1" min="11" max="11"/>
    <col width="16" customWidth="1" min="12" max="12"/>
    <col width="14" customWidth="1" min="13" max="13"/>
    <col width="20" customWidth="1" min="14" max="14"/>
    <col width="20" customWidth="1" min="15" max="15"/>
    <col width="18" customWidth="1" min="16" max="16"/>
    <col width="18" customWidth="1" min="17" max="17"/>
    <col width="22" customWidth="1" min="18" max="18"/>
    <col width="18" customWidth="1" min="19" max="19"/>
    <col width="18" customWidth="1" min="20" max="20"/>
    <col width="34" customWidth="1" min="21" max="21"/>
  </cols>
  <sheetData>
    <row r="1" ht="24" customHeight="1">
      <c r="A1" s="1" t="inlineStr">
        <is>
          <t>绘图确认</t>
        </is>
      </c>
    </row>
    <row r="2" ht="24" customHeight="1">
      <c r="A2" s="2" t="inlineStr">
        <is>
          <t>科学字段由模型过程和模型流派生；用户只确认展开、显示、标签和样式。</t>
        </is>
      </c>
    </row>
    <row r="3">
      <c r="A3" t="inlineStr">
        <is>
          <t>只确认展开、显示和标签；L/M列自动引用模型流，不能手填科学数值。</t>
        </is>
      </c>
    </row>
    <row r="4" ht="34" customHeight="1">
      <c r="A4" s="14" t="inlineStr">
        <is>
          <t>对象ID</t>
        </is>
      </c>
      <c r="B4" s="15" t="inlineStr">
        <is>
          <t>对象类型</t>
        </is>
      </c>
      <c r="C4" s="15" t="inlineStr">
        <is>
          <t>来源ID</t>
        </is>
      </c>
      <c r="D4" s="15" t="inlineStr">
        <is>
          <t>所属车间</t>
        </is>
      </c>
      <c r="E4" s="15" t="inlineStr">
        <is>
          <t>来源过程ID</t>
        </is>
      </c>
      <c r="F4" s="15" t="inlineStr">
        <is>
          <t>目标过程ID</t>
        </is>
      </c>
      <c r="G4" s="15" t="inlineStr">
        <is>
          <t>主支线ID</t>
        </is>
      </c>
      <c r="H4" s="15" t="inlineStr">
        <is>
          <t>展开方式</t>
        </is>
      </c>
      <c r="I4" s="15" t="inlineStr">
        <is>
          <t>是否显示</t>
        </is>
      </c>
      <c r="J4" s="15" t="inlineStr">
        <is>
          <t>显示标签</t>
        </is>
      </c>
      <c r="K4" s="15" t="inlineStr">
        <is>
          <t>是否显示数值</t>
        </is>
      </c>
      <c r="L4" s="15" t="inlineStr">
        <is>
          <t>代表值</t>
        </is>
      </c>
      <c r="M4" s="15" t="inlineStr">
        <is>
          <t>单位</t>
        </is>
      </c>
      <c r="N4" s="15" t="inlineStr">
        <is>
          <t>标签模式</t>
        </is>
      </c>
      <c r="O4" s="15" t="inlineStr">
        <is>
          <t>样式角色</t>
        </is>
      </c>
      <c r="P4" s="15" t="inlineStr">
        <is>
          <t>数据功能确认</t>
        </is>
      </c>
      <c r="Q4" s="15" t="inlineStr">
        <is>
          <t>绘图功能确认</t>
        </is>
      </c>
      <c r="R4" s="15" t="inlineStr">
        <is>
          <t>Draw.io对象ID</t>
        </is>
      </c>
      <c r="S4" s="15" t="inlineStr">
        <is>
          <t>QA状态</t>
        </is>
      </c>
      <c r="T4" s="15" t="inlineStr">
        <is>
          <t>关联问题ID</t>
        </is>
      </c>
      <c r="U4" s="16" t="inlineStr">
        <is>
          <t>备注</t>
        </is>
      </c>
    </row>
    <row r="5">
      <c r="A5" s="18" t="inlineStr">
        <is>
          <t>F01</t>
        </is>
      </c>
      <c r="B5" s="18" t="inlineStr">
        <is>
          <t>Edge</t>
        </is>
      </c>
      <c r="C5" s="18" t="inlineStr">
        <is>
          <t>SRC-CLCA-AUDIT</t>
        </is>
      </c>
      <c r="D5" s="18" t="inlineStr">
        <is>
          <t>预处理</t>
        </is>
      </c>
      <c r="E5" s="18" t="n"/>
      <c r="F5" s="18" t="inlineStr">
        <is>
          <t>M1-OP1</t>
        </is>
      </c>
      <c r="G5" s="18" t="inlineStr">
        <is>
          <t>主线</t>
        </is>
      </c>
      <c r="H5" s="18" t="inlineStr">
        <is>
          <t>as_modelled</t>
        </is>
      </c>
      <c r="I5" s="18" t="inlineStr">
        <is>
          <t>是</t>
        </is>
      </c>
      <c r="J5" s="18" t="inlineStr">
        <is>
          <t>原始大豆 2.7229 kg</t>
        </is>
      </c>
      <c r="K5" s="18" t="inlineStr">
        <is>
          <t>是</t>
        </is>
      </c>
      <c r="L5" s="51">
        <f>IF(模型流与公式!P5="","",模型流与公式!P5)</f>
        <v/>
      </c>
      <c r="M5" s="18">
        <f>IF(模型流与公式!Q5="","",模型流与公式!Q5)</f>
        <v/>
      </c>
      <c r="N5" s="18" t="inlineStr">
        <is>
          <t>name_value_unit</t>
        </is>
      </c>
      <c r="O5" s="18" t="inlineStr">
        <is>
          <t>input_box</t>
        </is>
      </c>
      <c r="P5" s="18" t="inlineStr">
        <is>
          <t>已确认(补记2026-09-27)</t>
        </is>
      </c>
      <c r="Q5" s="18" t="inlineStr">
        <is>
          <t>待用户确认</t>
        </is>
      </c>
      <c r="R5" s="18" t="inlineStr">
        <is>
          <t>ext_F01</t>
        </is>
      </c>
      <c r="S5" s="18" t="inlineStr">
        <is>
          <t>PASS 2026-09-27 v15机器回归</t>
        </is>
      </c>
      <c r="T5" s="18" t="n"/>
      <c r="U5" s="18" t="n"/>
    </row>
    <row r="6">
      <c r="A6" s="18" t="inlineStr">
        <is>
          <t>F02</t>
        </is>
      </c>
      <c r="B6" s="18" t="inlineStr">
        <is>
          <t>Edge</t>
        </is>
      </c>
      <c r="C6" s="18" t="inlineStr">
        <is>
          <t>SRC-CLCA-AUDIT</t>
        </is>
      </c>
      <c r="D6" s="18" t="inlineStr">
        <is>
          <t>预处理</t>
        </is>
      </c>
      <c r="E6" s="18" t="inlineStr">
        <is>
          <t>M1-OP1</t>
        </is>
      </c>
      <c r="F6" s="18" t="inlineStr">
        <is>
          <t>M2-OP1</t>
        </is>
      </c>
      <c r="G6" s="18" t="inlineStr">
        <is>
          <t>主线</t>
        </is>
      </c>
      <c r="H6" s="18" t="inlineStr">
        <is>
          <t>as_modelled</t>
        </is>
      </c>
      <c r="I6" s="18" t="inlineStr">
        <is>
          <t>是</t>
        </is>
      </c>
      <c r="J6" s="18" t="inlineStr">
        <is>
          <t>去壳大豆 2.5212 kg</t>
        </is>
      </c>
      <c r="K6" s="18" t="inlineStr">
        <is>
          <t>是</t>
        </is>
      </c>
      <c r="L6" s="51">
        <f>IF(模型流与公式!P6="","",模型流与公式!P6)</f>
        <v/>
      </c>
      <c r="M6" s="18">
        <f>IF(模型流与公式!Q6="","",模型流与公式!Q6)</f>
        <v/>
      </c>
      <c r="N6" s="18" t="inlineStr">
        <is>
          <t>name_value_unit</t>
        </is>
      </c>
      <c r="O6" s="18" t="inlineStr">
        <is>
          <t>link_label</t>
        </is>
      </c>
      <c r="P6" s="18" t="inlineStr">
        <is>
          <t>已确认(补记2026-09-27)</t>
        </is>
      </c>
      <c r="Q6" s="18" t="inlineStr">
        <is>
          <t>待用户确认</t>
        </is>
      </c>
      <c r="R6" s="18" t="inlineStr">
        <is>
          <t>lab_F02</t>
        </is>
      </c>
      <c r="S6" s="18" t="inlineStr">
        <is>
          <t>PASS 2026-09-27 v15机器回归</t>
        </is>
      </c>
      <c r="T6" s="18" t="n"/>
      <c r="U6" s="18" t="n"/>
    </row>
    <row r="7">
      <c r="A7" s="18" t="inlineStr">
        <is>
          <t>F03</t>
        </is>
      </c>
      <c r="B7" s="18" t="inlineStr">
        <is>
          <t>Edge</t>
        </is>
      </c>
      <c r="C7" s="18" t="inlineStr">
        <is>
          <t>SRC-XLS-OLD</t>
        </is>
      </c>
      <c r="D7" s="18" t="inlineStr">
        <is>
          <t>预处理</t>
        </is>
      </c>
      <c r="E7" s="18" t="inlineStr">
        <is>
          <t>M1-OP1</t>
        </is>
      </c>
      <c r="F7" s="18" t="n"/>
      <c r="G7" s="18" t="inlineStr">
        <is>
          <t>主线</t>
        </is>
      </c>
      <c r="H7" s="18" t="inlineStr">
        <is>
          <t>as_modelled</t>
        </is>
      </c>
      <c r="I7" s="18" t="inlineStr">
        <is>
          <t>是</t>
        </is>
      </c>
      <c r="J7" s="18" t="inlineStr">
        <is>
          <t>豆壳 0.2017 kg</t>
        </is>
      </c>
      <c r="K7" s="18" t="inlineStr">
        <is>
          <t>是</t>
        </is>
      </c>
      <c r="L7" s="51">
        <f>IF(模型流与公式!P7="","",模型流与公式!P7)</f>
        <v/>
      </c>
      <c r="M7" s="18">
        <f>IF(模型流与公式!Q7="","",模型流与公式!Q7)</f>
        <v/>
      </c>
      <c r="N7" s="18" t="inlineStr">
        <is>
          <t>name_value_unit</t>
        </is>
      </c>
      <c r="O7" s="18" t="inlineStr">
        <is>
          <t>output_box</t>
        </is>
      </c>
      <c r="P7" s="18" t="inlineStr">
        <is>
          <t>已确认(补记2026-09-27)</t>
        </is>
      </c>
      <c r="Q7" s="18" t="inlineStr">
        <is>
          <t>待用户确认</t>
        </is>
      </c>
      <c r="R7" s="18" t="inlineStr">
        <is>
          <t>out_F03</t>
        </is>
      </c>
      <c r="S7" s="18" t="inlineStr">
        <is>
          <t>PASS 2026-09-27 v15机器回归</t>
        </is>
      </c>
      <c r="T7" s="18" t="n"/>
      <c r="U7" s="18" t="n"/>
    </row>
    <row r="8">
      <c r="A8" s="18" t="inlineStr">
        <is>
          <t>F04</t>
        </is>
      </c>
      <c r="B8" s="18" t="inlineStr">
        <is>
          <t>Edge</t>
        </is>
      </c>
      <c r="C8" s="18" t="inlineStr">
        <is>
          <t>SRC-XLS-OLD</t>
        </is>
      </c>
      <c r="D8" s="18" t="inlineStr">
        <is>
          <t>预处理</t>
        </is>
      </c>
      <c r="E8" s="18" t="n"/>
      <c r="F8" s="18" t="inlineStr">
        <is>
          <t>M1</t>
        </is>
      </c>
      <c r="G8" s="18" t="inlineStr">
        <is>
          <t>主线</t>
        </is>
      </c>
      <c r="H8" s="18" t="inlineStr">
        <is>
          <t>as_modelled</t>
        </is>
      </c>
      <c r="I8" s="18" t="inlineStr">
        <is>
          <t>是</t>
        </is>
      </c>
      <c r="J8" s="18" t="inlineStr">
        <is>
          <t>电力 0.01639 kWh</t>
        </is>
      </c>
      <c r="K8" s="18" t="inlineStr">
        <is>
          <t>是</t>
        </is>
      </c>
      <c r="L8" s="51">
        <f>IF(模型流与公式!P8="","",模型流与公式!P8)</f>
        <v/>
      </c>
      <c r="M8" s="18">
        <f>IF(模型流与公式!Q8="","",模型流与公式!Q8)</f>
        <v/>
      </c>
      <c r="N8" s="18" t="inlineStr">
        <is>
          <t>value_unit</t>
        </is>
      </c>
      <c r="O8" s="18" t="inlineStr">
        <is>
          <t>module_energy</t>
        </is>
      </c>
      <c r="P8" s="18" t="inlineStr">
        <is>
          <t>已确认(补记2026-09-27)</t>
        </is>
      </c>
      <c r="Q8" s="18" t="inlineStr">
        <is>
          <t>待用户确认</t>
        </is>
      </c>
      <c r="R8" s="18" t="inlineStr">
        <is>
          <t>energy_M1_e</t>
        </is>
      </c>
      <c r="S8" s="18" t="inlineStr">
        <is>
          <t>PASS 2026-09-27 v15机器回归</t>
        </is>
      </c>
      <c r="T8" s="18" t="n"/>
      <c r="U8" s="18" t="n"/>
    </row>
    <row r="9">
      <c r="A9" s="18" t="inlineStr">
        <is>
          <t>F05</t>
        </is>
      </c>
      <c r="B9" s="18" t="inlineStr">
        <is>
          <t>Edge</t>
        </is>
      </c>
      <c r="C9" s="18" t="inlineStr">
        <is>
          <t>SRC-XLS-OLD</t>
        </is>
      </c>
      <c r="D9" s="18" t="inlineStr">
        <is>
          <t>预处理</t>
        </is>
      </c>
      <c r="E9" s="18" t="n"/>
      <c r="F9" s="18" t="inlineStr">
        <is>
          <t>M2</t>
        </is>
      </c>
      <c r="G9" s="18" t="inlineStr">
        <is>
          <t>主线</t>
        </is>
      </c>
      <c r="H9" s="18" t="inlineStr">
        <is>
          <t>as_modelled</t>
        </is>
      </c>
      <c r="I9" s="18" t="inlineStr">
        <is>
          <t>是</t>
        </is>
      </c>
      <c r="J9" s="18" t="inlineStr">
        <is>
          <t>工艺水 0.6251 kg</t>
        </is>
      </c>
      <c r="K9" s="18" t="inlineStr">
        <is>
          <t>是</t>
        </is>
      </c>
      <c r="L9" s="51">
        <f>IF(模型流与公式!P9="","",模型流与公式!P9)</f>
        <v/>
      </c>
      <c r="M9" s="18">
        <f>IF(模型流与公式!Q9="","",模型流与公式!Q9)</f>
        <v/>
      </c>
      <c r="N9" s="18" t="inlineStr">
        <is>
          <t>name_value_unit</t>
        </is>
      </c>
      <c r="O9" s="18" t="inlineStr">
        <is>
          <t>module_box</t>
        </is>
      </c>
      <c r="P9" s="18" t="inlineStr">
        <is>
          <t>已确认(补记2026-09-27)</t>
        </is>
      </c>
      <c r="Q9" s="18" t="inlineStr">
        <is>
          <t>待用户确认</t>
        </is>
      </c>
      <c r="R9" s="18" t="inlineStr">
        <is>
          <t>ext_F05</t>
        </is>
      </c>
      <c r="S9" s="18" t="inlineStr">
        <is>
          <t>PASS 2026-09-27 v15机器回归</t>
        </is>
      </c>
      <c r="T9" s="18" t="n"/>
      <c r="U9" s="18" t="n"/>
    </row>
    <row r="10">
      <c r="A10" s="18" t="inlineStr">
        <is>
          <t>F06</t>
        </is>
      </c>
      <c r="B10" s="18" t="inlineStr">
        <is>
          <t>Edge</t>
        </is>
      </c>
      <c r="C10" s="18" t="inlineStr">
        <is>
          <t>SRC-XLS-OLD</t>
        </is>
      </c>
      <c r="D10" s="18" t="inlineStr">
        <is>
          <t>预处理</t>
        </is>
      </c>
      <c r="E10" s="18" t="n"/>
      <c r="F10" s="18" t="inlineStr">
        <is>
          <t>M2-OP3</t>
        </is>
      </c>
      <c r="G10" s="18" t="inlineStr">
        <is>
          <t>主线</t>
        </is>
      </c>
      <c r="H10" s="18" t="inlineStr">
        <is>
          <t>as_modelled</t>
        </is>
      </c>
      <c r="I10" s="18" t="inlineStr">
        <is>
          <t>是</t>
        </is>
      </c>
      <c r="J10" s="18" t="inlineStr">
        <is>
          <t>新鲜正己烷 0.002728 kg</t>
        </is>
      </c>
      <c r="K10" s="18" t="inlineStr">
        <is>
          <t>是</t>
        </is>
      </c>
      <c r="L10" s="51">
        <f>IF(模型流与公式!P10="","",模型流与公式!P10)</f>
        <v/>
      </c>
      <c r="M10" s="18">
        <f>IF(模型流与公式!Q10="","",模型流与公式!Q10)</f>
        <v/>
      </c>
      <c r="N10" s="18" t="inlineStr">
        <is>
          <t>name_value_unit</t>
        </is>
      </c>
      <c r="O10" s="18" t="inlineStr">
        <is>
          <t>input_box</t>
        </is>
      </c>
      <c r="P10" s="18" t="inlineStr">
        <is>
          <t>已确认(补记2026-09-27)</t>
        </is>
      </c>
      <c r="Q10" s="18" t="inlineStr">
        <is>
          <t>待用户确认</t>
        </is>
      </c>
      <c r="R10" s="18" t="inlineStr">
        <is>
          <t>ext_F06</t>
        </is>
      </c>
      <c r="S10" s="18" t="inlineStr">
        <is>
          <t>PASS 2026-09-27 v15机器回归</t>
        </is>
      </c>
      <c r="T10" s="18" t="n"/>
      <c r="U10" s="18" t="n"/>
    </row>
    <row r="11">
      <c r="A11" s="18" t="inlineStr">
        <is>
          <t>F07</t>
        </is>
      </c>
      <c r="B11" s="18" t="inlineStr">
        <is>
          <t>Edge</t>
        </is>
      </c>
      <c r="C11" s="18" t="inlineStr">
        <is>
          <t>SRC-XLS-OLD</t>
        </is>
      </c>
      <c r="D11" s="18" t="inlineStr">
        <is>
          <t>预处理</t>
        </is>
      </c>
      <c r="E11" s="18" t="n"/>
      <c r="F11" s="18" t="inlineStr">
        <is>
          <t>M2</t>
        </is>
      </c>
      <c r="G11" s="18" t="inlineStr">
        <is>
          <t>主线</t>
        </is>
      </c>
      <c r="H11" s="18" t="inlineStr">
        <is>
          <t>as_modelled</t>
        </is>
      </c>
      <c r="I11" s="18" t="inlineStr">
        <is>
          <t>是</t>
        </is>
      </c>
      <c r="J11" s="18" t="inlineStr">
        <is>
          <t>电力 0.07885 kWh</t>
        </is>
      </c>
      <c r="K11" s="18" t="inlineStr">
        <is>
          <t>是</t>
        </is>
      </c>
      <c r="L11" s="51">
        <f>IF(模型流与公式!P11="","",模型流与公式!P11)</f>
        <v/>
      </c>
      <c r="M11" s="18">
        <f>IF(模型流与公式!Q11="","",模型流与公式!Q11)</f>
        <v/>
      </c>
      <c r="N11" s="18" t="inlineStr">
        <is>
          <t>value_unit</t>
        </is>
      </c>
      <c r="O11" s="18" t="inlineStr">
        <is>
          <t>module_energy</t>
        </is>
      </c>
      <c r="P11" s="18" t="inlineStr">
        <is>
          <t>已确认(补记2026-09-27)</t>
        </is>
      </c>
      <c r="Q11" s="18" t="inlineStr">
        <is>
          <t>待用户确认</t>
        </is>
      </c>
      <c r="R11" s="18" t="inlineStr">
        <is>
          <t>energy_M2_e</t>
        </is>
      </c>
      <c r="S11" s="18" t="inlineStr">
        <is>
          <t>PASS 2026-09-27 v15机器回归</t>
        </is>
      </c>
      <c r="T11" s="18" t="n"/>
      <c r="U11" s="18" t="n"/>
    </row>
    <row r="12">
      <c r="A12" s="18" t="inlineStr">
        <is>
          <t>F08</t>
        </is>
      </c>
      <c r="B12" s="18" t="inlineStr">
        <is>
          <t>Edge</t>
        </is>
      </c>
      <c r="C12" s="18" t="inlineStr">
        <is>
          <t>SRC-XLS-OLD</t>
        </is>
      </c>
      <c r="D12" s="18" t="inlineStr">
        <is>
          <t>预处理</t>
        </is>
      </c>
      <c r="E12" s="18" t="n"/>
      <c r="F12" s="18" t="inlineStr">
        <is>
          <t>M2</t>
        </is>
      </c>
      <c r="G12" s="18" t="inlineStr">
        <is>
          <t>主线</t>
        </is>
      </c>
      <c r="H12" s="18" t="inlineStr">
        <is>
          <t>as_modelled</t>
        </is>
      </c>
      <c r="I12" s="18" t="inlineStr">
        <is>
          <t>是</t>
        </is>
      </c>
      <c r="J12" s="18" t="inlineStr">
        <is>
          <t>热 1.88975 MJ</t>
        </is>
      </c>
      <c r="K12" s="18" t="inlineStr">
        <is>
          <t>是</t>
        </is>
      </c>
      <c r="L12" s="51">
        <f>IF(模型流与公式!P12="","",模型流与公式!P12)</f>
        <v/>
      </c>
      <c r="M12" s="18">
        <f>IF(模型流与公式!Q12="","",模型流与公式!Q12)</f>
        <v/>
      </c>
      <c r="N12" s="18" t="inlineStr">
        <is>
          <t>value_unit</t>
        </is>
      </c>
      <c r="O12" s="18" t="inlineStr">
        <is>
          <t>module_energy</t>
        </is>
      </c>
      <c r="P12" s="18" t="inlineStr">
        <is>
          <t>已确认(补记2026-09-27)</t>
        </is>
      </c>
      <c r="Q12" s="18" t="inlineStr">
        <is>
          <t>待用户确认</t>
        </is>
      </c>
      <c r="R12" s="18" t="inlineStr">
        <is>
          <t>energy_M2_h</t>
        </is>
      </c>
      <c r="S12" s="18" t="inlineStr">
        <is>
          <t>PASS 2026-09-27 v15机器回归</t>
        </is>
      </c>
      <c r="T12" s="18" t="n"/>
      <c r="U12" s="18" t="n"/>
    </row>
    <row r="13">
      <c r="A13" s="18" t="inlineStr">
        <is>
          <t>F09</t>
        </is>
      </c>
      <c r="B13" s="18" t="inlineStr">
        <is>
          <t>Edge</t>
        </is>
      </c>
      <c r="C13" s="18" t="inlineStr">
        <is>
          <t>SRC-XLS-OLD</t>
        </is>
      </c>
      <c r="D13" s="18" t="inlineStr">
        <is>
          <t>预处理</t>
        </is>
      </c>
      <c r="E13" s="18" t="inlineStr">
        <is>
          <t>M2-OP4</t>
        </is>
      </c>
      <c r="F13" s="18" t="inlineStr">
        <is>
          <t>M3-OP1</t>
        </is>
      </c>
      <c r="G13" s="18" t="inlineStr">
        <is>
          <t>主线</t>
        </is>
      </c>
      <c r="H13" s="18" t="inlineStr">
        <is>
          <t>as_modelled</t>
        </is>
      </c>
      <c r="I13" s="18" t="inlineStr">
        <is>
          <t>是</t>
        </is>
      </c>
      <c r="J13" s="18" t="inlineStr">
        <is>
          <t>白豆片 1.9852 kg 干物质 88%</t>
        </is>
      </c>
      <c r="K13" s="18" t="inlineStr">
        <is>
          <t>是</t>
        </is>
      </c>
      <c r="L13" s="51">
        <f>IF(模型流与公式!P13="","",模型流与公式!P13)</f>
        <v/>
      </c>
      <c r="M13" s="18">
        <f>IF(模型流与公式!Q13="","",模型流与公式!Q13)</f>
        <v/>
      </c>
      <c r="N13" s="18" t="inlineStr">
        <is>
          <t>name_value_unit</t>
        </is>
      </c>
      <c r="O13" s="18" t="inlineStr">
        <is>
          <t>link_label</t>
        </is>
      </c>
      <c r="P13" s="18" t="inlineStr">
        <is>
          <t>已确认(补记2026-09-27)</t>
        </is>
      </c>
      <c r="Q13" s="18" t="inlineStr">
        <is>
          <t>待用户确认</t>
        </is>
      </c>
      <c r="R13" s="18" t="inlineStr">
        <is>
          <t>lab_F09</t>
        </is>
      </c>
      <c r="S13" s="18" t="inlineStr">
        <is>
          <t>PASS 2026-09-27 v15机器回归</t>
        </is>
      </c>
      <c r="T13" s="18" t="n"/>
      <c r="U13" s="18" t="n"/>
    </row>
    <row r="14">
      <c r="A14" s="18" t="inlineStr">
        <is>
          <t>F10</t>
        </is>
      </c>
      <c r="B14" s="18" t="inlineStr">
        <is>
          <t>Edge</t>
        </is>
      </c>
      <c r="C14" s="18" t="inlineStr">
        <is>
          <t>SRC-XLS-OLD</t>
        </is>
      </c>
      <c r="D14" s="18" t="inlineStr">
        <is>
          <t>预处理</t>
        </is>
      </c>
      <c r="E14" s="18" t="inlineStr">
        <is>
          <t>M2-OP3</t>
        </is>
      </c>
      <c r="F14" s="18" t="n"/>
      <c r="G14" s="18" t="inlineStr">
        <is>
          <t>主线</t>
        </is>
      </c>
      <c r="H14" s="18" t="inlineStr">
        <is>
          <t>as_modelled</t>
        </is>
      </c>
      <c r="I14" s="18" t="inlineStr">
        <is>
          <t>是</t>
        </is>
      </c>
      <c r="J14" s="18" t="inlineStr">
        <is>
          <t>豆油 0.4764 kg</t>
        </is>
      </c>
      <c r="K14" s="18" t="inlineStr">
        <is>
          <t>是</t>
        </is>
      </c>
      <c r="L14" s="51">
        <f>IF(模型流与公式!P14="","",模型流与公式!P14)</f>
        <v/>
      </c>
      <c r="M14" s="18">
        <f>IF(模型流与公式!Q14="","",模型流与公式!Q14)</f>
        <v/>
      </c>
      <c r="N14" s="18" t="inlineStr">
        <is>
          <t>name_value_unit</t>
        </is>
      </c>
      <c r="O14" s="18" t="inlineStr">
        <is>
          <t>output_box</t>
        </is>
      </c>
      <c r="P14" s="18" t="inlineStr">
        <is>
          <t>已确认(补记2026-09-27)</t>
        </is>
      </c>
      <c r="Q14" s="18" t="inlineStr">
        <is>
          <t>待用户确认</t>
        </is>
      </c>
      <c r="R14" s="18" t="inlineStr">
        <is>
          <t>out_F10</t>
        </is>
      </c>
      <c r="S14" s="18" t="inlineStr">
        <is>
          <t>PASS 2026-09-27 v15机器回归</t>
        </is>
      </c>
      <c r="T14" s="18" t="n"/>
      <c r="U14" s="18" t="n"/>
    </row>
    <row r="15">
      <c r="A15" s="18" t="inlineStr">
        <is>
          <t>F11</t>
        </is>
      </c>
      <c r="B15" s="18" t="inlineStr">
        <is>
          <t>Edge</t>
        </is>
      </c>
      <c r="C15" s="18" t="inlineStr">
        <is>
          <t>SRC-XLS-OLD</t>
        </is>
      </c>
      <c r="D15" s="18" t="inlineStr">
        <is>
          <t>预处理</t>
        </is>
      </c>
      <c r="E15" s="18" t="inlineStr">
        <is>
          <t>M2</t>
        </is>
      </c>
      <c r="F15" s="18" t="n"/>
      <c r="G15" s="18" t="inlineStr">
        <is>
          <t>主线</t>
        </is>
      </c>
      <c r="H15" s="18" t="inlineStr">
        <is>
          <t>as_modelled</t>
        </is>
      </c>
      <c r="I15" s="18" t="inlineStr">
        <is>
          <t>是</t>
        </is>
      </c>
      <c r="J15" s="18" t="inlineStr">
        <is>
          <t>工艺废水 0.6251 kg</t>
        </is>
      </c>
      <c r="K15" s="18" t="inlineStr">
        <is>
          <t>是</t>
        </is>
      </c>
      <c r="L15" s="51">
        <f>IF(模型流与公式!P15="","",模型流与公式!P15)</f>
        <v/>
      </c>
      <c r="M15" s="18">
        <f>IF(模型流与公式!Q15="","",模型流与公式!Q15)</f>
        <v/>
      </c>
      <c r="N15" s="18" t="inlineStr">
        <is>
          <t>name_value_unit</t>
        </is>
      </c>
      <c r="O15" s="18" t="inlineStr">
        <is>
          <t>module_box</t>
        </is>
      </c>
      <c r="P15" s="18" t="inlineStr">
        <is>
          <t>已确认(补记2026-09-27)</t>
        </is>
      </c>
      <c r="Q15" s="18" t="inlineStr">
        <is>
          <t>待用户确认</t>
        </is>
      </c>
      <c r="R15" s="18" t="inlineStr">
        <is>
          <t>out_F11</t>
        </is>
      </c>
      <c r="S15" s="18" t="inlineStr">
        <is>
          <t>PASS 2026-09-27 v15机器回归</t>
        </is>
      </c>
      <c r="T15" s="18" t="n"/>
      <c r="U15" s="18" t="n"/>
    </row>
    <row r="16">
      <c r="A16" s="18" t="inlineStr">
        <is>
          <t>F12</t>
        </is>
      </c>
      <c r="B16" s="18" t="inlineStr">
        <is>
          <t>Edge</t>
        </is>
      </c>
      <c r="C16" s="18" t="inlineStr">
        <is>
          <t>SRC-XLS-OLD</t>
        </is>
      </c>
      <c r="D16" s="18" t="inlineStr">
        <is>
          <t>预处理</t>
        </is>
      </c>
      <c r="E16" s="18" t="inlineStr">
        <is>
          <t>M2-OP3</t>
        </is>
      </c>
      <c r="F16" s="18" t="n"/>
      <c r="G16" s="18" t="inlineStr">
        <is>
          <t>主线</t>
        </is>
      </c>
      <c r="H16" s="18" t="inlineStr">
        <is>
          <t>as_modelled</t>
        </is>
      </c>
      <c r="I16" s="18" t="inlineStr">
        <is>
          <t>是</t>
        </is>
      </c>
      <c r="J16" s="18" t="inlineStr">
        <is>
          <t>正己烷排放 0.002728 kg</t>
        </is>
      </c>
      <c r="K16" s="18" t="inlineStr">
        <is>
          <t>是</t>
        </is>
      </c>
      <c r="L16" s="51">
        <f>IF(模型流与公式!P16="","",模型流与公式!P16)</f>
        <v/>
      </c>
      <c r="M16" s="18">
        <f>IF(模型流与公式!Q16="","",模型流与公式!Q16)</f>
        <v/>
      </c>
      <c r="N16" s="18" t="inlineStr">
        <is>
          <t>name_value_unit</t>
        </is>
      </c>
      <c r="O16" s="18" t="inlineStr">
        <is>
          <t>output_box</t>
        </is>
      </c>
      <c r="P16" s="18" t="inlineStr">
        <is>
          <t>已确认(补记2026-09-27)</t>
        </is>
      </c>
      <c r="Q16" s="18" t="inlineStr">
        <is>
          <t>待用户确认</t>
        </is>
      </c>
      <c r="R16" s="18" t="inlineStr">
        <is>
          <t>out_F12</t>
        </is>
      </c>
      <c r="S16" s="18" t="inlineStr">
        <is>
          <t>PASS 2026-09-27 v15机器回归</t>
        </is>
      </c>
      <c r="T16" s="18" t="n"/>
      <c r="U16" s="18" t="n"/>
    </row>
    <row r="17">
      <c r="A17" s="18" t="inlineStr">
        <is>
          <t>F13</t>
        </is>
      </c>
      <c r="B17" s="18" t="inlineStr">
        <is>
          <t>Edge</t>
        </is>
      </c>
      <c r="C17" s="18" t="inlineStr">
        <is>
          <t>SRC-XLS-OLD</t>
        </is>
      </c>
      <c r="D17" s="18" t="inlineStr">
        <is>
          <t>蛋白分离</t>
        </is>
      </c>
      <c r="E17" s="18" t="n"/>
      <c r="F17" s="18" t="inlineStr">
        <is>
          <t>M3</t>
        </is>
      </c>
      <c r="G17" s="18" t="inlineStr">
        <is>
          <t>主线</t>
        </is>
      </c>
      <c r="H17" s="18" t="inlineStr">
        <is>
          <t>as_modelled</t>
        </is>
      </c>
      <c r="I17" s="18" t="inlineStr">
        <is>
          <t>否</t>
        </is>
      </c>
      <c r="J17" s="18" t="inlineStr">
        <is>
          <t>（工艺投水，不进 LCI 图面）</t>
        </is>
      </c>
      <c r="K17" s="18" t="inlineStr">
        <is>
          <t>否</t>
        </is>
      </c>
      <c r="L17" s="51">
        <f>IF(模型流与公式!P17="","",模型流与公式!P17)</f>
        <v/>
      </c>
      <c r="M17" s="18">
        <f>IF(模型流与公式!Q17="","",模型流与公式!Q17)</f>
        <v/>
      </c>
      <c r="N17" s="18" t="inlineStr">
        <is>
          <t>none</t>
        </is>
      </c>
      <c r="O17" s="18" t="inlineStr">
        <is>
          <t>omit</t>
        </is>
      </c>
      <c r="P17" s="18" t="inlineStr">
        <is>
          <t>已确认(补记2026-09-27)</t>
        </is>
      </c>
      <c r="Q17" s="18" t="inlineStr">
        <is>
          <t>待用户确认</t>
        </is>
      </c>
      <c r="R17" s="18" t="n"/>
      <c r="S17" s="18" t="inlineStr">
        <is>
          <t>PASS 2026-09-27 v15机器回归</t>
        </is>
      </c>
      <c r="T17" s="18" t="inlineStr">
        <is>
          <t>Q04</t>
        </is>
      </c>
      <c r="U17" s="18" t="n"/>
    </row>
    <row r="18">
      <c r="A18" s="18" t="inlineStr">
        <is>
          <t>F14</t>
        </is>
      </c>
      <c r="B18" s="18" t="inlineStr">
        <is>
          <t>Edge</t>
        </is>
      </c>
      <c r="C18" s="18" t="inlineStr">
        <is>
          <t>SRC-XLS-OLD</t>
        </is>
      </c>
      <c r="D18" s="18" t="inlineStr">
        <is>
          <t>蛋白分离</t>
        </is>
      </c>
      <c r="E18" s="18" t="n"/>
      <c r="F18" s="18" t="inlineStr">
        <is>
          <t>M3</t>
        </is>
      </c>
      <c r="G18" s="18" t="inlineStr">
        <is>
          <t>主线</t>
        </is>
      </c>
      <c r="H18" s="18" t="inlineStr">
        <is>
          <t>as_modelled</t>
        </is>
      </c>
      <c r="I18" s="18" t="inlineStr">
        <is>
          <t>否</t>
        </is>
      </c>
      <c r="J18" s="18" t="inlineStr">
        <is>
          <t>（工艺投水，不进 LCI 图面）</t>
        </is>
      </c>
      <c r="K18" s="18" t="inlineStr">
        <is>
          <t>否</t>
        </is>
      </c>
      <c r="L18" s="51">
        <f>IF(模型流与公式!P18="","",模型流与公式!P18)</f>
        <v/>
      </c>
      <c r="M18" s="18">
        <f>IF(模型流与公式!Q18="","",模型流与公式!Q18)</f>
        <v/>
      </c>
      <c r="N18" s="18" t="inlineStr">
        <is>
          <t>none</t>
        </is>
      </c>
      <c r="O18" s="18" t="inlineStr">
        <is>
          <t>omit</t>
        </is>
      </c>
      <c r="P18" s="18" t="inlineStr">
        <is>
          <t>已确认(补记2026-09-27)</t>
        </is>
      </c>
      <c r="Q18" s="18" t="inlineStr">
        <is>
          <t>待用户确认</t>
        </is>
      </c>
      <c r="R18" s="18" t="n"/>
      <c r="S18" s="18" t="inlineStr">
        <is>
          <t>PASS 2026-09-27 v15机器回归</t>
        </is>
      </c>
      <c r="T18" s="18" t="inlineStr">
        <is>
          <t>Q04</t>
        </is>
      </c>
      <c r="U18" s="18" t="n"/>
    </row>
    <row r="19">
      <c r="A19" s="18" t="inlineStr">
        <is>
          <t>F15</t>
        </is>
      </c>
      <c r="B19" s="18" t="inlineStr">
        <is>
          <t>Edge</t>
        </is>
      </c>
      <c r="C19" s="18" t="inlineStr">
        <is>
          <t>SRC-XLS-OLD</t>
        </is>
      </c>
      <c r="D19" s="18" t="inlineStr">
        <is>
          <t>蛋白分离</t>
        </is>
      </c>
      <c r="E19" s="18" t="n"/>
      <c r="F19" s="18" t="inlineStr">
        <is>
          <t>M3-OP1</t>
        </is>
      </c>
      <c r="G19" s="18" t="inlineStr">
        <is>
          <t>主线</t>
        </is>
      </c>
      <c r="H19" s="18" t="inlineStr">
        <is>
          <t>as_modelled</t>
        </is>
      </c>
      <c r="I19" s="18" t="inlineStr">
        <is>
          <t>是</t>
        </is>
      </c>
      <c r="J19" s="18" t="inlineStr">
        <is>
          <t>NaOH 10% 溶液 0.1241 L*</t>
        </is>
      </c>
      <c r="K19" s="18" t="inlineStr">
        <is>
          <t>是</t>
        </is>
      </c>
      <c r="L19" s="51">
        <f>IF(模型流与公式!P19="","",模型流与公式!P19)</f>
        <v/>
      </c>
      <c r="M19" s="18">
        <f>IF(模型流与公式!Q19="","",模型流与公式!Q19)</f>
        <v/>
      </c>
      <c r="N19" s="18" t="inlineStr">
        <is>
          <t>name_value_unit</t>
        </is>
      </c>
      <c r="O19" s="18" t="inlineStr">
        <is>
          <t>input_box</t>
        </is>
      </c>
      <c r="P19" s="18" t="inlineStr">
        <is>
          <t>已确认(补记2026-09-27)</t>
        </is>
      </c>
      <c r="Q19" s="18" t="inlineStr">
        <is>
          <t>待用户确认</t>
        </is>
      </c>
      <c r="R19" s="18" t="inlineStr">
        <is>
          <t>ext_F15</t>
        </is>
      </c>
      <c r="S19" s="18" t="inlineStr">
        <is>
          <t>PASS 2026-09-27 v15机器回归</t>
        </is>
      </c>
      <c r="T19" s="18" t="inlineStr">
        <is>
          <t>Q05</t>
        </is>
      </c>
      <c r="U19" s="18" t="n"/>
    </row>
    <row r="20">
      <c r="A20" s="18" t="inlineStr">
        <is>
          <t>F16</t>
        </is>
      </c>
      <c r="B20" s="18" t="inlineStr">
        <is>
          <t>Edge</t>
        </is>
      </c>
      <c r="C20" s="18" t="inlineStr">
        <is>
          <t>SRC-XLS-OLD</t>
        </is>
      </c>
      <c r="D20" s="18" t="inlineStr">
        <is>
          <t>蛋白分离</t>
        </is>
      </c>
      <c r="E20" s="18" t="n"/>
      <c r="F20" s="18" t="inlineStr">
        <is>
          <t>M3-OP3</t>
        </is>
      </c>
      <c r="G20" s="18" t="inlineStr">
        <is>
          <t>主线</t>
        </is>
      </c>
      <c r="H20" s="18" t="inlineStr">
        <is>
          <t>as_modelled</t>
        </is>
      </c>
      <c r="I20" s="18" t="inlineStr">
        <is>
          <t>是</t>
        </is>
      </c>
      <c r="J20" s="18" t="inlineStr">
        <is>
          <t>HCl 10% 溶液 0.1737 L*</t>
        </is>
      </c>
      <c r="K20" s="18" t="inlineStr">
        <is>
          <t>是</t>
        </is>
      </c>
      <c r="L20" s="51">
        <f>IF(模型流与公式!P20="","",模型流与公式!P20)</f>
        <v/>
      </c>
      <c r="M20" s="18">
        <f>IF(模型流与公式!Q20="","",模型流与公式!Q20)</f>
        <v/>
      </c>
      <c r="N20" s="18" t="inlineStr">
        <is>
          <t>name_value_unit</t>
        </is>
      </c>
      <c r="O20" s="18" t="inlineStr">
        <is>
          <t>input_box</t>
        </is>
      </c>
      <c r="P20" s="18" t="inlineStr">
        <is>
          <t>已确认(补记2026-09-27)</t>
        </is>
      </c>
      <c r="Q20" s="18" t="inlineStr">
        <is>
          <t>待用户确认</t>
        </is>
      </c>
      <c r="R20" s="18" t="inlineStr">
        <is>
          <t>ext_F16</t>
        </is>
      </c>
      <c r="S20" s="18" t="inlineStr">
        <is>
          <t>PASS 2026-09-27 v15机器回归</t>
        </is>
      </c>
      <c r="T20" s="18" t="inlineStr">
        <is>
          <t>Q05</t>
        </is>
      </c>
      <c r="U20" s="18" t="n"/>
    </row>
    <row r="21">
      <c r="A21" s="18" t="inlineStr">
        <is>
          <t>F17</t>
        </is>
      </c>
      <c r="B21" s="18" t="inlineStr">
        <is>
          <t>Edge</t>
        </is>
      </c>
      <c r="C21" s="18" t="inlineStr">
        <is>
          <t>SRC-CLCA-AUDIT</t>
        </is>
      </c>
      <c r="D21" s="18" t="inlineStr">
        <is>
          <t>蛋白分离</t>
        </is>
      </c>
      <c r="E21" s="18" t="n"/>
      <c r="F21" s="18" t="inlineStr">
        <is>
          <t>M3</t>
        </is>
      </c>
      <c r="G21" s="18" t="inlineStr">
        <is>
          <t>主线</t>
        </is>
      </c>
      <c r="H21" s="18" t="inlineStr">
        <is>
          <t>as_modelled</t>
        </is>
      </c>
      <c r="I21" s="18" t="inlineStr">
        <is>
          <t>是</t>
        </is>
      </c>
      <c r="J21" s="18" t="inlineStr">
        <is>
          <t>电力 0.06300 kWh</t>
        </is>
      </c>
      <c r="K21" s="18" t="inlineStr">
        <is>
          <t>是</t>
        </is>
      </c>
      <c r="L21" s="51">
        <f>IF(模型流与公式!P21="","",模型流与公式!P21)</f>
        <v/>
      </c>
      <c r="M21" s="18">
        <f>IF(模型流与公式!Q21="","",模型流与公式!Q21)</f>
        <v/>
      </c>
      <c r="N21" s="18" t="inlineStr">
        <is>
          <t>value_unit</t>
        </is>
      </c>
      <c r="O21" s="18" t="inlineStr">
        <is>
          <t>module_energy</t>
        </is>
      </c>
      <c r="P21" s="18" t="inlineStr">
        <is>
          <t>已确认(补记2026-09-27)</t>
        </is>
      </c>
      <c r="Q21" s="18" t="inlineStr">
        <is>
          <t>待用户确认</t>
        </is>
      </c>
      <c r="R21" s="18" t="inlineStr">
        <is>
          <t>energy_M3_e</t>
        </is>
      </c>
      <c r="S21" s="18" t="inlineStr">
        <is>
          <t>PASS 2026-09-27 v15机器回归</t>
        </is>
      </c>
      <c r="T21" s="18" t="inlineStr">
        <is>
          <t>Q01</t>
        </is>
      </c>
      <c r="U21" s="18" t="inlineStr">
        <is>
          <t>含泵送 0.0082（×1.15）</t>
        </is>
      </c>
    </row>
    <row r="22">
      <c r="A22" s="18" t="inlineStr">
        <is>
          <t>F18</t>
        </is>
      </c>
      <c r="B22" s="18" t="inlineStr">
        <is>
          <t>Edge</t>
        </is>
      </c>
      <c r="C22" s="18" t="inlineStr">
        <is>
          <t>SRC-XLS-OLD</t>
        </is>
      </c>
      <c r="D22" s="18" t="inlineStr">
        <is>
          <t>蛋白分离</t>
        </is>
      </c>
      <c r="E22" s="18" t="n"/>
      <c r="F22" s="18" t="inlineStr">
        <is>
          <t>M3</t>
        </is>
      </c>
      <c r="G22" s="18" t="inlineStr">
        <is>
          <t>主线</t>
        </is>
      </c>
      <c r="H22" s="18" t="inlineStr">
        <is>
          <t>as_modelled</t>
        </is>
      </c>
      <c r="I22" s="18" t="inlineStr">
        <is>
          <t>是</t>
        </is>
      </c>
      <c r="J22" s="18" t="inlineStr">
        <is>
          <t>热 27.5008 MJ</t>
        </is>
      </c>
      <c r="K22" s="18" t="inlineStr">
        <is>
          <t>是</t>
        </is>
      </c>
      <c r="L22" s="51">
        <f>IF(模型流与公式!P22="","",模型流与公式!P22)</f>
        <v/>
      </c>
      <c r="M22" s="18">
        <f>IF(模型流与公式!Q22="","",模型流与公式!Q22)</f>
        <v/>
      </c>
      <c r="N22" s="18" t="inlineStr">
        <is>
          <t>value_unit</t>
        </is>
      </c>
      <c r="O22" s="18" t="inlineStr">
        <is>
          <t>module_energy</t>
        </is>
      </c>
      <c r="P22" s="18" t="inlineStr">
        <is>
          <t>已确认(补记2026-09-27)</t>
        </is>
      </c>
      <c r="Q22" s="18" t="inlineStr">
        <is>
          <t>待用户确认</t>
        </is>
      </c>
      <c r="R22" s="18" t="inlineStr">
        <is>
          <t>energy_M3_h</t>
        </is>
      </c>
      <c r="S22" s="18" t="inlineStr">
        <is>
          <t>PASS 2026-09-27 v15机器回归</t>
        </is>
      </c>
      <c r="T22" s="18" t="n"/>
      <c r="U22" s="18" t="n"/>
    </row>
    <row r="23">
      <c r="A23" s="18" t="inlineStr">
        <is>
          <t>F19</t>
        </is>
      </c>
      <c r="B23" s="18" t="inlineStr">
        <is>
          <t>Edge</t>
        </is>
      </c>
      <c r="C23" s="18" t="inlineStr">
        <is>
          <t>SRC-PDF</t>
        </is>
      </c>
      <c r="D23" s="18" t="inlineStr">
        <is>
          <t>蛋白分离</t>
        </is>
      </c>
      <c r="E23" s="18" t="inlineStr">
        <is>
          <t>M3-OP8</t>
        </is>
      </c>
      <c r="F23" s="18" t="n"/>
      <c r="G23" s="18" t="inlineStr">
        <is>
          <t>主线</t>
        </is>
      </c>
      <c r="H23" s="18" t="inlineStr">
        <is>
          <t>as_modelled</t>
        </is>
      </c>
      <c r="I23" s="18" t="inlineStr">
        <is>
          <t>是</t>
        </is>
      </c>
      <c r="J23" s="18" t="inlineStr">
        <is>
          <t>大豆分离蛋白（SPI）1.0000 kg 干物质 95%</t>
        </is>
      </c>
      <c r="K23" s="18" t="inlineStr">
        <is>
          <t>是</t>
        </is>
      </c>
      <c r="L23" s="51">
        <f>IF(模型流与公式!P23="","",模型流与公式!P23)</f>
        <v/>
      </c>
      <c r="M23" s="18">
        <f>IF(模型流与公式!Q23="","",模型流与公式!Q23)</f>
        <v/>
      </c>
      <c r="N23" s="18" t="inlineStr">
        <is>
          <t>name_value_unit</t>
        </is>
      </c>
      <c r="O23" s="18" t="inlineStr">
        <is>
          <t>output_box</t>
        </is>
      </c>
      <c r="P23" s="18" t="inlineStr">
        <is>
          <t>已确认(补记2026-09-27)</t>
        </is>
      </c>
      <c r="Q23" s="18" t="inlineStr">
        <is>
          <t>待用户确认</t>
        </is>
      </c>
      <c r="R23" s="18" t="inlineStr">
        <is>
          <t>out_F19</t>
        </is>
      </c>
      <c r="S23" s="18" t="inlineStr">
        <is>
          <t>PASS 2026-09-27 v15机器回归</t>
        </is>
      </c>
      <c r="T23" s="18" t="n"/>
      <c r="U23" s="18" t="n"/>
    </row>
    <row r="24">
      <c r="A24" s="18" t="inlineStr">
        <is>
          <t>F20</t>
        </is>
      </c>
      <c r="B24" s="18" t="inlineStr">
        <is>
          <t>Edge</t>
        </is>
      </c>
      <c r="C24" s="18" t="inlineStr">
        <is>
          <t>SRC-XLS-OLD</t>
        </is>
      </c>
      <c r="D24" s="18" t="inlineStr">
        <is>
          <t>蛋白分离</t>
        </is>
      </c>
      <c r="E24" s="18" t="inlineStr">
        <is>
          <t>M3-OP7</t>
        </is>
      </c>
      <c r="F24" s="18" t="n"/>
      <c r="G24" s="18" t="inlineStr">
        <is>
          <t>支线</t>
        </is>
      </c>
      <c r="H24" s="18" t="inlineStr">
        <is>
          <t>as_modelled</t>
        </is>
      </c>
      <c r="I24" s="18" t="inlineStr">
        <is>
          <t>是</t>
        </is>
      </c>
      <c r="J24" s="18" t="inlineStr">
        <is>
          <t>提取后豆片 0.5449 kg（含水约 10%）</t>
        </is>
      </c>
      <c r="K24" s="18" t="inlineStr">
        <is>
          <t>是</t>
        </is>
      </c>
      <c r="L24" s="51">
        <f>IF(模型流与公式!P24="","",模型流与公式!P24)</f>
        <v/>
      </c>
      <c r="M24" s="18">
        <f>IF(模型流与公式!Q24="","",模型流与公式!Q24)</f>
        <v/>
      </c>
      <c r="N24" s="18" t="inlineStr">
        <is>
          <t>name_value_unit</t>
        </is>
      </c>
      <c r="O24" s="18" t="inlineStr">
        <is>
          <t>output_box</t>
        </is>
      </c>
      <c r="P24" s="18" t="inlineStr">
        <is>
          <t>已确认(补记2026-09-27)</t>
        </is>
      </c>
      <c r="Q24" s="18" t="inlineStr">
        <is>
          <t>待用户确认</t>
        </is>
      </c>
      <c r="R24" s="18" t="inlineStr">
        <is>
          <t>out_F20</t>
        </is>
      </c>
      <c r="S24" s="18" t="inlineStr">
        <is>
          <t>PASS 2026-09-27 v15机器回归</t>
        </is>
      </c>
      <c r="T24" s="18" t="n"/>
      <c r="U24" s="18" t="n"/>
    </row>
    <row r="25">
      <c r="A25" s="18" t="inlineStr">
        <is>
          <t>F21</t>
        </is>
      </c>
      <c r="B25" s="18" t="inlineStr">
        <is>
          <t>Edge</t>
        </is>
      </c>
      <c r="C25" s="18" t="inlineStr">
        <is>
          <t>SRC-XLS-OLD</t>
        </is>
      </c>
      <c r="D25" s="18" t="inlineStr">
        <is>
          <t>蛋白分离</t>
        </is>
      </c>
      <c r="E25" s="18" t="inlineStr">
        <is>
          <t>M3-OP3</t>
        </is>
      </c>
      <c r="F25" s="18" t="n"/>
      <c r="G25" s="18" t="inlineStr">
        <is>
          <t>主线</t>
        </is>
      </c>
      <c r="H25" s="18" t="inlineStr">
        <is>
          <t>as_modelled</t>
        </is>
      </c>
      <c r="I25" s="18" t="inlineStr">
        <is>
          <t>是</t>
        </is>
      </c>
      <c r="J25" s="18" t="inlineStr">
        <is>
          <t>乳清水相 11.4902 kg*</t>
        </is>
      </c>
      <c r="K25" s="18" t="inlineStr">
        <is>
          <t>是</t>
        </is>
      </c>
      <c r="L25" s="51">
        <f>IF(模型流与公式!P25="","",模型流与公式!P25)</f>
        <v/>
      </c>
      <c r="M25" s="18">
        <f>IF(模型流与公式!Q25="","",模型流与公式!Q25)</f>
        <v/>
      </c>
      <c r="N25" s="18" t="inlineStr">
        <is>
          <t>name_value_unit</t>
        </is>
      </c>
      <c r="O25" s="18" t="inlineStr">
        <is>
          <t>output_box</t>
        </is>
      </c>
      <c r="P25" s="18" t="inlineStr">
        <is>
          <t>已确认(补记2026-09-27)</t>
        </is>
      </c>
      <c r="Q25" s="18" t="inlineStr">
        <is>
          <t>待用户确认</t>
        </is>
      </c>
      <c r="R25" s="18" t="inlineStr">
        <is>
          <t>out_F21</t>
        </is>
      </c>
      <c r="S25" s="18" t="inlineStr">
        <is>
          <t>PASS 2026-09-27 v15机器回归</t>
        </is>
      </c>
      <c r="T25" s="18" t="inlineStr">
        <is>
          <t>Q03</t>
        </is>
      </c>
      <c r="U25" s="18" t="n"/>
    </row>
    <row r="26">
      <c r="A26" s="18" t="inlineStr">
        <is>
          <t>F22</t>
        </is>
      </c>
      <c r="B26" s="18" t="inlineStr">
        <is>
          <t>Edge</t>
        </is>
      </c>
      <c r="C26" s="18" t="inlineStr">
        <is>
          <t>SRC-XLS-OLD</t>
        </is>
      </c>
      <c r="D26" s="18" t="inlineStr">
        <is>
          <t>蛋白分离</t>
        </is>
      </c>
      <c r="E26" s="18" t="inlineStr">
        <is>
          <t>M3-OP8</t>
        </is>
      </c>
      <c r="F26" s="18" t="n"/>
      <c r="G26" s="18" t="inlineStr">
        <is>
          <t>主线</t>
        </is>
      </c>
      <c r="H26" s="18" t="inlineStr">
        <is>
          <t>as_modelled</t>
        </is>
      </c>
      <c r="I26" s="18" t="inlineStr">
        <is>
          <t>是</t>
        </is>
      </c>
      <c r="J26" s="18" t="inlineStr">
        <is>
          <t>蒸发水 4.9375 kg</t>
        </is>
      </c>
      <c r="K26" s="18" t="inlineStr">
        <is>
          <t>是</t>
        </is>
      </c>
      <c r="L26" s="51">
        <f>IF(模型流与公式!P26="","",模型流与公式!P26)</f>
        <v/>
      </c>
      <c r="M26" s="18">
        <f>IF(模型流与公式!Q26="","",模型流与公式!Q26)</f>
        <v/>
      </c>
      <c r="N26" s="18" t="inlineStr">
        <is>
          <t>name_value_unit</t>
        </is>
      </c>
      <c r="O26" s="18" t="inlineStr">
        <is>
          <t>output_box</t>
        </is>
      </c>
      <c r="P26" s="18" t="inlineStr">
        <is>
          <t>已确认(补记2026-09-27)</t>
        </is>
      </c>
      <c r="Q26" s="18" t="inlineStr">
        <is>
          <t>待用户确认</t>
        </is>
      </c>
      <c r="R26" s="18" t="inlineStr">
        <is>
          <t>out_F22</t>
        </is>
      </c>
      <c r="S26" s="18" t="inlineStr">
        <is>
          <t>PASS 2026-09-27 v15机器回归</t>
        </is>
      </c>
      <c r="T26" s="18" t="n"/>
      <c r="U26" s="18" t="n"/>
    </row>
    <row r="27">
      <c r="A27" s="18" t="inlineStr">
        <is>
          <t>F23</t>
        </is>
      </c>
      <c r="B27" s="18" t="inlineStr">
        <is>
          <t>Edge</t>
        </is>
      </c>
      <c r="C27" s="18" t="inlineStr">
        <is>
          <t>SRC-XLS-OLD</t>
        </is>
      </c>
      <c r="D27" s="18" t="inlineStr">
        <is>
          <t>蛋白分离</t>
        </is>
      </c>
      <c r="E27" s="18" t="inlineStr">
        <is>
          <t>M3-OP7</t>
        </is>
      </c>
      <c r="F27" s="18" t="n"/>
      <c r="G27" s="18" t="inlineStr">
        <is>
          <t>支线</t>
        </is>
      </c>
      <c r="H27" s="18" t="inlineStr">
        <is>
          <t>as_modelled</t>
        </is>
      </c>
      <c r="I27" s="18" t="inlineStr">
        <is>
          <t>是</t>
        </is>
      </c>
      <c r="J27" s="18" t="inlineStr">
        <is>
          <t>水蒸气 0.2096 kg</t>
        </is>
      </c>
      <c r="K27" s="18" t="inlineStr">
        <is>
          <t>是</t>
        </is>
      </c>
      <c r="L27" s="51">
        <f>IF(模型流与公式!P27="","",模型流与公式!P27)</f>
        <v/>
      </c>
      <c r="M27" s="18">
        <f>IF(模型流与公式!Q27="","",模型流与公式!Q27)</f>
        <v/>
      </c>
      <c r="N27" s="18" t="inlineStr">
        <is>
          <t>name_value_unit</t>
        </is>
      </c>
      <c r="O27" s="18" t="inlineStr">
        <is>
          <t>output_box</t>
        </is>
      </c>
      <c r="P27" s="18" t="inlineStr">
        <is>
          <t>已确认(补记2026-09-27)</t>
        </is>
      </c>
      <c r="Q27" s="18" t="inlineStr">
        <is>
          <t>待用户确认</t>
        </is>
      </c>
      <c r="R27" s="18" t="inlineStr">
        <is>
          <t>out_F23</t>
        </is>
      </c>
      <c r="S27" s="18" t="inlineStr">
        <is>
          <t>PASS 2026-09-27 v15机器回归</t>
        </is>
      </c>
      <c r="T27" s="18" t="n"/>
      <c r="U27" s="18" t="n"/>
    </row>
    <row r="28">
      <c r="A28" s="18" t="inlineStr">
        <is>
          <t>F24</t>
        </is>
      </c>
      <c r="B28" s="18" t="inlineStr">
        <is>
          <t>Edge</t>
        </is>
      </c>
      <c r="C28" s="18" t="inlineStr">
        <is>
          <t>SRC-XLS-OLD</t>
        </is>
      </c>
      <c r="D28" s="18" t="inlineStr">
        <is>
          <t>蛋白分离</t>
        </is>
      </c>
      <c r="E28" s="18" t="n"/>
      <c r="F28" s="18" t="inlineStr">
        <is>
          <t>M3</t>
        </is>
      </c>
      <c r="G28" s="18" t="inlineStr">
        <is>
          <t>主线</t>
        </is>
      </c>
      <c r="H28" s="18" t="inlineStr">
        <is>
          <t>as_modelled</t>
        </is>
      </c>
      <c r="I28" s="18" t="inlineStr">
        <is>
          <t>是</t>
        </is>
      </c>
      <c r="J28" s="18" t="inlineStr">
        <is>
          <t>外部取水 16.98 kg</t>
        </is>
      </c>
      <c r="K28" s="18" t="inlineStr">
        <is>
          <t>是</t>
        </is>
      </c>
      <c r="L28" s="51">
        <f>IF(模型流与公式!P28="","",模型流与公式!P28)</f>
        <v/>
      </c>
      <c r="M28" s="18">
        <f>IF(模型流与公式!Q28="","",模型流与公式!Q28)</f>
        <v/>
      </c>
      <c r="N28" s="18" t="inlineStr">
        <is>
          <t>name_value_unit</t>
        </is>
      </c>
      <c r="O28" s="18" t="inlineStr">
        <is>
          <t>module_box</t>
        </is>
      </c>
      <c r="P28" s="18" t="inlineStr">
        <is>
          <t>已确认(补记2026-09-27)</t>
        </is>
      </c>
      <c r="Q28" s="18" t="inlineStr">
        <is>
          <t>待用户确认</t>
        </is>
      </c>
      <c r="R28" s="18" t="inlineStr">
        <is>
          <t>ext_F24</t>
        </is>
      </c>
      <c r="S28" s="18" t="inlineStr">
        <is>
          <t>PASS 2026-09-27 v15机器回归</t>
        </is>
      </c>
      <c r="T28" s="18" t="inlineStr">
        <is>
          <t>Q04</t>
        </is>
      </c>
      <c r="U28" s="18" t="n"/>
    </row>
    <row r="29">
      <c r="A29" s="18" t="inlineStr">
        <is>
          <t>F25</t>
        </is>
      </c>
      <c r="B29" s="18" t="inlineStr">
        <is>
          <t>Edge</t>
        </is>
      </c>
      <c r="C29" s="18" t="inlineStr">
        <is>
          <t>SRC-CLCA-HANDOVER</t>
        </is>
      </c>
      <c r="D29" s="18" t="inlineStr">
        <is>
          <t>预处理</t>
        </is>
      </c>
      <c r="E29" s="18" t="n"/>
      <c r="F29" s="18" t="n"/>
      <c r="G29" s="18" t="inlineStr">
        <is>
          <t>主线</t>
        </is>
      </c>
      <c r="H29" s="18" t="inlineStr">
        <is>
          <t>as_modelled</t>
        </is>
      </c>
      <c r="I29" s="18" t="inlineStr">
        <is>
          <t>否</t>
        </is>
      </c>
      <c r="J29" s="18" t="n"/>
      <c r="K29" s="18" t="inlineStr">
        <is>
          <t>否</t>
        </is>
      </c>
      <c r="L29" s="51">
        <f>IF(模型流与公式!P29="","",模型流与公式!P29)</f>
        <v/>
      </c>
      <c r="M29" s="18">
        <f>IF(模型流与公式!Q29="","",模型流与公式!Q29)</f>
        <v/>
      </c>
      <c r="N29" s="18" t="inlineStr">
        <is>
          <t>none</t>
        </is>
      </c>
      <c r="O29" s="18" t="inlineStr">
        <is>
          <t>omit</t>
        </is>
      </c>
      <c r="P29" s="18" t="inlineStr">
        <is>
          <t>已确认(补记2026-09-27)</t>
        </is>
      </c>
      <c r="Q29" s="18" t="inlineStr">
        <is>
          <t>待用户确认</t>
        </is>
      </c>
      <c r="R29" s="18" t="n"/>
      <c r="S29" s="18" t="inlineStr">
        <is>
          <t>PASS 2026-09-27 v15机器回归</t>
        </is>
      </c>
      <c r="T29" s="18" t="n"/>
      <c r="U29" s="18" t="n"/>
    </row>
    <row r="30">
      <c r="A30" s="18" t="inlineStr">
        <is>
          <t>F26</t>
        </is>
      </c>
      <c r="B30" s="18" t="inlineStr">
        <is>
          <t>Edge</t>
        </is>
      </c>
      <c r="C30" s="18" t="inlineStr">
        <is>
          <t>SRC-CLCA-HANDOVER</t>
        </is>
      </c>
      <c r="D30" s="18" t="inlineStr">
        <is>
          <t>预处理</t>
        </is>
      </c>
      <c r="E30" s="18" t="n"/>
      <c r="F30" s="18" t="n"/>
      <c r="G30" s="18" t="inlineStr">
        <is>
          <t>主线</t>
        </is>
      </c>
      <c r="H30" s="18" t="inlineStr">
        <is>
          <t>as_modelled</t>
        </is>
      </c>
      <c r="I30" s="18" t="inlineStr">
        <is>
          <t>否</t>
        </is>
      </c>
      <c r="J30" s="18" t="n"/>
      <c r="K30" s="18" t="inlineStr">
        <is>
          <t>否</t>
        </is>
      </c>
      <c r="L30" s="51">
        <f>IF(模型流与公式!P30="","",模型流与公式!P30)</f>
        <v/>
      </c>
      <c r="M30" s="18">
        <f>IF(模型流与公式!Q30="","",模型流与公式!Q30)</f>
        <v/>
      </c>
      <c r="N30" s="18" t="inlineStr">
        <is>
          <t>none</t>
        </is>
      </c>
      <c r="O30" s="18" t="inlineStr">
        <is>
          <t>omit</t>
        </is>
      </c>
      <c r="P30" s="18" t="inlineStr">
        <is>
          <t>已确认(补记2026-09-27)</t>
        </is>
      </c>
      <c r="Q30" s="18" t="inlineStr">
        <is>
          <t>待用户确认</t>
        </is>
      </c>
      <c r="R30" s="18" t="n"/>
      <c r="S30" s="18" t="inlineStr">
        <is>
          <t>PASS 2026-09-27 v15机器回归</t>
        </is>
      </c>
      <c r="T30" s="18" t="n"/>
      <c r="U30" s="18" t="n"/>
    </row>
    <row r="31">
      <c r="A31" s="18" t="inlineStr">
        <is>
          <t>F27</t>
        </is>
      </c>
      <c r="B31" s="18" t="inlineStr">
        <is>
          <t>Edge</t>
        </is>
      </c>
      <c r="C31" s="18" t="inlineStr">
        <is>
          <t>SRC-CLCA-HANDOVER</t>
        </is>
      </c>
      <c r="D31" s="18" t="inlineStr">
        <is>
          <t>蛋白分离</t>
        </is>
      </c>
      <c r="E31" s="18" t="n"/>
      <c r="F31" s="18" t="n"/>
      <c r="G31" s="18" t="inlineStr">
        <is>
          <t>主线</t>
        </is>
      </c>
      <c r="H31" s="18" t="inlineStr">
        <is>
          <t>as_modelled</t>
        </is>
      </c>
      <c r="I31" s="18" t="inlineStr">
        <is>
          <t>否</t>
        </is>
      </c>
      <c r="J31" s="18" t="n"/>
      <c r="K31" s="18" t="inlineStr">
        <is>
          <t>否</t>
        </is>
      </c>
      <c r="L31" s="51">
        <f>IF(模型流与公式!P31="","",模型流与公式!P31)</f>
        <v/>
      </c>
      <c r="M31" s="18">
        <f>IF(模型流与公式!Q31="","",模型流与公式!Q31)</f>
        <v/>
      </c>
      <c r="N31" s="18" t="inlineStr">
        <is>
          <t>none</t>
        </is>
      </c>
      <c r="O31" s="18" t="inlineStr">
        <is>
          <t>omit</t>
        </is>
      </c>
      <c r="P31" s="18" t="inlineStr">
        <is>
          <t>已确认(补记2026-09-27)</t>
        </is>
      </c>
      <c r="Q31" s="18" t="inlineStr">
        <is>
          <t>待用户确认</t>
        </is>
      </c>
      <c r="R31" s="18" t="n"/>
      <c r="S31" s="18" t="inlineStr">
        <is>
          <t>PASS 2026-09-27 v15机器回归</t>
        </is>
      </c>
      <c r="T31" s="18" t="n"/>
      <c r="U31" s="18" t="n"/>
    </row>
    <row r="32">
      <c r="A32" s="18" t="inlineStr">
        <is>
          <t>TOP-01</t>
        </is>
      </c>
      <c r="B32" s="18" t="inlineStr">
        <is>
          <t>Topology</t>
        </is>
      </c>
      <c r="C32" s="18" t="n"/>
      <c r="D32" s="18" t="n"/>
      <c r="E32" s="18" t="inlineStr">
        <is>
          <t>M2-OP1</t>
        </is>
      </c>
      <c r="F32" s="18" t="inlineStr">
        <is>
          <t>M2-OP2</t>
        </is>
      </c>
      <c r="G32" s="18" t="n"/>
      <c r="H32" s="18" t="n"/>
      <c r="I32" s="18" t="inlineStr">
        <is>
          <t>是</t>
        </is>
      </c>
      <c r="J32" s="18" t="inlineStr">
        <is>
          <t>调质物料</t>
        </is>
      </c>
      <c r="K32" s="18" t="n"/>
      <c r="L32" s="51">
        <f>IF(A32="","",IF(B32="Edge",IFERROR(IF(INDEX('模型流与公式'!$P$5:$P$204,MATCH(A32,'模型流与公式'!$A$5:$A$204,0))="","",INDEX('模型流与公式'!$P$5:$P$204,MATCH(A32,'模型流与公式'!$A$5:$A$204,0))),""),""))</f>
        <v/>
      </c>
      <c r="M32" s="18">
        <f>IF(A32="","",IF(B32="Edge",IFERROR(IF(INDEX('模型流与公式'!$Q$5:$Q$204,MATCH(A32,'模型流与公式'!$A$5:$A$204,0))="","",INDEX('模型流与公式'!$Q$5:$Q$204,MATCH(A32,'模型流与公式'!$A$5:$A$204,0))),""),""))</f>
        <v/>
      </c>
      <c r="N32" s="18" t="inlineStr">
        <is>
          <t>optional_label</t>
        </is>
      </c>
      <c r="O32" s="18" t="n"/>
      <c r="P32" s="18" t="inlineStr">
        <is>
          <t>已确认(补记2026-09-27)</t>
        </is>
      </c>
      <c r="Q32" s="18" t="inlineStr">
        <is>
          <t>待用户确认</t>
        </is>
      </c>
      <c r="R32" s="18" t="inlineStr">
        <is>
          <t>top_TOP-01</t>
        </is>
      </c>
      <c r="S32" s="18" t="inlineStr">
        <is>
          <t>PASS 2026-09-27 v15机器回归</t>
        </is>
      </c>
      <c r="T32" s="18" t="n"/>
      <c r="U32" s="18" t="n"/>
    </row>
    <row r="33">
      <c r="A33" s="18" t="inlineStr">
        <is>
          <t>TOP-02</t>
        </is>
      </c>
      <c r="B33" s="18" t="inlineStr">
        <is>
          <t>Topology</t>
        </is>
      </c>
      <c r="C33" s="18" t="n"/>
      <c r="D33" s="18" t="n"/>
      <c r="E33" s="18" t="inlineStr">
        <is>
          <t>M2-OP2</t>
        </is>
      </c>
      <c r="F33" s="18" t="inlineStr">
        <is>
          <t>M2-OP3</t>
        </is>
      </c>
      <c r="G33" s="18" t="n"/>
      <c r="H33" s="18" t="n"/>
      <c r="I33" s="18" t="inlineStr">
        <is>
          <t>是</t>
        </is>
      </c>
      <c r="J33" s="18" t="inlineStr">
        <is>
          <t>压片豆料</t>
        </is>
      </c>
      <c r="K33" s="18" t="n"/>
      <c r="L33" s="51">
        <f>IF(A33="","",IF(B33="Edge",IFERROR(IF(INDEX('模型流与公式'!$P$5:$P$204,MATCH(A33,'模型流与公式'!$A$5:$A$204,0))="","",INDEX('模型流与公式'!$P$5:$P$204,MATCH(A33,'模型流与公式'!$A$5:$A$204,0))),""),""))</f>
        <v/>
      </c>
      <c r="M33" s="18">
        <f>IF(A33="","",IF(B33="Edge",IFERROR(IF(INDEX('模型流与公式'!$Q$5:$Q$204,MATCH(A33,'模型流与公式'!$A$5:$A$204,0))="","",INDEX('模型流与公式'!$Q$5:$Q$204,MATCH(A33,'模型流与公式'!$A$5:$A$204,0))),""),""))</f>
        <v/>
      </c>
      <c r="N33" s="18" t="inlineStr">
        <is>
          <t>optional_label</t>
        </is>
      </c>
      <c r="O33" s="18" t="n"/>
      <c r="P33" s="18" t="inlineStr">
        <is>
          <t>已确认(补记2026-09-27)</t>
        </is>
      </c>
      <c r="Q33" s="18" t="inlineStr">
        <is>
          <t>待用户确认</t>
        </is>
      </c>
      <c r="R33" s="18" t="inlineStr">
        <is>
          <t>top_TOP-02</t>
        </is>
      </c>
      <c r="S33" s="18" t="inlineStr">
        <is>
          <t>PASS 2026-09-27 v15机器回归</t>
        </is>
      </c>
      <c r="T33" s="18" t="n"/>
      <c r="U33" s="18" t="n"/>
    </row>
    <row r="34">
      <c r="A34" s="18" t="inlineStr">
        <is>
          <t>TOP-03</t>
        </is>
      </c>
      <c r="B34" s="18" t="inlineStr">
        <is>
          <t>Topology</t>
        </is>
      </c>
      <c r="C34" s="18" t="n"/>
      <c r="D34" s="18" t="n"/>
      <c r="E34" s="18" t="inlineStr">
        <is>
          <t>M2-OP3</t>
        </is>
      </c>
      <c r="F34" s="18" t="inlineStr">
        <is>
          <t>M2-OP4</t>
        </is>
      </c>
      <c r="G34" s="18" t="n"/>
      <c r="H34" s="18" t="n"/>
      <c r="I34" s="18" t="inlineStr">
        <is>
          <t>是</t>
        </is>
      </c>
      <c r="J34" s="18" t="inlineStr">
        <is>
          <t>萃取后料</t>
        </is>
      </c>
      <c r="K34" s="18" t="n"/>
      <c r="L34" s="51">
        <f>IF(A34="","",IF(B34="Edge",IFERROR(IF(INDEX('模型流与公式'!$P$5:$P$204,MATCH(A34,'模型流与公式'!$A$5:$A$204,0))="","",INDEX('模型流与公式'!$P$5:$P$204,MATCH(A34,'模型流与公式'!$A$5:$A$204,0))),""),""))</f>
        <v/>
      </c>
      <c r="M34" s="18">
        <f>IF(A34="","",IF(B34="Edge",IFERROR(IF(INDEX('模型流与公式'!$Q$5:$Q$204,MATCH(A34,'模型流与公式'!$A$5:$A$204,0))="","",INDEX('模型流与公式'!$Q$5:$Q$204,MATCH(A34,'模型流与公式'!$A$5:$A$204,0))),""),""))</f>
        <v/>
      </c>
      <c r="N34" s="18" t="inlineStr">
        <is>
          <t>optional_label</t>
        </is>
      </c>
      <c r="O34" s="18" t="n"/>
      <c r="P34" s="18" t="inlineStr">
        <is>
          <t>已确认(补记2026-09-27)</t>
        </is>
      </c>
      <c r="Q34" s="18" t="inlineStr">
        <is>
          <t>待用户确认</t>
        </is>
      </c>
      <c r="R34" s="18" t="inlineStr">
        <is>
          <t>top_TOP-03</t>
        </is>
      </c>
      <c r="S34" s="18" t="inlineStr">
        <is>
          <t>PASS 2026-09-27 v15机器回归</t>
        </is>
      </c>
      <c r="T34" s="18" t="n"/>
      <c r="U34" s="18" t="n"/>
    </row>
    <row r="35">
      <c r="A35" s="18" t="inlineStr">
        <is>
          <t>TOP-04</t>
        </is>
      </c>
      <c r="B35" s="18" t="inlineStr">
        <is>
          <t>Topology</t>
        </is>
      </c>
      <c r="C35" s="18" t="n"/>
      <c r="D35" s="18" t="n"/>
      <c r="E35" s="18" t="inlineStr">
        <is>
          <t>M3-OP1</t>
        </is>
      </c>
      <c r="F35" s="18" t="inlineStr">
        <is>
          <t>M3-OP2</t>
        </is>
      </c>
      <c r="G35" s="18" t="n"/>
      <c r="H35" s="18" t="n"/>
      <c r="I35" s="18" t="inlineStr">
        <is>
          <t>是</t>
        </is>
      </c>
      <c r="J35" s="18" t="inlineStr">
        <is>
          <t>蛋白提取液</t>
        </is>
      </c>
      <c r="K35" s="18" t="n"/>
      <c r="L35" s="51">
        <f>IF(A35="","",IF(B35="Edge",IFERROR(IF(INDEX('模型流与公式'!$P$5:$P$204,MATCH(A35,'模型流与公式'!$A$5:$A$204,0))="","",INDEX('模型流与公式'!$P$5:$P$204,MATCH(A35,'模型流与公式'!$A$5:$A$204,0))),""),""))</f>
        <v/>
      </c>
      <c r="M35" s="18">
        <f>IF(A35="","",IF(B35="Edge",IFERROR(IF(INDEX('模型流与公式'!$Q$5:$Q$204,MATCH(A35,'模型流与公式'!$A$5:$A$204,0))="","",INDEX('模型流与公式'!$Q$5:$Q$204,MATCH(A35,'模型流与公式'!$A$5:$A$204,0))),""),""))</f>
        <v/>
      </c>
      <c r="N35" s="18" t="inlineStr">
        <is>
          <t>optional_label</t>
        </is>
      </c>
      <c r="O35" s="18" t="n"/>
      <c r="P35" s="18" t="inlineStr">
        <is>
          <t>已确认(补记2026-09-27)</t>
        </is>
      </c>
      <c r="Q35" s="18" t="inlineStr">
        <is>
          <t>待用户确认</t>
        </is>
      </c>
      <c r="R35" s="18" t="inlineStr">
        <is>
          <t>top_TOP-04</t>
        </is>
      </c>
      <c r="S35" s="18" t="inlineStr">
        <is>
          <t>PASS 2026-09-27 v15机器回归</t>
        </is>
      </c>
      <c r="T35" s="18" t="n"/>
      <c r="U35" s="18" t="n"/>
    </row>
    <row r="36">
      <c r="A36" s="18" t="inlineStr">
        <is>
          <t>TOP-05</t>
        </is>
      </c>
      <c r="B36" s="18" t="inlineStr">
        <is>
          <t>Topology</t>
        </is>
      </c>
      <c r="C36" s="18" t="n"/>
      <c r="D36" s="18" t="n"/>
      <c r="E36" s="18" t="inlineStr">
        <is>
          <t>M3-OP2</t>
        </is>
      </c>
      <c r="F36" s="18" t="inlineStr">
        <is>
          <t>M3-OP3</t>
        </is>
      </c>
      <c r="G36" s="18" t="n"/>
      <c r="H36" s="18" t="n"/>
      <c r="I36" s="18" t="inlineStr">
        <is>
          <t>是</t>
        </is>
      </c>
      <c r="J36" s="18" t="inlineStr">
        <is>
          <t>蛋白提取液</t>
        </is>
      </c>
      <c r="K36" s="18" t="n"/>
      <c r="L36" s="51">
        <f>IF(A36="","",IF(B36="Edge",IFERROR(IF(INDEX('模型流与公式'!$P$5:$P$204,MATCH(A36,'模型流与公式'!$A$5:$A$204,0))="","",INDEX('模型流与公式'!$P$5:$P$204,MATCH(A36,'模型流与公式'!$A$5:$A$204,0))),""),""))</f>
        <v/>
      </c>
      <c r="M36" s="18">
        <f>IF(A36="","",IF(B36="Edge",IFERROR(IF(INDEX('模型流与公式'!$Q$5:$Q$204,MATCH(A36,'模型流与公式'!$A$5:$A$204,0))="","",INDEX('模型流与公式'!$Q$5:$Q$204,MATCH(A36,'模型流与公式'!$A$5:$A$204,0))),""),""))</f>
        <v/>
      </c>
      <c r="N36" s="18" t="inlineStr">
        <is>
          <t>optional_label</t>
        </is>
      </c>
      <c r="O36" s="18" t="n"/>
      <c r="P36" s="18" t="inlineStr">
        <is>
          <t>已确认(补记2026-09-27)</t>
        </is>
      </c>
      <c r="Q36" s="18" t="inlineStr">
        <is>
          <t>待用户确认</t>
        </is>
      </c>
      <c r="R36" s="18" t="inlineStr">
        <is>
          <t>top_TOP-05</t>
        </is>
      </c>
      <c r="S36" s="18" t="inlineStr">
        <is>
          <t>PASS 2026-09-27 v15机器回归</t>
        </is>
      </c>
      <c r="T36" s="18" t="n"/>
      <c r="U36" s="18" t="n"/>
    </row>
    <row r="37">
      <c r="A37" s="18" t="inlineStr">
        <is>
          <t>TOP-06</t>
        </is>
      </c>
      <c r="B37" s="18" t="inlineStr">
        <is>
          <t>Topology</t>
        </is>
      </c>
      <c r="C37" s="18" t="n"/>
      <c r="D37" s="18" t="n"/>
      <c r="E37" s="18" t="inlineStr">
        <is>
          <t>M3-OP3</t>
        </is>
      </c>
      <c r="F37" s="18" t="inlineStr">
        <is>
          <t>M3-OP4</t>
        </is>
      </c>
      <c r="G37" s="18" t="n"/>
      <c r="H37" s="18" t="n"/>
      <c r="I37" s="18" t="inlineStr">
        <is>
          <t>是</t>
        </is>
      </c>
      <c r="J37" s="18" t="inlineStr">
        <is>
          <t>洗涤后蛋白料</t>
        </is>
      </c>
      <c r="K37" s="18" t="n"/>
      <c r="L37" s="51">
        <f>IF(A37="","",IF(B37="Edge",IFERROR(IF(INDEX('模型流与公式'!$P$5:$P$204,MATCH(A37,'模型流与公式'!$A$5:$A$204,0))="","",INDEX('模型流与公式'!$P$5:$P$204,MATCH(A37,'模型流与公式'!$A$5:$A$204,0))),""),""))</f>
        <v/>
      </c>
      <c r="M37" s="18">
        <f>IF(A37="","",IF(B37="Edge",IFERROR(IF(INDEX('模型流与公式'!$Q$5:$Q$204,MATCH(A37,'模型流与公式'!$A$5:$A$204,0))="","",INDEX('模型流与公式'!$Q$5:$Q$204,MATCH(A37,'模型流与公式'!$A$5:$A$204,0))),""),""))</f>
        <v/>
      </c>
      <c r="N37" s="18" t="inlineStr">
        <is>
          <t>optional_label</t>
        </is>
      </c>
      <c r="O37" s="18" t="n"/>
      <c r="P37" s="18" t="inlineStr">
        <is>
          <t>已确认(补记2026-09-27)</t>
        </is>
      </c>
      <c r="Q37" s="18" t="inlineStr">
        <is>
          <t>待用户确认</t>
        </is>
      </c>
      <c r="R37" s="18" t="inlineStr">
        <is>
          <t>top_TOP-06</t>
        </is>
      </c>
      <c r="S37" s="18" t="inlineStr">
        <is>
          <t>PASS 2026-09-27 v15机器回归</t>
        </is>
      </c>
      <c r="T37" s="18" t="n"/>
      <c r="U37" s="18" t="n"/>
    </row>
    <row r="38">
      <c r="A38" s="18" t="inlineStr">
        <is>
          <t>TOP-07</t>
        </is>
      </c>
      <c r="B38" s="18" t="inlineStr">
        <is>
          <t>Topology</t>
        </is>
      </c>
      <c r="C38" s="18" t="n"/>
      <c r="D38" s="18" t="n"/>
      <c r="E38" s="18" t="inlineStr">
        <is>
          <t>M3-OP4</t>
        </is>
      </c>
      <c r="F38" s="18" t="inlineStr">
        <is>
          <t>M3-OP8</t>
        </is>
      </c>
      <c r="G38" s="18" t="n"/>
      <c r="H38" s="18" t="n"/>
      <c r="I38" s="18" t="inlineStr">
        <is>
          <t>是</t>
        </is>
      </c>
      <c r="J38" s="18" t="inlineStr">
        <is>
          <t>洗涤后蛋白浆</t>
        </is>
      </c>
      <c r="K38" s="18" t="n"/>
      <c r="L38" s="51">
        <f>IF(A38="","",IF(B38="Edge",IFERROR(IF(INDEX('模型流与公式'!$P$5:$P$204,MATCH(A38,'模型流与公式'!$A$5:$A$204,0))="","",INDEX('模型流与公式'!$P$5:$P$204,MATCH(A38,'模型流与公式'!$A$5:$A$204,0))),""),""))</f>
        <v/>
      </c>
      <c r="M38" s="18">
        <f>IF(A38="","",IF(B38="Edge",IFERROR(IF(INDEX('模型流与公式'!$Q$5:$Q$204,MATCH(A38,'模型流与公式'!$A$5:$A$204,0))="","",INDEX('模型流与公式'!$Q$5:$Q$204,MATCH(A38,'模型流与公式'!$A$5:$A$204,0))),""),""))</f>
        <v/>
      </c>
      <c r="N38" s="18" t="inlineStr">
        <is>
          <t>optional_label</t>
        </is>
      </c>
      <c r="O38" s="18" t="n"/>
      <c r="P38" s="18" t="inlineStr">
        <is>
          <t>已确认(补记2026-09-27)</t>
        </is>
      </c>
      <c r="Q38" s="18" t="inlineStr">
        <is>
          <t>待用户确认</t>
        </is>
      </c>
      <c r="R38" s="18" t="inlineStr">
        <is>
          <t>top_TOP-07</t>
        </is>
      </c>
      <c r="S38" s="18" t="inlineStr">
        <is>
          <t>PASS 2026-09-27 v15机器回归</t>
        </is>
      </c>
      <c r="T38" s="18" t="n"/>
      <c r="U38" s="18" t="n"/>
    </row>
    <row r="39">
      <c r="A39" s="18" t="inlineStr">
        <is>
          <t>TOP-08</t>
        </is>
      </c>
      <c r="B39" s="18" t="inlineStr">
        <is>
          <t>Topology</t>
        </is>
      </c>
      <c r="C39" s="18" t="n"/>
      <c r="D39" s="18" t="n"/>
      <c r="E39" s="18" t="inlineStr">
        <is>
          <t>M3-OP2</t>
        </is>
      </c>
      <c r="F39" s="18" t="inlineStr">
        <is>
          <t>M3-OP5</t>
        </is>
      </c>
      <c r="G39" s="18" t="n"/>
      <c r="H39" s="18" t="n"/>
      <c r="I39" s="18" t="inlineStr">
        <is>
          <t>是</t>
        </is>
      </c>
      <c r="J39" s="18" t="inlineStr">
        <is>
          <t>蛋白提取液</t>
        </is>
      </c>
      <c r="K39" s="18" t="n"/>
      <c r="L39" s="51">
        <f>IF(A39="","",IF(B39="Edge",IFERROR(IF(INDEX('模型流与公式'!$P$5:$P$204,MATCH(A39,'模型流与公式'!$A$5:$A$204,0))="","",INDEX('模型流与公式'!$P$5:$P$204,MATCH(A39,'模型流与公式'!$A$5:$A$204,0))),""),""))</f>
        <v/>
      </c>
      <c r="M39" s="18">
        <f>IF(A39="","",IF(B39="Edge",IFERROR(IF(INDEX('模型流与公式'!$Q$5:$Q$204,MATCH(A39,'模型流与公式'!$A$5:$A$204,0))="","",INDEX('模型流与公式'!$Q$5:$Q$204,MATCH(A39,'模型流与公式'!$A$5:$A$204,0))),""),""))</f>
        <v/>
      </c>
      <c r="N39" s="18" t="inlineStr">
        <is>
          <t>optional_label</t>
        </is>
      </c>
      <c r="O39" s="18" t="n"/>
      <c r="P39" s="18" t="inlineStr">
        <is>
          <t>已确认(补记2026-09-27)</t>
        </is>
      </c>
      <c r="Q39" s="18" t="inlineStr">
        <is>
          <t>待用户确认</t>
        </is>
      </c>
      <c r="R39" s="18" t="inlineStr">
        <is>
          <t>top_TOP-08</t>
        </is>
      </c>
      <c r="S39" s="18" t="inlineStr">
        <is>
          <t>PASS 2026-09-27 v15机器回归</t>
        </is>
      </c>
      <c r="T39" s="18" t="n"/>
      <c r="U39" s="18" t="n"/>
    </row>
    <row r="40">
      <c r="A40" s="18" t="inlineStr">
        <is>
          <t>TOP-09</t>
        </is>
      </c>
      <c r="B40" s="18" t="inlineStr">
        <is>
          <t>Topology</t>
        </is>
      </c>
      <c r="C40" s="18" t="n"/>
      <c r="D40" s="18" t="n"/>
      <c r="E40" s="18" t="inlineStr">
        <is>
          <t>M3-OP6</t>
        </is>
      </c>
      <c r="F40" s="18" t="inlineStr">
        <is>
          <t>M3-OP7</t>
        </is>
      </c>
      <c r="G40" s="18" t="n"/>
      <c r="H40" s="18" t="n"/>
      <c r="I40" s="18" t="inlineStr">
        <is>
          <t>是</t>
        </is>
      </c>
      <c r="J40" s="18" t="inlineStr">
        <is>
          <t>压榨后湿豆片</t>
        </is>
      </c>
      <c r="K40" s="18" t="n"/>
      <c r="L40" s="51">
        <f>IF(A40="","",IF(B40="Edge",IFERROR(IF(INDEX('模型流与公式'!$P$5:$P$204,MATCH(A40,'模型流与公式'!$A$5:$A$204,0))="","",INDEX('模型流与公式'!$P$5:$P$204,MATCH(A40,'模型流与公式'!$A$5:$A$204,0))),""),""))</f>
        <v/>
      </c>
      <c r="M40" s="18">
        <f>IF(A40="","",IF(B40="Edge",IFERROR(IF(INDEX('模型流与公式'!$Q$5:$Q$204,MATCH(A40,'模型流与公式'!$A$5:$A$204,0))="","",INDEX('模型流与公式'!$Q$5:$Q$204,MATCH(A40,'模型流与公式'!$A$5:$A$204,0))),""),""))</f>
        <v/>
      </c>
      <c r="N40" s="18" t="inlineStr">
        <is>
          <t>optional_label</t>
        </is>
      </c>
      <c r="O40" s="18" t="n"/>
      <c r="P40" s="18" t="inlineStr">
        <is>
          <t>已确认(补记2026-09-27)</t>
        </is>
      </c>
      <c r="Q40" s="18" t="inlineStr">
        <is>
          <t>待用户确认</t>
        </is>
      </c>
      <c r="R40" s="18" t="inlineStr">
        <is>
          <t>top_TOP-09</t>
        </is>
      </c>
      <c r="S40" s="18" t="inlineStr">
        <is>
          <t>PASS 2026-09-27 v15机器回归</t>
        </is>
      </c>
      <c r="T40" s="18" t="n"/>
      <c r="U40" s="18" t="n"/>
    </row>
    <row r="41">
      <c r="A41" s="18" t="inlineStr">
        <is>
          <t>TOP-10</t>
        </is>
      </c>
      <c r="B41" s="18" t="inlineStr">
        <is>
          <t>Topology</t>
        </is>
      </c>
      <c r="C41" s="18" t="n"/>
      <c r="D41" s="18" t="n"/>
      <c r="E41" s="18" t="inlineStr">
        <is>
          <t>M3-OP5</t>
        </is>
      </c>
      <c r="F41" s="18" t="inlineStr">
        <is>
          <t>M3-OP6</t>
        </is>
      </c>
      <c r="G41" s="18" t="n"/>
      <c r="H41" s="18" t="n"/>
      <c r="I41" s="18" t="inlineStr">
        <is>
          <t>是</t>
        </is>
      </c>
      <c r="J41" s="18" t="inlineStr">
        <is>
          <t>洗涤后豆片</t>
        </is>
      </c>
      <c r="K41" s="18" t="n"/>
      <c r="L41" s="51">
        <f>IF(A41="","",IF(B41="Edge",IFERROR(IF(INDEX('模型流与公式'!$P$5:$P$204,MATCH(A41,'模型流与公式'!$A$5:$A$204,0))="","",INDEX('模型流与公式'!$P$5:$P$204,MATCH(A41,'模型流与公式'!$A$5:$A$204,0))),""),""))</f>
        <v/>
      </c>
      <c r="M41" s="18">
        <f>IF(A41="","",IF(B41="Edge",IFERROR(IF(INDEX('模型流与公式'!$Q$5:$Q$204,MATCH(A41,'模型流与公式'!$A$5:$A$204,0))="","",INDEX('模型流与公式'!$Q$5:$Q$204,MATCH(A41,'模型流与公式'!$A$5:$A$204,0))),""),""))</f>
        <v/>
      </c>
      <c r="N41" s="18" t="inlineStr">
        <is>
          <t>optional_label</t>
        </is>
      </c>
      <c r="O41" s="18" t="n"/>
      <c r="P41" s="18" t="inlineStr">
        <is>
          <t>已确认(补记2026-09-27)</t>
        </is>
      </c>
      <c r="Q41" s="18" t="inlineStr">
        <is>
          <t>待用户确认</t>
        </is>
      </c>
      <c r="R41" s="18" t="inlineStr">
        <is>
          <t>top_TOP-10</t>
        </is>
      </c>
      <c r="S41" s="18" t="inlineStr">
        <is>
          <t>PASS 2026-09-27 v15机器回归</t>
        </is>
      </c>
      <c r="T41" s="18" t="n"/>
      <c r="U41" s="18" t="n"/>
    </row>
    <row r="42">
      <c r="A42" s="18" t="inlineStr">
        <is>
          <t>TOP-11</t>
        </is>
      </c>
      <c r="B42" s="18" t="inlineStr">
        <is>
          <t>Topology</t>
        </is>
      </c>
      <c r="C42" s="18" t="n"/>
      <c r="D42" s="18" t="n"/>
      <c r="E42" s="18" t="inlineStr">
        <is>
          <t>water-wash-flakes</t>
        </is>
      </c>
      <c r="F42" s="18" t="inlineStr">
        <is>
          <t>M3-OP5</t>
        </is>
      </c>
      <c r="G42" s="18" t="n"/>
      <c r="H42" s="18" t="n"/>
      <c r="I42" s="18" t="inlineStr">
        <is>
          <t>是</t>
        </is>
      </c>
      <c r="J42" s="18" t="inlineStr">
        <is>
          <t>豆片洗涤水</t>
        </is>
      </c>
      <c r="K42" s="18" t="n"/>
      <c r="L42" s="51">
        <f>IF(A42="","",IF(B42="Edge",IFERROR(IF(INDEX('模型流与公式'!$P$5:$P$204,MATCH(A42,'模型流与公式'!$A$5:$A$204,0))="","",INDEX('模型流与公式'!$P$5:$P$204,MATCH(A42,'模型流与公式'!$A$5:$A$204,0))),""),""))</f>
        <v/>
      </c>
      <c r="M42" s="18">
        <f>IF(A42="","",IF(B42="Edge",IFERROR(IF(INDEX('模型流与公式'!$Q$5:$Q$204,MATCH(A42,'模型流与公式'!$A$5:$A$204,0))="","",INDEX('模型流与公式'!$Q$5:$Q$204,MATCH(A42,'模型流与公式'!$A$5:$A$204,0))),""),""))</f>
        <v/>
      </c>
      <c r="N42" s="18" t="inlineStr">
        <is>
          <t>optional_label</t>
        </is>
      </c>
      <c r="O42" s="18" t="n"/>
      <c r="P42" s="18" t="inlineStr">
        <is>
          <t>已确认(补记2026-09-27)</t>
        </is>
      </c>
      <c r="Q42" s="18" t="inlineStr">
        <is>
          <t>待用户确认</t>
        </is>
      </c>
      <c r="R42" s="18" t="inlineStr">
        <is>
          <t>top_TOP-11</t>
        </is>
      </c>
      <c r="S42" s="18" t="inlineStr">
        <is>
          <t>PASS 2026-09-27 v15机器回归</t>
        </is>
      </c>
      <c r="T42" s="18" t="n"/>
      <c r="U42" s="18" t="n"/>
    </row>
    <row r="43">
      <c r="A43" s="18" t="inlineStr">
        <is>
          <t>TOP-12</t>
        </is>
      </c>
      <c r="B43" s="18" t="inlineStr">
        <is>
          <t>Topology</t>
        </is>
      </c>
      <c r="C43" s="18" t="n"/>
      <c r="D43" s="18" t="n"/>
      <c r="E43" s="18" t="inlineStr">
        <is>
          <t>M3-OP6</t>
        </is>
      </c>
      <c r="F43" s="18" t="inlineStr">
        <is>
          <t>press-water</t>
        </is>
      </c>
      <c r="G43" s="18" t="n"/>
      <c r="H43" s="18" t="n"/>
      <c r="I43" s="18" t="inlineStr">
        <is>
          <t>是</t>
        </is>
      </c>
      <c r="J43" s="18" t="inlineStr">
        <is>
          <t>压榨工艺水</t>
        </is>
      </c>
      <c r="K43" s="18" t="n"/>
      <c r="L43" s="51">
        <f>IF(A43="","",IF(B43="Edge",IFERROR(IF(INDEX('模型流与公式'!$P$5:$P$204,MATCH(A43,'模型流与公式'!$A$5:$A$204,0))="","",INDEX('模型流与公式'!$P$5:$P$204,MATCH(A43,'模型流与公式'!$A$5:$A$204,0))),""),""))</f>
        <v/>
      </c>
      <c r="M43" s="18">
        <f>IF(A43="","",IF(B43="Edge",IFERROR(IF(INDEX('模型流与公式'!$Q$5:$Q$204,MATCH(A43,'模型流与公式'!$A$5:$A$204,0))="","",INDEX('模型流与公式'!$Q$5:$Q$204,MATCH(A43,'模型流与公式'!$A$5:$A$204,0))),""),""))</f>
        <v/>
      </c>
      <c r="N43" s="18" t="inlineStr">
        <is>
          <t>optional_label</t>
        </is>
      </c>
      <c r="O43" s="18" t="n"/>
      <c r="P43" s="18" t="inlineStr">
        <is>
          <t>已确认(补记2026-09-27)</t>
        </is>
      </c>
      <c r="Q43" s="18" t="inlineStr">
        <is>
          <t>待用户确认</t>
        </is>
      </c>
      <c r="R43" s="18" t="inlineStr">
        <is>
          <t>top_TOP-12</t>
        </is>
      </c>
      <c r="S43" s="18" t="inlineStr">
        <is>
          <t>PASS 2026-09-27 v15机器回归</t>
        </is>
      </c>
      <c r="T43" s="18" t="n"/>
      <c r="U43" s="18" t="n"/>
    </row>
    <row r="44">
      <c r="A44" s="18" t="inlineStr">
        <is>
          <t>TOP-13</t>
        </is>
      </c>
      <c r="B44" s="18" t="inlineStr">
        <is>
          <t>Topology</t>
        </is>
      </c>
      <c r="C44" s="18" t="n"/>
      <c r="D44" s="18" t="n"/>
      <c r="E44" s="18" t="inlineStr">
        <is>
          <t>M3-OP4</t>
        </is>
      </c>
      <c r="F44" s="18" t="inlineStr">
        <is>
          <t>wash-water-out</t>
        </is>
      </c>
      <c r="G44" s="18" t="n"/>
      <c r="H44" s="18" t="n"/>
      <c r="I44" s="18" t="inlineStr">
        <is>
          <t>是</t>
        </is>
      </c>
      <c r="J44" s="18" t="inlineStr">
        <is>
          <t>洗涤工艺水</t>
        </is>
      </c>
      <c r="K44" s="18" t="n"/>
      <c r="L44" s="51">
        <f>IF(A44="","",IF(B44="Edge",IFERROR(IF(INDEX('模型流与公式'!$P$5:$P$204,MATCH(A44,'模型流与公式'!$A$5:$A$204,0))="","",INDEX('模型流与公式'!$P$5:$P$204,MATCH(A44,'模型流与公式'!$A$5:$A$204,0))),""),""))</f>
        <v/>
      </c>
      <c r="M44" s="18">
        <f>IF(A44="","",IF(B44="Edge",IFERROR(IF(INDEX('模型流与公式'!$Q$5:$Q$204,MATCH(A44,'模型流与公式'!$A$5:$A$204,0))="","",INDEX('模型流与公式'!$Q$5:$Q$204,MATCH(A44,'模型流与公式'!$A$5:$A$204,0))),""),""))</f>
        <v/>
      </c>
      <c r="N44" s="18" t="inlineStr">
        <is>
          <t>optional_label</t>
        </is>
      </c>
      <c r="O44" s="18" t="n"/>
      <c r="P44" s="18" t="inlineStr">
        <is>
          <t>已确认(补记2026-09-27)</t>
        </is>
      </c>
      <c r="Q44" s="18" t="inlineStr">
        <is>
          <t>待用户确认</t>
        </is>
      </c>
      <c r="R44" s="18" t="inlineStr">
        <is>
          <t>top_TOP-13</t>
        </is>
      </c>
      <c r="S44" s="18" t="inlineStr">
        <is>
          <t>PASS 2026-09-27 v15机器回归</t>
        </is>
      </c>
      <c r="T44" s="18" t="n"/>
      <c r="U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51">
        <f>IF(A45="","",IF(B45="Edge",IFERROR(IF(INDEX('模型流与公式'!$P$5:$P$204,MATCH(A45,'模型流与公式'!$A$5:$A$204,0))="","",INDEX('模型流与公式'!$P$5:$P$204,MATCH(A45,'模型流与公式'!$A$5:$A$204,0))),""),""))</f>
        <v/>
      </c>
      <c r="M45" s="18">
        <f>IF(A45="","",IF(B45="Edge",IFERROR(IF(INDEX('模型流与公式'!$Q$5:$Q$204,MATCH(A45,'模型流与公式'!$A$5:$A$204,0))="","",INDEX('模型流与公式'!$Q$5:$Q$204,MATCH(A45,'模型流与公式'!$A$5:$A$204,0))),""),""))</f>
        <v/>
      </c>
      <c r="N45" s="18" t="n"/>
      <c r="O45" s="18" t="n"/>
      <c r="P45" s="18" t="n"/>
      <c r="Q45" s="18" t="n"/>
      <c r="R45" s="18" t="n"/>
      <c r="S45" s="18" t="n"/>
      <c r="T45" s="18" t="n"/>
      <c r="U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51">
        <f>IF(A46="","",IF(B46="Edge",IFERROR(IF(INDEX('模型流与公式'!$P$5:$P$204,MATCH(A46,'模型流与公式'!$A$5:$A$204,0))="","",INDEX('模型流与公式'!$P$5:$P$204,MATCH(A46,'模型流与公式'!$A$5:$A$204,0))),""),""))</f>
        <v/>
      </c>
      <c r="M46" s="18">
        <f>IF(A46="","",IF(B46="Edge",IFERROR(IF(INDEX('模型流与公式'!$Q$5:$Q$204,MATCH(A46,'模型流与公式'!$A$5:$A$204,0))="","",INDEX('模型流与公式'!$Q$5:$Q$204,MATCH(A46,'模型流与公式'!$A$5:$A$204,0))),""),""))</f>
        <v/>
      </c>
      <c r="N46" s="18" t="n"/>
      <c r="O46" s="18" t="n"/>
      <c r="P46" s="18" t="n"/>
      <c r="Q46" s="18" t="n"/>
      <c r="R46" s="18" t="n"/>
      <c r="S46" s="18" t="n"/>
      <c r="T46" s="18" t="n"/>
      <c r="U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51">
        <f>IF(A47="","",IF(B47="Edge",IFERROR(IF(INDEX('模型流与公式'!$P$5:$P$204,MATCH(A47,'模型流与公式'!$A$5:$A$204,0))="","",INDEX('模型流与公式'!$P$5:$P$204,MATCH(A47,'模型流与公式'!$A$5:$A$204,0))),""),""))</f>
        <v/>
      </c>
      <c r="M47" s="18">
        <f>IF(A47="","",IF(B47="Edge",IFERROR(IF(INDEX('模型流与公式'!$Q$5:$Q$204,MATCH(A47,'模型流与公式'!$A$5:$A$204,0))="","",INDEX('模型流与公式'!$Q$5:$Q$204,MATCH(A47,'模型流与公式'!$A$5:$A$204,0))),""),""))</f>
        <v/>
      </c>
      <c r="N47" s="18" t="n"/>
      <c r="O47" s="18" t="n"/>
      <c r="P47" s="18" t="n"/>
      <c r="Q47" s="18" t="n"/>
      <c r="R47" s="18" t="n"/>
      <c r="S47" s="18" t="n"/>
      <c r="T47" s="18" t="n"/>
      <c r="U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51">
        <f>IF(A48="","",IF(B48="Edge",IFERROR(IF(INDEX('模型流与公式'!$P$5:$P$204,MATCH(A48,'模型流与公式'!$A$5:$A$204,0))="","",INDEX('模型流与公式'!$P$5:$P$204,MATCH(A48,'模型流与公式'!$A$5:$A$204,0))),""),""))</f>
        <v/>
      </c>
      <c r="M48" s="18">
        <f>IF(A48="","",IF(B48="Edge",IFERROR(IF(INDEX('模型流与公式'!$Q$5:$Q$204,MATCH(A48,'模型流与公式'!$A$5:$A$204,0))="","",INDEX('模型流与公式'!$Q$5:$Q$204,MATCH(A48,'模型流与公式'!$A$5:$A$204,0))),""),""))</f>
        <v/>
      </c>
      <c r="N48" s="18" t="n"/>
      <c r="O48" s="18" t="n"/>
      <c r="P48" s="18" t="n"/>
      <c r="Q48" s="18" t="n"/>
      <c r="R48" s="18" t="n"/>
      <c r="S48" s="18" t="n"/>
      <c r="T48" s="18" t="n"/>
      <c r="U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51">
        <f>IF(A49="","",IF(B49="Edge",IFERROR(IF(INDEX('模型流与公式'!$P$5:$P$204,MATCH(A49,'模型流与公式'!$A$5:$A$204,0))="","",INDEX('模型流与公式'!$P$5:$P$204,MATCH(A49,'模型流与公式'!$A$5:$A$204,0))),""),""))</f>
        <v/>
      </c>
      <c r="M49" s="18">
        <f>IF(A49="","",IF(B49="Edge",IFERROR(IF(INDEX('模型流与公式'!$Q$5:$Q$204,MATCH(A49,'模型流与公式'!$A$5:$A$204,0))="","",INDEX('模型流与公式'!$Q$5:$Q$204,MATCH(A49,'模型流与公式'!$A$5:$A$204,0))),""),""))</f>
        <v/>
      </c>
      <c r="N49" s="18" t="n"/>
      <c r="O49" s="18" t="n"/>
      <c r="P49" s="18" t="n"/>
      <c r="Q49" s="18" t="n"/>
      <c r="R49" s="18" t="n"/>
      <c r="S49" s="18" t="n"/>
      <c r="T49" s="18" t="n"/>
      <c r="U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51">
        <f>IF(A50="","",IF(B50="Edge",IFERROR(IF(INDEX('模型流与公式'!$P$5:$P$204,MATCH(A50,'模型流与公式'!$A$5:$A$204,0))="","",INDEX('模型流与公式'!$P$5:$P$204,MATCH(A50,'模型流与公式'!$A$5:$A$204,0))),""),""))</f>
        <v/>
      </c>
      <c r="M50" s="18">
        <f>IF(A50="","",IF(B50="Edge",IFERROR(IF(INDEX('模型流与公式'!$Q$5:$Q$204,MATCH(A50,'模型流与公式'!$A$5:$A$204,0))="","",INDEX('模型流与公式'!$Q$5:$Q$204,MATCH(A50,'模型流与公式'!$A$5:$A$204,0))),""),""))</f>
        <v/>
      </c>
      <c r="N50" s="18" t="n"/>
      <c r="O50" s="18" t="n"/>
      <c r="P50" s="18" t="n"/>
      <c r="Q50" s="18" t="n"/>
      <c r="R50" s="18" t="n"/>
      <c r="S50" s="18" t="n"/>
      <c r="T50" s="18" t="n"/>
      <c r="U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51">
        <f>IF(A51="","",IF(B51="Edge",IFERROR(IF(INDEX('模型流与公式'!$P$5:$P$204,MATCH(A51,'模型流与公式'!$A$5:$A$204,0))="","",INDEX('模型流与公式'!$P$5:$P$204,MATCH(A51,'模型流与公式'!$A$5:$A$204,0))),""),""))</f>
        <v/>
      </c>
      <c r="M51" s="18">
        <f>IF(A51="","",IF(B51="Edge",IFERROR(IF(INDEX('模型流与公式'!$Q$5:$Q$204,MATCH(A51,'模型流与公式'!$A$5:$A$204,0))="","",INDEX('模型流与公式'!$Q$5:$Q$204,MATCH(A51,'模型流与公式'!$A$5:$A$204,0))),""),""))</f>
        <v/>
      </c>
      <c r="N51" s="18" t="n"/>
      <c r="O51" s="18" t="n"/>
      <c r="P51" s="18" t="n"/>
      <c r="Q51" s="18" t="n"/>
      <c r="R51" s="18" t="n"/>
      <c r="S51" s="18" t="n"/>
      <c r="T51" s="18" t="n"/>
      <c r="U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51">
        <f>IF(A52="","",IF(B52="Edge",IFERROR(IF(INDEX('模型流与公式'!$P$5:$P$204,MATCH(A52,'模型流与公式'!$A$5:$A$204,0))="","",INDEX('模型流与公式'!$P$5:$P$204,MATCH(A52,'模型流与公式'!$A$5:$A$204,0))),""),""))</f>
        <v/>
      </c>
      <c r="M52" s="18">
        <f>IF(A52="","",IF(B52="Edge",IFERROR(IF(INDEX('模型流与公式'!$Q$5:$Q$204,MATCH(A52,'模型流与公式'!$A$5:$A$204,0))="","",INDEX('模型流与公式'!$Q$5:$Q$204,MATCH(A52,'模型流与公式'!$A$5:$A$204,0))),""),""))</f>
        <v/>
      </c>
      <c r="N52" s="18" t="n"/>
      <c r="O52" s="18" t="n"/>
      <c r="P52" s="18" t="n"/>
      <c r="Q52" s="18" t="n"/>
      <c r="R52" s="18" t="n"/>
      <c r="S52" s="18" t="n"/>
      <c r="T52" s="18" t="n"/>
      <c r="U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51">
        <f>IF(A53="","",IF(B53="Edge",IFERROR(IF(INDEX('模型流与公式'!$P$5:$P$204,MATCH(A53,'模型流与公式'!$A$5:$A$204,0))="","",INDEX('模型流与公式'!$P$5:$P$204,MATCH(A53,'模型流与公式'!$A$5:$A$204,0))),""),""))</f>
        <v/>
      </c>
      <c r="M53" s="18">
        <f>IF(A53="","",IF(B53="Edge",IFERROR(IF(INDEX('模型流与公式'!$Q$5:$Q$204,MATCH(A53,'模型流与公式'!$A$5:$A$204,0))="","",INDEX('模型流与公式'!$Q$5:$Q$204,MATCH(A53,'模型流与公式'!$A$5:$A$204,0))),""),""))</f>
        <v/>
      </c>
      <c r="N53" s="18" t="n"/>
      <c r="O53" s="18" t="n"/>
      <c r="P53" s="18" t="n"/>
      <c r="Q53" s="18" t="n"/>
      <c r="R53" s="18" t="n"/>
      <c r="S53" s="18" t="n"/>
      <c r="T53" s="18" t="n"/>
      <c r="U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51">
        <f>IF(A54="","",IF(B54="Edge",IFERROR(IF(INDEX('模型流与公式'!$P$5:$P$204,MATCH(A54,'模型流与公式'!$A$5:$A$204,0))="","",INDEX('模型流与公式'!$P$5:$P$204,MATCH(A54,'模型流与公式'!$A$5:$A$204,0))),""),""))</f>
        <v/>
      </c>
      <c r="M54" s="18">
        <f>IF(A54="","",IF(B54="Edge",IFERROR(IF(INDEX('模型流与公式'!$Q$5:$Q$204,MATCH(A54,'模型流与公式'!$A$5:$A$204,0))="","",INDEX('模型流与公式'!$Q$5:$Q$204,MATCH(A54,'模型流与公式'!$A$5:$A$204,0))),""),""))</f>
        <v/>
      </c>
      <c r="N54" s="18" t="n"/>
      <c r="O54" s="18" t="n"/>
      <c r="P54" s="18" t="n"/>
      <c r="Q54" s="18" t="n"/>
      <c r="R54" s="18" t="n"/>
      <c r="S54" s="18" t="n"/>
      <c r="T54" s="18" t="n"/>
      <c r="U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51">
        <f>IF(A55="","",IF(B55="Edge",IFERROR(IF(INDEX('模型流与公式'!$P$5:$P$204,MATCH(A55,'模型流与公式'!$A$5:$A$204,0))="","",INDEX('模型流与公式'!$P$5:$P$204,MATCH(A55,'模型流与公式'!$A$5:$A$204,0))),""),""))</f>
        <v/>
      </c>
      <c r="M55" s="18">
        <f>IF(A55="","",IF(B55="Edge",IFERROR(IF(INDEX('模型流与公式'!$Q$5:$Q$204,MATCH(A55,'模型流与公式'!$A$5:$A$204,0))="","",INDEX('模型流与公式'!$Q$5:$Q$204,MATCH(A55,'模型流与公式'!$A$5:$A$204,0))),""),""))</f>
        <v/>
      </c>
      <c r="N55" s="18" t="n"/>
      <c r="O55" s="18" t="n"/>
      <c r="P55" s="18" t="n"/>
      <c r="Q55" s="18" t="n"/>
      <c r="R55" s="18" t="n"/>
      <c r="S55" s="18" t="n"/>
      <c r="T55" s="18" t="n"/>
      <c r="U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51">
        <f>IF(A56="","",IF(B56="Edge",IFERROR(IF(INDEX('模型流与公式'!$P$5:$P$204,MATCH(A56,'模型流与公式'!$A$5:$A$204,0))="","",INDEX('模型流与公式'!$P$5:$P$204,MATCH(A56,'模型流与公式'!$A$5:$A$204,0))),""),""))</f>
        <v/>
      </c>
      <c r="M56" s="18">
        <f>IF(A56="","",IF(B56="Edge",IFERROR(IF(INDEX('模型流与公式'!$Q$5:$Q$204,MATCH(A56,'模型流与公式'!$A$5:$A$204,0))="","",INDEX('模型流与公式'!$Q$5:$Q$204,MATCH(A56,'模型流与公式'!$A$5:$A$204,0))),""),""))</f>
        <v/>
      </c>
      <c r="N56" s="18" t="n"/>
      <c r="O56" s="18" t="n"/>
      <c r="P56" s="18" t="n"/>
      <c r="Q56" s="18" t="n"/>
      <c r="R56" s="18" t="n"/>
      <c r="S56" s="18" t="n"/>
      <c r="T56" s="18" t="n"/>
      <c r="U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51">
        <f>IF(A57="","",IF(B57="Edge",IFERROR(IF(INDEX('模型流与公式'!$P$5:$P$204,MATCH(A57,'模型流与公式'!$A$5:$A$204,0))="","",INDEX('模型流与公式'!$P$5:$P$204,MATCH(A57,'模型流与公式'!$A$5:$A$204,0))),""),""))</f>
        <v/>
      </c>
      <c r="M57" s="18">
        <f>IF(A57="","",IF(B57="Edge",IFERROR(IF(INDEX('模型流与公式'!$Q$5:$Q$204,MATCH(A57,'模型流与公式'!$A$5:$A$204,0))="","",INDEX('模型流与公式'!$Q$5:$Q$204,MATCH(A57,'模型流与公式'!$A$5:$A$204,0))),""),""))</f>
        <v/>
      </c>
      <c r="N57" s="18" t="n"/>
      <c r="O57" s="18" t="n"/>
      <c r="P57" s="18" t="n"/>
      <c r="Q57" s="18" t="n"/>
      <c r="R57" s="18" t="n"/>
      <c r="S57" s="18" t="n"/>
      <c r="T57" s="18" t="n"/>
      <c r="U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51">
        <f>IF(A58="","",IF(B58="Edge",IFERROR(IF(INDEX('模型流与公式'!$P$5:$P$204,MATCH(A58,'模型流与公式'!$A$5:$A$204,0))="","",INDEX('模型流与公式'!$P$5:$P$204,MATCH(A58,'模型流与公式'!$A$5:$A$204,0))),""),""))</f>
        <v/>
      </c>
      <c r="M58" s="18">
        <f>IF(A58="","",IF(B58="Edge",IFERROR(IF(INDEX('模型流与公式'!$Q$5:$Q$204,MATCH(A58,'模型流与公式'!$A$5:$A$204,0))="","",INDEX('模型流与公式'!$Q$5:$Q$204,MATCH(A58,'模型流与公式'!$A$5:$A$204,0))),""),""))</f>
        <v/>
      </c>
      <c r="N58" s="18" t="n"/>
      <c r="O58" s="18" t="n"/>
      <c r="P58" s="18" t="n"/>
      <c r="Q58" s="18" t="n"/>
      <c r="R58" s="18" t="n"/>
      <c r="S58" s="18" t="n"/>
      <c r="T58" s="18" t="n"/>
      <c r="U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51">
        <f>IF(A59="","",IF(B59="Edge",IFERROR(IF(INDEX('模型流与公式'!$P$5:$P$204,MATCH(A59,'模型流与公式'!$A$5:$A$204,0))="","",INDEX('模型流与公式'!$P$5:$P$204,MATCH(A59,'模型流与公式'!$A$5:$A$204,0))),""),""))</f>
        <v/>
      </c>
      <c r="M59" s="18">
        <f>IF(A59="","",IF(B59="Edge",IFERROR(IF(INDEX('模型流与公式'!$Q$5:$Q$204,MATCH(A59,'模型流与公式'!$A$5:$A$204,0))="","",INDEX('模型流与公式'!$Q$5:$Q$204,MATCH(A59,'模型流与公式'!$A$5:$A$204,0))),""),""))</f>
        <v/>
      </c>
      <c r="N59" s="18" t="n"/>
      <c r="O59" s="18" t="n"/>
      <c r="P59" s="18" t="n"/>
      <c r="Q59" s="18" t="n"/>
      <c r="R59" s="18" t="n"/>
      <c r="S59" s="18" t="n"/>
      <c r="T59" s="18" t="n"/>
      <c r="U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51">
        <f>IF(A60="","",IF(B60="Edge",IFERROR(IF(INDEX('模型流与公式'!$P$5:$P$204,MATCH(A60,'模型流与公式'!$A$5:$A$204,0))="","",INDEX('模型流与公式'!$P$5:$P$204,MATCH(A60,'模型流与公式'!$A$5:$A$204,0))),""),""))</f>
        <v/>
      </c>
      <c r="M60" s="18">
        <f>IF(A60="","",IF(B60="Edge",IFERROR(IF(INDEX('模型流与公式'!$Q$5:$Q$204,MATCH(A60,'模型流与公式'!$A$5:$A$204,0))="","",INDEX('模型流与公式'!$Q$5:$Q$204,MATCH(A60,'模型流与公式'!$A$5:$A$204,0))),""),""))</f>
        <v/>
      </c>
      <c r="N60" s="18" t="n"/>
      <c r="O60" s="18" t="n"/>
      <c r="P60" s="18" t="n"/>
      <c r="Q60" s="18" t="n"/>
      <c r="R60" s="18" t="n"/>
      <c r="S60" s="18" t="n"/>
      <c r="T60" s="18" t="n"/>
      <c r="U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51">
        <f>IF(A61="","",IF(B61="Edge",IFERROR(IF(INDEX('模型流与公式'!$P$5:$P$204,MATCH(A61,'模型流与公式'!$A$5:$A$204,0))="","",INDEX('模型流与公式'!$P$5:$P$204,MATCH(A61,'模型流与公式'!$A$5:$A$204,0))),""),""))</f>
        <v/>
      </c>
      <c r="M61" s="18">
        <f>IF(A61="","",IF(B61="Edge",IFERROR(IF(INDEX('模型流与公式'!$Q$5:$Q$204,MATCH(A61,'模型流与公式'!$A$5:$A$204,0))="","",INDEX('模型流与公式'!$Q$5:$Q$204,MATCH(A61,'模型流与公式'!$A$5:$A$204,0))),""),""))</f>
        <v/>
      </c>
      <c r="N61" s="18" t="n"/>
      <c r="O61" s="18" t="n"/>
      <c r="P61" s="18" t="n"/>
      <c r="Q61" s="18" t="n"/>
      <c r="R61" s="18" t="n"/>
      <c r="S61" s="18" t="n"/>
      <c r="T61" s="18" t="n"/>
      <c r="U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51">
        <f>IF(A62="","",IF(B62="Edge",IFERROR(IF(INDEX('模型流与公式'!$P$5:$P$204,MATCH(A62,'模型流与公式'!$A$5:$A$204,0))="","",INDEX('模型流与公式'!$P$5:$P$204,MATCH(A62,'模型流与公式'!$A$5:$A$204,0))),""),""))</f>
        <v/>
      </c>
      <c r="M62" s="18">
        <f>IF(A62="","",IF(B62="Edge",IFERROR(IF(INDEX('模型流与公式'!$Q$5:$Q$204,MATCH(A62,'模型流与公式'!$A$5:$A$204,0))="","",INDEX('模型流与公式'!$Q$5:$Q$204,MATCH(A62,'模型流与公式'!$A$5:$A$204,0))),""),""))</f>
        <v/>
      </c>
      <c r="N62" s="18" t="n"/>
      <c r="O62" s="18" t="n"/>
      <c r="P62" s="18" t="n"/>
      <c r="Q62" s="18" t="n"/>
      <c r="R62" s="18" t="n"/>
      <c r="S62" s="18" t="n"/>
      <c r="T62" s="18" t="n"/>
      <c r="U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51">
        <f>IF(A63="","",IF(B63="Edge",IFERROR(IF(INDEX('模型流与公式'!$P$5:$P$204,MATCH(A63,'模型流与公式'!$A$5:$A$204,0))="","",INDEX('模型流与公式'!$P$5:$P$204,MATCH(A63,'模型流与公式'!$A$5:$A$204,0))),""),""))</f>
        <v/>
      </c>
      <c r="M63" s="18">
        <f>IF(A63="","",IF(B63="Edge",IFERROR(IF(INDEX('模型流与公式'!$Q$5:$Q$204,MATCH(A63,'模型流与公式'!$A$5:$A$204,0))="","",INDEX('模型流与公式'!$Q$5:$Q$204,MATCH(A63,'模型流与公式'!$A$5:$A$204,0))),""),""))</f>
        <v/>
      </c>
      <c r="N63" s="18" t="n"/>
      <c r="O63" s="18" t="n"/>
      <c r="P63" s="18" t="n"/>
      <c r="Q63" s="18" t="n"/>
      <c r="R63" s="18" t="n"/>
      <c r="S63" s="18" t="n"/>
      <c r="T63" s="18" t="n"/>
      <c r="U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51">
        <f>IF(A64="","",IF(B64="Edge",IFERROR(IF(INDEX('模型流与公式'!$P$5:$P$204,MATCH(A64,'模型流与公式'!$A$5:$A$204,0))="","",INDEX('模型流与公式'!$P$5:$P$204,MATCH(A64,'模型流与公式'!$A$5:$A$204,0))),""),""))</f>
        <v/>
      </c>
      <c r="M64" s="18">
        <f>IF(A64="","",IF(B64="Edge",IFERROR(IF(INDEX('模型流与公式'!$Q$5:$Q$204,MATCH(A64,'模型流与公式'!$A$5:$A$204,0))="","",INDEX('模型流与公式'!$Q$5:$Q$204,MATCH(A64,'模型流与公式'!$A$5:$A$204,0))),""),""))</f>
        <v/>
      </c>
      <c r="N64" s="18" t="n"/>
      <c r="O64" s="18" t="n"/>
      <c r="P64" s="18" t="n"/>
      <c r="Q64" s="18" t="n"/>
      <c r="R64" s="18" t="n"/>
      <c r="S64" s="18" t="n"/>
      <c r="T64" s="18" t="n"/>
      <c r="U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51">
        <f>IF(A65="","",IF(B65="Edge",IFERROR(IF(INDEX('模型流与公式'!$P$5:$P$204,MATCH(A65,'模型流与公式'!$A$5:$A$204,0))="","",INDEX('模型流与公式'!$P$5:$P$204,MATCH(A65,'模型流与公式'!$A$5:$A$204,0))),""),""))</f>
        <v/>
      </c>
      <c r="M65" s="18">
        <f>IF(A65="","",IF(B65="Edge",IFERROR(IF(INDEX('模型流与公式'!$Q$5:$Q$204,MATCH(A65,'模型流与公式'!$A$5:$A$204,0))="","",INDEX('模型流与公式'!$Q$5:$Q$204,MATCH(A65,'模型流与公式'!$A$5:$A$204,0))),""),""))</f>
        <v/>
      </c>
      <c r="N65" s="18" t="n"/>
      <c r="O65" s="18" t="n"/>
      <c r="P65" s="18" t="n"/>
      <c r="Q65" s="18" t="n"/>
      <c r="R65" s="18" t="n"/>
      <c r="S65" s="18" t="n"/>
      <c r="T65" s="18" t="n"/>
      <c r="U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51">
        <f>IF(A66="","",IF(B66="Edge",IFERROR(IF(INDEX('模型流与公式'!$P$5:$P$204,MATCH(A66,'模型流与公式'!$A$5:$A$204,0))="","",INDEX('模型流与公式'!$P$5:$P$204,MATCH(A66,'模型流与公式'!$A$5:$A$204,0))),""),""))</f>
        <v/>
      </c>
      <c r="M66" s="18">
        <f>IF(A66="","",IF(B66="Edge",IFERROR(IF(INDEX('模型流与公式'!$Q$5:$Q$204,MATCH(A66,'模型流与公式'!$A$5:$A$204,0))="","",INDEX('模型流与公式'!$Q$5:$Q$204,MATCH(A66,'模型流与公式'!$A$5:$A$204,0))),""),""))</f>
        <v/>
      </c>
      <c r="N66" s="18" t="n"/>
      <c r="O66" s="18" t="n"/>
      <c r="P66" s="18" t="n"/>
      <c r="Q66" s="18" t="n"/>
      <c r="R66" s="18" t="n"/>
      <c r="S66" s="18" t="n"/>
      <c r="T66" s="18" t="n"/>
      <c r="U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51">
        <f>IF(A67="","",IF(B67="Edge",IFERROR(IF(INDEX('模型流与公式'!$P$5:$P$204,MATCH(A67,'模型流与公式'!$A$5:$A$204,0))="","",INDEX('模型流与公式'!$P$5:$P$204,MATCH(A67,'模型流与公式'!$A$5:$A$204,0))),""),""))</f>
        <v/>
      </c>
      <c r="M67" s="18">
        <f>IF(A67="","",IF(B67="Edge",IFERROR(IF(INDEX('模型流与公式'!$Q$5:$Q$204,MATCH(A67,'模型流与公式'!$A$5:$A$204,0))="","",INDEX('模型流与公式'!$Q$5:$Q$204,MATCH(A67,'模型流与公式'!$A$5:$A$204,0))),""),""))</f>
        <v/>
      </c>
      <c r="N67" s="18" t="n"/>
      <c r="O67" s="18" t="n"/>
      <c r="P67" s="18" t="n"/>
      <c r="Q67" s="18" t="n"/>
      <c r="R67" s="18" t="n"/>
      <c r="S67" s="18" t="n"/>
      <c r="T67" s="18" t="n"/>
      <c r="U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51">
        <f>IF(A68="","",IF(B68="Edge",IFERROR(IF(INDEX('模型流与公式'!$P$5:$P$204,MATCH(A68,'模型流与公式'!$A$5:$A$204,0))="","",INDEX('模型流与公式'!$P$5:$P$204,MATCH(A68,'模型流与公式'!$A$5:$A$204,0))),""),""))</f>
        <v/>
      </c>
      <c r="M68" s="18">
        <f>IF(A68="","",IF(B68="Edge",IFERROR(IF(INDEX('模型流与公式'!$Q$5:$Q$204,MATCH(A68,'模型流与公式'!$A$5:$A$204,0))="","",INDEX('模型流与公式'!$Q$5:$Q$204,MATCH(A68,'模型流与公式'!$A$5:$A$204,0))),""),""))</f>
        <v/>
      </c>
      <c r="N68" s="18" t="n"/>
      <c r="O68" s="18" t="n"/>
      <c r="P68" s="18" t="n"/>
      <c r="Q68" s="18" t="n"/>
      <c r="R68" s="18" t="n"/>
      <c r="S68" s="18" t="n"/>
      <c r="T68" s="18" t="n"/>
      <c r="U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51">
        <f>IF(A69="","",IF(B69="Edge",IFERROR(IF(INDEX('模型流与公式'!$P$5:$P$204,MATCH(A69,'模型流与公式'!$A$5:$A$204,0))="","",INDEX('模型流与公式'!$P$5:$P$204,MATCH(A69,'模型流与公式'!$A$5:$A$204,0))),""),""))</f>
        <v/>
      </c>
      <c r="M69" s="18">
        <f>IF(A69="","",IF(B69="Edge",IFERROR(IF(INDEX('模型流与公式'!$Q$5:$Q$204,MATCH(A69,'模型流与公式'!$A$5:$A$204,0))="","",INDEX('模型流与公式'!$Q$5:$Q$204,MATCH(A69,'模型流与公式'!$A$5:$A$204,0))),""),""))</f>
        <v/>
      </c>
      <c r="N69" s="18" t="n"/>
      <c r="O69" s="18" t="n"/>
      <c r="P69" s="18" t="n"/>
      <c r="Q69" s="18" t="n"/>
      <c r="R69" s="18" t="n"/>
      <c r="S69" s="18" t="n"/>
      <c r="T69" s="18" t="n"/>
      <c r="U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51">
        <f>IF(A70="","",IF(B70="Edge",IFERROR(IF(INDEX('模型流与公式'!$P$5:$P$204,MATCH(A70,'模型流与公式'!$A$5:$A$204,0))="","",INDEX('模型流与公式'!$P$5:$P$204,MATCH(A70,'模型流与公式'!$A$5:$A$204,0))),""),""))</f>
        <v/>
      </c>
      <c r="M70" s="18">
        <f>IF(A70="","",IF(B70="Edge",IFERROR(IF(INDEX('模型流与公式'!$Q$5:$Q$204,MATCH(A70,'模型流与公式'!$A$5:$A$204,0))="","",INDEX('模型流与公式'!$Q$5:$Q$204,MATCH(A70,'模型流与公式'!$A$5:$A$204,0))),""),""))</f>
        <v/>
      </c>
      <c r="N70" s="18" t="n"/>
      <c r="O70" s="18" t="n"/>
      <c r="P70" s="18" t="n"/>
      <c r="Q70" s="18" t="n"/>
      <c r="R70" s="18" t="n"/>
      <c r="S70" s="18" t="n"/>
      <c r="T70" s="18" t="n"/>
      <c r="U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51">
        <f>IF(A71="","",IF(B71="Edge",IFERROR(IF(INDEX('模型流与公式'!$P$5:$P$204,MATCH(A71,'模型流与公式'!$A$5:$A$204,0))="","",INDEX('模型流与公式'!$P$5:$P$204,MATCH(A71,'模型流与公式'!$A$5:$A$204,0))),""),""))</f>
        <v/>
      </c>
      <c r="M71" s="18">
        <f>IF(A71="","",IF(B71="Edge",IFERROR(IF(INDEX('模型流与公式'!$Q$5:$Q$204,MATCH(A71,'模型流与公式'!$A$5:$A$204,0))="","",INDEX('模型流与公式'!$Q$5:$Q$204,MATCH(A71,'模型流与公式'!$A$5:$A$204,0))),""),""))</f>
        <v/>
      </c>
      <c r="N71" s="18" t="n"/>
      <c r="O71" s="18" t="n"/>
      <c r="P71" s="18" t="n"/>
      <c r="Q71" s="18" t="n"/>
      <c r="R71" s="18" t="n"/>
      <c r="S71" s="18" t="n"/>
      <c r="T71" s="18" t="n"/>
      <c r="U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51">
        <f>IF(A72="","",IF(B72="Edge",IFERROR(IF(INDEX('模型流与公式'!$P$5:$P$204,MATCH(A72,'模型流与公式'!$A$5:$A$204,0))="","",INDEX('模型流与公式'!$P$5:$P$204,MATCH(A72,'模型流与公式'!$A$5:$A$204,0))),""),""))</f>
        <v/>
      </c>
      <c r="M72" s="18">
        <f>IF(A72="","",IF(B72="Edge",IFERROR(IF(INDEX('模型流与公式'!$Q$5:$Q$204,MATCH(A72,'模型流与公式'!$A$5:$A$204,0))="","",INDEX('模型流与公式'!$Q$5:$Q$204,MATCH(A72,'模型流与公式'!$A$5:$A$204,0))),""),""))</f>
        <v/>
      </c>
      <c r="N72" s="18" t="n"/>
      <c r="O72" s="18" t="n"/>
      <c r="P72" s="18" t="n"/>
      <c r="Q72" s="18" t="n"/>
      <c r="R72" s="18" t="n"/>
      <c r="S72" s="18" t="n"/>
      <c r="T72" s="18" t="n"/>
      <c r="U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51">
        <f>IF(A73="","",IF(B73="Edge",IFERROR(IF(INDEX('模型流与公式'!$P$5:$P$204,MATCH(A73,'模型流与公式'!$A$5:$A$204,0))="","",INDEX('模型流与公式'!$P$5:$P$204,MATCH(A73,'模型流与公式'!$A$5:$A$204,0))),""),""))</f>
        <v/>
      </c>
      <c r="M73" s="18">
        <f>IF(A73="","",IF(B73="Edge",IFERROR(IF(INDEX('模型流与公式'!$Q$5:$Q$204,MATCH(A73,'模型流与公式'!$A$5:$A$204,0))="","",INDEX('模型流与公式'!$Q$5:$Q$204,MATCH(A73,'模型流与公式'!$A$5:$A$204,0))),""),""))</f>
        <v/>
      </c>
      <c r="N73" s="18" t="n"/>
      <c r="O73" s="18" t="n"/>
      <c r="P73" s="18" t="n"/>
      <c r="Q73" s="18" t="n"/>
      <c r="R73" s="18" t="n"/>
      <c r="S73" s="18" t="n"/>
      <c r="T73" s="18" t="n"/>
      <c r="U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51">
        <f>IF(A74="","",IF(B74="Edge",IFERROR(IF(INDEX('模型流与公式'!$P$5:$P$204,MATCH(A74,'模型流与公式'!$A$5:$A$204,0))="","",INDEX('模型流与公式'!$P$5:$P$204,MATCH(A74,'模型流与公式'!$A$5:$A$204,0))),""),""))</f>
        <v/>
      </c>
      <c r="M74" s="18">
        <f>IF(A74="","",IF(B74="Edge",IFERROR(IF(INDEX('模型流与公式'!$Q$5:$Q$204,MATCH(A74,'模型流与公式'!$A$5:$A$204,0))="","",INDEX('模型流与公式'!$Q$5:$Q$204,MATCH(A74,'模型流与公式'!$A$5:$A$204,0))),""),""))</f>
        <v/>
      </c>
      <c r="N74" s="18" t="n"/>
      <c r="O74" s="18" t="n"/>
      <c r="P74" s="18" t="n"/>
      <c r="Q74" s="18" t="n"/>
      <c r="R74" s="18" t="n"/>
      <c r="S74" s="18" t="n"/>
      <c r="T74" s="18" t="n"/>
      <c r="U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51">
        <f>IF(A75="","",IF(B75="Edge",IFERROR(IF(INDEX('模型流与公式'!$P$5:$P$204,MATCH(A75,'模型流与公式'!$A$5:$A$204,0))="","",INDEX('模型流与公式'!$P$5:$P$204,MATCH(A75,'模型流与公式'!$A$5:$A$204,0))),""),""))</f>
        <v/>
      </c>
      <c r="M75" s="18">
        <f>IF(A75="","",IF(B75="Edge",IFERROR(IF(INDEX('模型流与公式'!$Q$5:$Q$204,MATCH(A75,'模型流与公式'!$A$5:$A$204,0))="","",INDEX('模型流与公式'!$Q$5:$Q$204,MATCH(A75,'模型流与公式'!$A$5:$A$204,0))),""),""))</f>
        <v/>
      </c>
      <c r="N75" s="18" t="n"/>
      <c r="O75" s="18" t="n"/>
      <c r="P75" s="18" t="n"/>
      <c r="Q75" s="18" t="n"/>
      <c r="R75" s="18" t="n"/>
      <c r="S75" s="18" t="n"/>
      <c r="T75" s="18" t="n"/>
      <c r="U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51">
        <f>IF(A76="","",IF(B76="Edge",IFERROR(IF(INDEX('模型流与公式'!$P$5:$P$204,MATCH(A76,'模型流与公式'!$A$5:$A$204,0))="","",INDEX('模型流与公式'!$P$5:$P$204,MATCH(A76,'模型流与公式'!$A$5:$A$204,0))),""),""))</f>
        <v/>
      </c>
      <c r="M76" s="18">
        <f>IF(A76="","",IF(B76="Edge",IFERROR(IF(INDEX('模型流与公式'!$Q$5:$Q$204,MATCH(A76,'模型流与公式'!$A$5:$A$204,0))="","",INDEX('模型流与公式'!$Q$5:$Q$204,MATCH(A76,'模型流与公式'!$A$5:$A$204,0))),""),""))</f>
        <v/>
      </c>
      <c r="N76" s="18" t="n"/>
      <c r="O76" s="18" t="n"/>
      <c r="P76" s="18" t="n"/>
      <c r="Q76" s="18" t="n"/>
      <c r="R76" s="18" t="n"/>
      <c r="S76" s="18" t="n"/>
      <c r="T76" s="18" t="n"/>
      <c r="U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51">
        <f>IF(A77="","",IF(B77="Edge",IFERROR(IF(INDEX('模型流与公式'!$P$5:$P$204,MATCH(A77,'模型流与公式'!$A$5:$A$204,0))="","",INDEX('模型流与公式'!$P$5:$P$204,MATCH(A77,'模型流与公式'!$A$5:$A$204,0))),""),""))</f>
        <v/>
      </c>
      <c r="M77" s="18">
        <f>IF(A77="","",IF(B77="Edge",IFERROR(IF(INDEX('模型流与公式'!$Q$5:$Q$204,MATCH(A77,'模型流与公式'!$A$5:$A$204,0))="","",INDEX('模型流与公式'!$Q$5:$Q$204,MATCH(A77,'模型流与公式'!$A$5:$A$204,0))),""),""))</f>
        <v/>
      </c>
      <c r="N77" s="18" t="n"/>
      <c r="O77" s="18" t="n"/>
      <c r="P77" s="18" t="n"/>
      <c r="Q77" s="18" t="n"/>
      <c r="R77" s="18" t="n"/>
      <c r="S77" s="18" t="n"/>
      <c r="T77" s="18" t="n"/>
      <c r="U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51">
        <f>IF(A78="","",IF(B78="Edge",IFERROR(IF(INDEX('模型流与公式'!$P$5:$P$204,MATCH(A78,'模型流与公式'!$A$5:$A$204,0))="","",INDEX('模型流与公式'!$P$5:$P$204,MATCH(A78,'模型流与公式'!$A$5:$A$204,0))),""),""))</f>
        <v/>
      </c>
      <c r="M78" s="18">
        <f>IF(A78="","",IF(B78="Edge",IFERROR(IF(INDEX('模型流与公式'!$Q$5:$Q$204,MATCH(A78,'模型流与公式'!$A$5:$A$204,0))="","",INDEX('模型流与公式'!$Q$5:$Q$204,MATCH(A78,'模型流与公式'!$A$5:$A$204,0))),""),""))</f>
        <v/>
      </c>
      <c r="N78" s="18" t="n"/>
      <c r="O78" s="18" t="n"/>
      <c r="P78" s="18" t="n"/>
      <c r="Q78" s="18" t="n"/>
      <c r="R78" s="18" t="n"/>
      <c r="S78" s="18" t="n"/>
      <c r="T78" s="18" t="n"/>
      <c r="U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51">
        <f>IF(A79="","",IF(B79="Edge",IFERROR(IF(INDEX('模型流与公式'!$P$5:$P$204,MATCH(A79,'模型流与公式'!$A$5:$A$204,0))="","",INDEX('模型流与公式'!$P$5:$P$204,MATCH(A79,'模型流与公式'!$A$5:$A$204,0))),""),""))</f>
        <v/>
      </c>
      <c r="M79" s="18">
        <f>IF(A79="","",IF(B79="Edge",IFERROR(IF(INDEX('模型流与公式'!$Q$5:$Q$204,MATCH(A79,'模型流与公式'!$A$5:$A$204,0))="","",INDEX('模型流与公式'!$Q$5:$Q$204,MATCH(A79,'模型流与公式'!$A$5:$A$204,0))),""),""))</f>
        <v/>
      </c>
      <c r="N79" s="18" t="n"/>
      <c r="O79" s="18" t="n"/>
      <c r="P79" s="18" t="n"/>
      <c r="Q79" s="18" t="n"/>
      <c r="R79" s="18" t="n"/>
      <c r="S79" s="18" t="n"/>
      <c r="T79" s="18" t="n"/>
      <c r="U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51">
        <f>IF(A80="","",IF(B80="Edge",IFERROR(IF(INDEX('模型流与公式'!$P$5:$P$204,MATCH(A80,'模型流与公式'!$A$5:$A$204,0))="","",INDEX('模型流与公式'!$P$5:$P$204,MATCH(A80,'模型流与公式'!$A$5:$A$204,0))),""),""))</f>
        <v/>
      </c>
      <c r="M80" s="18">
        <f>IF(A80="","",IF(B80="Edge",IFERROR(IF(INDEX('模型流与公式'!$Q$5:$Q$204,MATCH(A80,'模型流与公式'!$A$5:$A$204,0))="","",INDEX('模型流与公式'!$Q$5:$Q$204,MATCH(A80,'模型流与公式'!$A$5:$A$204,0))),""),""))</f>
        <v/>
      </c>
      <c r="N80" s="18" t="n"/>
      <c r="O80" s="18" t="n"/>
      <c r="P80" s="18" t="n"/>
      <c r="Q80" s="18" t="n"/>
      <c r="R80" s="18" t="n"/>
      <c r="S80" s="18" t="n"/>
      <c r="T80" s="18" t="n"/>
      <c r="U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51">
        <f>IF(A81="","",IF(B81="Edge",IFERROR(IF(INDEX('模型流与公式'!$P$5:$P$204,MATCH(A81,'模型流与公式'!$A$5:$A$204,0))="","",INDEX('模型流与公式'!$P$5:$P$204,MATCH(A81,'模型流与公式'!$A$5:$A$204,0))),""),""))</f>
        <v/>
      </c>
      <c r="M81" s="18">
        <f>IF(A81="","",IF(B81="Edge",IFERROR(IF(INDEX('模型流与公式'!$Q$5:$Q$204,MATCH(A81,'模型流与公式'!$A$5:$A$204,0))="","",INDEX('模型流与公式'!$Q$5:$Q$204,MATCH(A81,'模型流与公式'!$A$5:$A$204,0))),""),""))</f>
        <v/>
      </c>
      <c r="N81" s="18" t="n"/>
      <c r="O81" s="18" t="n"/>
      <c r="P81" s="18" t="n"/>
      <c r="Q81" s="18" t="n"/>
      <c r="R81" s="18" t="n"/>
      <c r="S81" s="18" t="n"/>
      <c r="T81" s="18" t="n"/>
      <c r="U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51">
        <f>IF(A82="","",IF(B82="Edge",IFERROR(IF(INDEX('模型流与公式'!$P$5:$P$204,MATCH(A82,'模型流与公式'!$A$5:$A$204,0))="","",INDEX('模型流与公式'!$P$5:$P$204,MATCH(A82,'模型流与公式'!$A$5:$A$204,0))),""),""))</f>
        <v/>
      </c>
      <c r="M82" s="18">
        <f>IF(A82="","",IF(B82="Edge",IFERROR(IF(INDEX('模型流与公式'!$Q$5:$Q$204,MATCH(A82,'模型流与公式'!$A$5:$A$204,0))="","",INDEX('模型流与公式'!$Q$5:$Q$204,MATCH(A82,'模型流与公式'!$A$5:$A$204,0))),""),""))</f>
        <v/>
      </c>
      <c r="N82" s="18" t="n"/>
      <c r="O82" s="18" t="n"/>
      <c r="P82" s="18" t="n"/>
      <c r="Q82" s="18" t="n"/>
      <c r="R82" s="18" t="n"/>
      <c r="S82" s="18" t="n"/>
      <c r="T82" s="18" t="n"/>
      <c r="U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51">
        <f>IF(A83="","",IF(B83="Edge",IFERROR(IF(INDEX('模型流与公式'!$P$5:$P$204,MATCH(A83,'模型流与公式'!$A$5:$A$204,0))="","",INDEX('模型流与公式'!$P$5:$P$204,MATCH(A83,'模型流与公式'!$A$5:$A$204,0))),""),""))</f>
        <v/>
      </c>
      <c r="M83" s="18">
        <f>IF(A83="","",IF(B83="Edge",IFERROR(IF(INDEX('模型流与公式'!$Q$5:$Q$204,MATCH(A83,'模型流与公式'!$A$5:$A$204,0))="","",INDEX('模型流与公式'!$Q$5:$Q$204,MATCH(A83,'模型流与公式'!$A$5:$A$204,0))),""),""))</f>
        <v/>
      </c>
      <c r="N83" s="18" t="n"/>
      <c r="O83" s="18" t="n"/>
      <c r="P83" s="18" t="n"/>
      <c r="Q83" s="18" t="n"/>
      <c r="R83" s="18" t="n"/>
      <c r="S83" s="18" t="n"/>
      <c r="T83" s="18" t="n"/>
      <c r="U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51">
        <f>IF(A84="","",IF(B84="Edge",IFERROR(IF(INDEX('模型流与公式'!$P$5:$P$204,MATCH(A84,'模型流与公式'!$A$5:$A$204,0))="","",INDEX('模型流与公式'!$P$5:$P$204,MATCH(A84,'模型流与公式'!$A$5:$A$204,0))),""),""))</f>
        <v/>
      </c>
      <c r="M84" s="18">
        <f>IF(A84="","",IF(B84="Edge",IFERROR(IF(INDEX('模型流与公式'!$Q$5:$Q$204,MATCH(A84,'模型流与公式'!$A$5:$A$204,0))="","",INDEX('模型流与公式'!$Q$5:$Q$204,MATCH(A84,'模型流与公式'!$A$5:$A$204,0))),""),""))</f>
        <v/>
      </c>
      <c r="N84" s="18" t="n"/>
      <c r="O84" s="18" t="n"/>
      <c r="P84" s="18" t="n"/>
      <c r="Q84" s="18" t="n"/>
      <c r="R84" s="18" t="n"/>
      <c r="S84" s="18" t="n"/>
      <c r="T84" s="18" t="n"/>
      <c r="U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51">
        <f>IF(A85="","",IF(B85="Edge",IFERROR(IF(INDEX('模型流与公式'!$P$5:$P$204,MATCH(A85,'模型流与公式'!$A$5:$A$204,0))="","",INDEX('模型流与公式'!$P$5:$P$204,MATCH(A85,'模型流与公式'!$A$5:$A$204,0))),""),""))</f>
        <v/>
      </c>
      <c r="M85" s="18">
        <f>IF(A85="","",IF(B85="Edge",IFERROR(IF(INDEX('模型流与公式'!$Q$5:$Q$204,MATCH(A85,'模型流与公式'!$A$5:$A$204,0))="","",INDEX('模型流与公式'!$Q$5:$Q$204,MATCH(A85,'模型流与公式'!$A$5:$A$204,0))),""),""))</f>
        <v/>
      </c>
      <c r="N85" s="18" t="n"/>
      <c r="O85" s="18" t="n"/>
      <c r="P85" s="18" t="n"/>
      <c r="Q85" s="18" t="n"/>
      <c r="R85" s="18" t="n"/>
      <c r="S85" s="18" t="n"/>
      <c r="T85" s="18" t="n"/>
      <c r="U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51">
        <f>IF(A86="","",IF(B86="Edge",IFERROR(IF(INDEX('模型流与公式'!$P$5:$P$204,MATCH(A86,'模型流与公式'!$A$5:$A$204,0))="","",INDEX('模型流与公式'!$P$5:$P$204,MATCH(A86,'模型流与公式'!$A$5:$A$204,0))),""),""))</f>
        <v/>
      </c>
      <c r="M86" s="18">
        <f>IF(A86="","",IF(B86="Edge",IFERROR(IF(INDEX('模型流与公式'!$Q$5:$Q$204,MATCH(A86,'模型流与公式'!$A$5:$A$204,0))="","",INDEX('模型流与公式'!$Q$5:$Q$204,MATCH(A86,'模型流与公式'!$A$5:$A$204,0))),""),""))</f>
        <v/>
      </c>
      <c r="N86" s="18" t="n"/>
      <c r="O86" s="18" t="n"/>
      <c r="P86" s="18" t="n"/>
      <c r="Q86" s="18" t="n"/>
      <c r="R86" s="18" t="n"/>
      <c r="S86" s="18" t="n"/>
      <c r="T86" s="18" t="n"/>
      <c r="U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51">
        <f>IF(A87="","",IF(B87="Edge",IFERROR(IF(INDEX('模型流与公式'!$P$5:$P$204,MATCH(A87,'模型流与公式'!$A$5:$A$204,0))="","",INDEX('模型流与公式'!$P$5:$P$204,MATCH(A87,'模型流与公式'!$A$5:$A$204,0))),""),""))</f>
        <v/>
      </c>
      <c r="M87" s="18">
        <f>IF(A87="","",IF(B87="Edge",IFERROR(IF(INDEX('模型流与公式'!$Q$5:$Q$204,MATCH(A87,'模型流与公式'!$A$5:$A$204,0))="","",INDEX('模型流与公式'!$Q$5:$Q$204,MATCH(A87,'模型流与公式'!$A$5:$A$204,0))),""),""))</f>
        <v/>
      </c>
      <c r="N87" s="18" t="n"/>
      <c r="O87" s="18" t="n"/>
      <c r="P87" s="18" t="n"/>
      <c r="Q87" s="18" t="n"/>
      <c r="R87" s="18" t="n"/>
      <c r="S87" s="18" t="n"/>
      <c r="T87" s="18" t="n"/>
      <c r="U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51">
        <f>IF(A88="","",IF(B88="Edge",IFERROR(IF(INDEX('模型流与公式'!$P$5:$P$204,MATCH(A88,'模型流与公式'!$A$5:$A$204,0))="","",INDEX('模型流与公式'!$P$5:$P$204,MATCH(A88,'模型流与公式'!$A$5:$A$204,0))),""),""))</f>
        <v/>
      </c>
      <c r="M88" s="18">
        <f>IF(A88="","",IF(B88="Edge",IFERROR(IF(INDEX('模型流与公式'!$Q$5:$Q$204,MATCH(A88,'模型流与公式'!$A$5:$A$204,0))="","",INDEX('模型流与公式'!$Q$5:$Q$204,MATCH(A88,'模型流与公式'!$A$5:$A$204,0))),""),""))</f>
        <v/>
      </c>
      <c r="N88" s="18" t="n"/>
      <c r="O88" s="18" t="n"/>
      <c r="P88" s="18" t="n"/>
      <c r="Q88" s="18" t="n"/>
      <c r="R88" s="18" t="n"/>
      <c r="S88" s="18" t="n"/>
      <c r="T88" s="18" t="n"/>
      <c r="U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51">
        <f>IF(A89="","",IF(B89="Edge",IFERROR(IF(INDEX('模型流与公式'!$P$5:$P$204,MATCH(A89,'模型流与公式'!$A$5:$A$204,0))="","",INDEX('模型流与公式'!$P$5:$P$204,MATCH(A89,'模型流与公式'!$A$5:$A$204,0))),""),""))</f>
        <v/>
      </c>
      <c r="M89" s="18">
        <f>IF(A89="","",IF(B89="Edge",IFERROR(IF(INDEX('模型流与公式'!$Q$5:$Q$204,MATCH(A89,'模型流与公式'!$A$5:$A$204,0))="","",INDEX('模型流与公式'!$Q$5:$Q$204,MATCH(A89,'模型流与公式'!$A$5:$A$204,0))),""),""))</f>
        <v/>
      </c>
      <c r="N89" s="18" t="n"/>
      <c r="O89" s="18" t="n"/>
      <c r="P89" s="18" t="n"/>
      <c r="Q89" s="18" t="n"/>
      <c r="R89" s="18" t="n"/>
      <c r="S89" s="18" t="n"/>
      <c r="T89" s="18" t="n"/>
      <c r="U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51">
        <f>IF(A90="","",IF(B90="Edge",IFERROR(IF(INDEX('模型流与公式'!$P$5:$P$204,MATCH(A90,'模型流与公式'!$A$5:$A$204,0))="","",INDEX('模型流与公式'!$P$5:$P$204,MATCH(A90,'模型流与公式'!$A$5:$A$204,0))),""),""))</f>
        <v/>
      </c>
      <c r="M90" s="18">
        <f>IF(A90="","",IF(B90="Edge",IFERROR(IF(INDEX('模型流与公式'!$Q$5:$Q$204,MATCH(A90,'模型流与公式'!$A$5:$A$204,0))="","",INDEX('模型流与公式'!$Q$5:$Q$204,MATCH(A90,'模型流与公式'!$A$5:$A$204,0))),""),""))</f>
        <v/>
      </c>
      <c r="N90" s="18" t="n"/>
      <c r="O90" s="18" t="n"/>
      <c r="P90" s="18" t="n"/>
      <c r="Q90" s="18" t="n"/>
      <c r="R90" s="18" t="n"/>
      <c r="S90" s="18" t="n"/>
      <c r="T90" s="18" t="n"/>
      <c r="U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51">
        <f>IF(A91="","",IF(B91="Edge",IFERROR(IF(INDEX('模型流与公式'!$P$5:$P$204,MATCH(A91,'模型流与公式'!$A$5:$A$204,0))="","",INDEX('模型流与公式'!$P$5:$P$204,MATCH(A91,'模型流与公式'!$A$5:$A$204,0))),""),""))</f>
        <v/>
      </c>
      <c r="M91" s="18">
        <f>IF(A91="","",IF(B91="Edge",IFERROR(IF(INDEX('模型流与公式'!$Q$5:$Q$204,MATCH(A91,'模型流与公式'!$A$5:$A$204,0))="","",INDEX('模型流与公式'!$Q$5:$Q$204,MATCH(A91,'模型流与公式'!$A$5:$A$204,0))),""),""))</f>
        <v/>
      </c>
      <c r="N91" s="18" t="n"/>
      <c r="O91" s="18" t="n"/>
      <c r="P91" s="18" t="n"/>
      <c r="Q91" s="18" t="n"/>
      <c r="R91" s="18" t="n"/>
      <c r="S91" s="18" t="n"/>
      <c r="T91" s="18" t="n"/>
      <c r="U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51">
        <f>IF(A92="","",IF(B92="Edge",IFERROR(IF(INDEX('模型流与公式'!$P$5:$P$204,MATCH(A92,'模型流与公式'!$A$5:$A$204,0))="","",INDEX('模型流与公式'!$P$5:$P$204,MATCH(A92,'模型流与公式'!$A$5:$A$204,0))),""),""))</f>
        <v/>
      </c>
      <c r="M92" s="18">
        <f>IF(A92="","",IF(B92="Edge",IFERROR(IF(INDEX('模型流与公式'!$Q$5:$Q$204,MATCH(A92,'模型流与公式'!$A$5:$A$204,0))="","",INDEX('模型流与公式'!$Q$5:$Q$204,MATCH(A92,'模型流与公式'!$A$5:$A$204,0))),""),""))</f>
        <v/>
      </c>
      <c r="N92" s="18" t="n"/>
      <c r="O92" s="18" t="n"/>
      <c r="P92" s="18" t="n"/>
      <c r="Q92" s="18" t="n"/>
      <c r="R92" s="18" t="n"/>
      <c r="S92" s="18" t="n"/>
      <c r="T92" s="18" t="n"/>
      <c r="U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51">
        <f>IF(A93="","",IF(B93="Edge",IFERROR(IF(INDEX('模型流与公式'!$P$5:$P$204,MATCH(A93,'模型流与公式'!$A$5:$A$204,0))="","",INDEX('模型流与公式'!$P$5:$P$204,MATCH(A93,'模型流与公式'!$A$5:$A$204,0))),""),""))</f>
        <v/>
      </c>
      <c r="M93" s="18">
        <f>IF(A93="","",IF(B93="Edge",IFERROR(IF(INDEX('模型流与公式'!$Q$5:$Q$204,MATCH(A93,'模型流与公式'!$A$5:$A$204,0))="","",INDEX('模型流与公式'!$Q$5:$Q$204,MATCH(A93,'模型流与公式'!$A$5:$A$204,0))),""),""))</f>
        <v/>
      </c>
      <c r="N93" s="18" t="n"/>
      <c r="O93" s="18" t="n"/>
      <c r="P93" s="18" t="n"/>
      <c r="Q93" s="18" t="n"/>
      <c r="R93" s="18" t="n"/>
      <c r="S93" s="18" t="n"/>
      <c r="T93" s="18" t="n"/>
      <c r="U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51">
        <f>IF(A94="","",IF(B94="Edge",IFERROR(IF(INDEX('模型流与公式'!$P$5:$P$204,MATCH(A94,'模型流与公式'!$A$5:$A$204,0))="","",INDEX('模型流与公式'!$P$5:$P$204,MATCH(A94,'模型流与公式'!$A$5:$A$204,0))),""),""))</f>
        <v/>
      </c>
      <c r="M94" s="18">
        <f>IF(A94="","",IF(B94="Edge",IFERROR(IF(INDEX('模型流与公式'!$Q$5:$Q$204,MATCH(A94,'模型流与公式'!$A$5:$A$204,0))="","",INDEX('模型流与公式'!$Q$5:$Q$204,MATCH(A94,'模型流与公式'!$A$5:$A$204,0))),""),""))</f>
        <v/>
      </c>
      <c r="N94" s="18" t="n"/>
      <c r="O94" s="18" t="n"/>
      <c r="P94" s="18" t="n"/>
      <c r="Q94" s="18" t="n"/>
      <c r="R94" s="18" t="n"/>
      <c r="S94" s="18" t="n"/>
      <c r="T94" s="18" t="n"/>
      <c r="U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51">
        <f>IF(A95="","",IF(B95="Edge",IFERROR(IF(INDEX('模型流与公式'!$P$5:$P$204,MATCH(A95,'模型流与公式'!$A$5:$A$204,0))="","",INDEX('模型流与公式'!$P$5:$P$204,MATCH(A95,'模型流与公式'!$A$5:$A$204,0))),""),""))</f>
        <v/>
      </c>
      <c r="M95" s="18">
        <f>IF(A95="","",IF(B95="Edge",IFERROR(IF(INDEX('模型流与公式'!$Q$5:$Q$204,MATCH(A95,'模型流与公式'!$A$5:$A$204,0))="","",INDEX('模型流与公式'!$Q$5:$Q$204,MATCH(A95,'模型流与公式'!$A$5:$A$204,0))),""),""))</f>
        <v/>
      </c>
      <c r="N95" s="18" t="n"/>
      <c r="O95" s="18" t="n"/>
      <c r="P95" s="18" t="n"/>
      <c r="Q95" s="18" t="n"/>
      <c r="R95" s="18" t="n"/>
      <c r="S95" s="18" t="n"/>
      <c r="T95" s="18" t="n"/>
      <c r="U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51">
        <f>IF(A96="","",IF(B96="Edge",IFERROR(IF(INDEX('模型流与公式'!$P$5:$P$204,MATCH(A96,'模型流与公式'!$A$5:$A$204,0))="","",INDEX('模型流与公式'!$P$5:$P$204,MATCH(A96,'模型流与公式'!$A$5:$A$204,0))),""),""))</f>
        <v/>
      </c>
      <c r="M96" s="18">
        <f>IF(A96="","",IF(B96="Edge",IFERROR(IF(INDEX('模型流与公式'!$Q$5:$Q$204,MATCH(A96,'模型流与公式'!$A$5:$A$204,0))="","",INDEX('模型流与公式'!$Q$5:$Q$204,MATCH(A96,'模型流与公式'!$A$5:$A$204,0))),""),""))</f>
        <v/>
      </c>
      <c r="N96" s="18" t="n"/>
      <c r="O96" s="18" t="n"/>
      <c r="P96" s="18" t="n"/>
      <c r="Q96" s="18" t="n"/>
      <c r="R96" s="18" t="n"/>
      <c r="S96" s="18" t="n"/>
      <c r="T96" s="18" t="n"/>
      <c r="U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51">
        <f>IF(A97="","",IF(B97="Edge",IFERROR(IF(INDEX('模型流与公式'!$P$5:$P$204,MATCH(A97,'模型流与公式'!$A$5:$A$204,0))="","",INDEX('模型流与公式'!$P$5:$P$204,MATCH(A97,'模型流与公式'!$A$5:$A$204,0))),""),""))</f>
        <v/>
      </c>
      <c r="M97" s="18">
        <f>IF(A97="","",IF(B97="Edge",IFERROR(IF(INDEX('模型流与公式'!$Q$5:$Q$204,MATCH(A97,'模型流与公式'!$A$5:$A$204,0))="","",INDEX('模型流与公式'!$Q$5:$Q$204,MATCH(A97,'模型流与公式'!$A$5:$A$204,0))),""),""))</f>
        <v/>
      </c>
      <c r="N97" s="18" t="n"/>
      <c r="O97" s="18" t="n"/>
      <c r="P97" s="18" t="n"/>
      <c r="Q97" s="18" t="n"/>
      <c r="R97" s="18" t="n"/>
      <c r="S97" s="18" t="n"/>
      <c r="T97" s="18" t="n"/>
      <c r="U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51">
        <f>IF(A98="","",IF(B98="Edge",IFERROR(IF(INDEX('模型流与公式'!$P$5:$P$204,MATCH(A98,'模型流与公式'!$A$5:$A$204,0))="","",INDEX('模型流与公式'!$P$5:$P$204,MATCH(A98,'模型流与公式'!$A$5:$A$204,0))),""),""))</f>
        <v/>
      </c>
      <c r="M98" s="18">
        <f>IF(A98="","",IF(B98="Edge",IFERROR(IF(INDEX('模型流与公式'!$Q$5:$Q$204,MATCH(A98,'模型流与公式'!$A$5:$A$204,0))="","",INDEX('模型流与公式'!$Q$5:$Q$204,MATCH(A98,'模型流与公式'!$A$5:$A$204,0))),""),""))</f>
        <v/>
      </c>
      <c r="N98" s="18" t="n"/>
      <c r="O98" s="18" t="n"/>
      <c r="P98" s="18" t="n"/>
      <c r="Q98" s="18" t="n"/>
      <c r="R98" s="18" t="n"/>
      <c r="S98" s="18" t="n"/>
      <c r="T98" s="18" t="n"/>
      <c r="U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51">
        <f>IF(A99="","",IF(B99="Edge",IFERROR(IF(INDEX('模型流与公式'!$P$5:$P$204,MATCH(A99,'模型流与公式'!$A$5:$A$204,0))="","",INDEX('模型流与公式'!$P$5:$P$204,MATCH(A99,'模型流与公式'!$A$5:$A$204,0))),""),""))</f>
        <v/>
      </c>
      <c r="M99" s="18">
        <f>IF(A99="","",IF(B99="Edge",IFERROR(IF(INDEX('模型流与公式'!$Q$5:$Q$204,MATCH(A99,'模型流与公式'!$A$5:$A$204,0))="","",INDEX('模型流与公式'!$Q$5:$Q$204,MATCH(A99,'模型流与公式'!$A$5:$A$204,0))),""),""))</f>
        <v/>
      </c>
      <c r="N99" s="18" t="n"/>
      <c r="O99" s="18" t="n"/>
      <c r="P99" s="18" t="n"/>
      <c r="Q99" s="18" t="n"/>
      <c r="R99" s="18" t="n"/>
      <c r="S99" s="18" t="n"/>
      <c r="T99" s="18" t="n"/>
      <c r="U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51">
        <f>IF(A100="","",IF(B100="Edge",IFERROR(IF(INDEX('模型流与公式'!$P$5:$P$204,MATCH(A100,'模型流与公式'!$A$5:$A$204,0))="","",INDEX('模型流与公式'!$P$5:$P$204,MATCH(A100,'模型流与公式'!$A$5:$A$204,0))),""),""))</f>
        <v/>
      </c>
      <c r="M100" s="18">
        <f>IF(A100="","",IF(B100="Edge",IFERROR(IF(INDEX('模型流与公式'!$Q$5:$Q$204,MATCH(A100,'模型流与公式'!$A$5:$A$204,0))="","",INDEX('模型流与公式'!$Q$5:$Q$204,MATCH(A100,'模型流与公式'!$A$5:$A$204,0))),""),""))</f>
        <v/>
      </c>
      <c r="N100" s="18" t="n"/>
      <c r="O100" s="18" t="n"/>
      <c r="P100" s="18" t="n"/>
      <c r="Q100" s="18" t="n"/>
      <c r="R100" s="18" t="n"/>
      <c r="S100" s="18" t="n"/>
      <c r="T100" s="18" t="n"/>
      <c r="U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51">
        <f>IF(A101="","",IF(B101="Edge",IFERROR(IF(INDEX('模型流与公式'!$P$5:$P$204,MATCH(A101,'模型流与公式'!$A$5:$A$204,0))="","",INDEX('模型流与公式'!$P$5:$P$204,MATCH(A101,'模型流与公式'!$A$5:$A$204,0))),""),""))</f>
        <v/>
      </c>
      <c r="M101" s="18">
        <f>IF(A101="","",IF(B101="Edge",IFERROR(IF(INDEX('模型流与公式'!$Q$5:$Q$204,MATCH(A101,'模型流与公式'!$A$5:$A$204,0))="","",INDEX('模型流与公式'!$Q$5:$Q$204,MATCH(A101,'模型流与公式'!$A$5:$A$204,0))),""),""))</f>
        <v/>
      </c>
      <c r="N101" s="18" t="n"/>
      <c r="O101" s="18" t="n"/>
      <c r="P101" s="18" t="n"/>
      <c r="Q101" s="18" t="n"/>
      <c r="R101" s="18" t="n"/>
      <c r="S101" s="18" t="n"/>
      <c r="T101" s="18" t="n"/>
      <c r="U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51">
        <f>IF(A102="","",IF(B102="Edge",IFERROR(IF(INDEX('模型流与公式'!$P$5:$P$204,MATCH(A102,'模型流与公式'!$A$5:$A$204,0))="","",INDEX('模型流与公式'!$P$5:$P$204,MATCH(A102,'模型流与公式'!$A$5:$A$204,0))),""),""))</f>
        <v/>
      </c>
      <c r="M102" s="18">
        <f>IF(A102="","",IF(B102="Edge",IFERROR(IF(INDEX('模型流与公式'!$Q$5:$Q$204,MATCH(A102,'模型流与公式'!$A$5:$A$204,0))="","",INDEX('模型流与公式'!$Q$5:$Q$204,MATCH(A102,'模型流与公式'!$A$5:$A$204,0))),""),""))</f>
        <v/>
      </c>
      <c r="N102" s="18" t="n"/>
      <c r="O102" s="18" t="n"/>
      <c r="P102" s="18" t="n"/>
      <c r="Q102" s="18" t="n"/>
      <c r="R102" s="18" t="n"/>
      <c r="S102" s="18" t="n"/>
      <c r="T102" s="18" t="n"/>
      <c r="U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51">
        <f>IF(A103="","",IF(B103="Edge",IFERROR(IF(INDEX('模型流与公式'!$P$5:$P$204,MATCH(A103,'模型流与公式'!$A$5:$A$204,0))="","",INDEX('模型流与公式'!$P$5:$P$204,MATCH(A103,'模型流与公式'!$A$5:$A$204,0))),""),""))</f>
        <v/>
      </c>
      <c r="M103" s="18">
        <f>IF(A103="","",IF(B103="Edge",IFERROR(IF(INDEX('模型流与公式'!$Q$5:$Q$204,MATCH(A103,'模型流与公式'!$A$5:$A$204,0))="","",INDEX('模型流与公式'!$Q$5:$Q$204,MATCH(A103,'模型流与公式'!$A$5:$A$204,0))),""),""))</f>
        <v/>
      </c>
      <c r="N103" s="18" t="n"/>
      <c r="O103" s="18" t="n"/>
      <c r="P103" s="18" t="n"/>
      <c r="Q103" s="18" t="n"/>
      <c r="R103" s="18" t="n"/>
      <c r="S103" s="18" t="n"/>
      <c r="T103" s="18" t="n"/>
      <c r="U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51">
        <f>IF(A104="","",IF(B104="Edge",IFERROR(IF(INDEX('模型流与公式'!$P$5:$P$204,MATCH(A104,'模型流与公式'!$A$5:$A$204,0))="","",INDEX('模型流与公式'!$P$5:$P$204,MATCH(A104,'模型流与公式'!$A$5:$A$204,0))),""),""))</f>
        <v/>
      </c>
      <c r="M104" s="18">
        <f>IF(A104="","",IF(B104="Edge",IFERROR(IF(INDEX('模型流与公式'!$Q$5:$Q$204,MATCH(A104,'模型流与公式'!$A$5:$A$204,0))="","",INDEX('模型流与公式'!$Q$5:$Q$204,MATCH(A104,'模型流与公式'!$A$5:$A$204,0))),""),""))</f>
        <v/>
      </c>
      <c r="N104" s="18" t="n"/>
      <c r="O104" s="18" t="n"/>
      <c r="P104" s="18" t="n"/>
      <c r="Q104" s="18" t="n"/>
      <c r="R104" s="18" t="n"/>
      <c r="S104" s="18" t="n"/>
      <c r="T104" s="18" t="n"/>
      <c r="U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51">
        <f>IF(A105="","",IF(B105="Edge",IFERROR(IF(INDEX('模型流与公式'!$P$5:$P$204,MATCH(A105,'模型流与公式'!$A$5:$A$204,0))="","",INDEX('模型流与公式'!$P$5:$P$204,MATCH(A105,'模型流与公式'!$A$5:$A$204,0))),""),""))</f>
        <v/>
      </c>
      <c r="M105" s="18">
        <f>IF(A105="","",IF(B105="Edge",IFERROR(IF(INDEX('模型流与公式'!$Q$5:$Q$204,MATCH(A105,'模型流与公式'!$A$5:$A$204,0))="","",INDEX('模型流与公式'!$Q$5:$Q$204,MATCH(A105,'模型流与公式'!$A$5:$A$204,0))),""),""))</f>
        <v/>
      </c>
      <c r="N105" s="18" t="n"/>
      <c r="O105" s="18" t="n"/>
      <c r="P105" s="18" t="n"/>
      <c r="Q105" s="18" t="n"/>
      <c r="R105" s="18" t="n"/>
      <c r="S105" s="18" t="n"/>
      <c r="T105" s="18" t="n"/>
      <c r="U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51">
        <f>IF(A106="","",IF(B106="Edge",IFERROR(IF(INDEX('模型流与公式'!$P$5:$P$204,MATCH(A106,'模型流与公式'!$A$5:$A$204,0))="","",INDEX('模型流与公式'!$P$5:$P$204,MATCH(A106,'模型流与公式'!$A$5:$A$204,0))),""),""))</f>
        <v/>
      </c>
      <c r="M106" s="18">
        <f>IF(A106="","",IF(B106="Edge",IFERROR(IF(INDEX('模型流与公式'!$Q$5:$Q$204,MATCH(A106,'模型流与公式'!$A$5:$A$204,0))="","",INDEX('模型流与公式'!$Q$5:$Q$204,MATCH(A106,'模型流与公式'!$A$5:$A$204,0))),""),""))</f>
        <v/>
      </c>
      <c r="N106" s="18" t="n"/>
      <c r="O106" s="18" t="n"/>
      <c r="P106" s="18" t="n"/>
      <c r="Q106" s="18" t="n"/>
      <c r="R106" s="18" t="n"/>
      <c r="S106" s="18" t="n"/>
      <c r="T106" s="18" t="n"/>
      <c r="U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51">
        <f>IF(A107="","",IF(B107="Edge",IFERROR(IF(INDEX('模型流与公式'!$P$5:$P$204,MATCH(A107,'模型流与公式'!$A$5:$A$204,0))="","",INDEX('模型流与公式'!$P$5:$P$204,MATCH(A107,'模型流与公式'!$A$5:$A$204,0))),""),""))</f>
        <v/>
      </c>
      <c r="M107" s="18">
        <f>IF(A107="","",IF(B107="Edge",IFERROR(IF(INDEX('模型流与公式'!$Q$5:$Q$204,MATCH(A107,'模型流与公式'!$A$5:$A$204,0))="","",INDEX('模型流与公式'!$Q$5:$Q$204,MATCH(A107,'模型流与公式'!$A$5:$A$204,0))),""),""))</f>
        <v/>
      </c>
      <c r="N107" s="18" t="n"/>
      <c r="O107" s="18" t="n"/>
      <c r="P107" s="18" t="n"/>
      <c r="Q107" s="18" t="n"/>
      <c r="R107" s="18" t="n"/>
      <c r="S107" s="18" t="n"/>
      <c r="T107" s="18" t="n"/>
      <c r="U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51">
        <f>IF(A108="","",IF(B108="Edge",IFERROR(IF(INDEX('模型流与公式'!$P$5:$P$204,MATCH(A108,'模型流与公式'!$A$5:$A$204,0))="","",INDEX('模型流与公式'!$P$5:$P$204,MATCH(A108,'模型流与公式'!$A$5:$A$204,0))),""),""))</f>
        <v/>
      </c>
      <c r="M108" s="18">
        <f>IF(A108="","",IF(B108="Edge",IFERROR(IF(INDEX('模型流与公式'!$Q$5:$Q$204,MATCH(A108,'模型流与公式'!$A$5:$A$204,0))="","",INDEX('模型流与公式'!$Q$5:$Q$204,MATCH(A108,'模型流与公式'!$A$5:$A$204,0))),""),""))</f>
        <v/>
      </c>
      <c r="N108" s="18" t="n"/>
      <c r="O108" s="18" t="n"/>
      <c r="P108" s="18" t="n"/>
      <c r="Q108" s="18" t="n"/>
      <c r="R108" s="18" t="n"/>
      <c r="S108" s="18" t="n"/>
      <c r="T108" s="18" t="n"/>
      <c r="U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51">
        <f>IF(A109="","",IF(B109="Edge",IFERROR(IF(INDEX('模型流与公式'!$P$5:$P$204,MATCH(A109,'模型流与公式'!$A$5:$A$204,0))="","",INDEX('模型流与公式'!$P$5:$P$204,MATCH(A109,'模型流与公式'!$A$5:$A$204,0))),""),""))</f>
        <v/>
      </c>
      <c r="M109" s="18">
        <f>IF(A109="","",IF(B109="Edge",IFERROR(IF(INDEX('模型流与公式'!$Q$5:$Q$204,MATCH(A109,'模型流与公式'!$A$5:$A$204,0))="","",INDEX('模型流与公式'!$Q$5:$Q$204,MATCH(A109,'模型流与公式'!$A$5:$A$204,0))),""),""))</f>
        <v/>
      </c>
      <c r="N109" s="18" t="n"/>
      <c r="O109" s="18" t="n"/>
      <c r="P109" s="18" t="n"/>
      <c r="Q109" s="18" t="n"/>
      <c r="R109" s="18" t="n"/>
      <c r="S109" s="18" t="n"/>
      <c r="T109" s="18" t="n"/>
      <c r="U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51">
        <f>IF(A110="","",IF(B110="Edge",IFERROR(IF(INDEX('模型流与公式'!$P$5:$P$204,MATCH(A110,'模型流与公式'!$A$5:$A$204,0))="","",INDEX('模型流与公式'!$P$5:$P$204,MATCH(A110,'模型流与公式'!$A$5:$A$204,0))),""),""))</f>
        <v/>
      </c>
      <c r="M110" s="18">
        <f>IF(A110="","",IF(B110="Edge",IFERROR(IF(INDEX('模型流与公式'!$Q$5:$Q$204,MATCH(A110,'模型流与公式'!$A$5:$A$204,0))="","",INDEX('模型流与公式'!$Q$5:$Q$204,MATCH(A110,'模型流与公式'!$A$5:$A$204,0))),""),""))</f>
        <v/>
      </c>
      <c r="N110" s="18" t="n"/>
      <c r="O110" s="18" t="n"/>
      <c r="P110" s="18" t="n"/>
      <c r="Q110" s="18" t="n"/>
      <c r="R110" s="18" t="n"/>
      <c r="S110" s="18" t="n"/>
      <c r="T110" s="18" t="n"/>
      <c r="U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51">
        <f>IF(A111="","",IF(B111="Edge",IFERROR(IF(INDEX('模型流与公式'!$P$5:$P$204,MATCH(A111,'模型流与公式'!$A$5:$A$204,0))="","",INDEX('模型流与公式'!$P$5:$P$204,MATCH(A111,'模型流与公式'!$A$5:$A$204,0))),""),""))</f>
        <v/>
      </c>
      <c r="M111" s="18">
        <f>IF(A111="","",IF(B111="Edge",IFERROR(IF(INDEX('模型流与公式'!$Q$5:$Q$204,MATCH(A111,'模型流与公式'!$A$5:$A$204,0))="","",INDEX('模型流与公式'!$Q$5:$Q$204,MATCH(A111,'模型流与公式'!$A$5:$A$204,0))),""),""))</f>
        <v/>
      </c>
      <c r="N111" s="18" t="n"/>
      <c r="O111" s="18" t="n"/>
      <c r="P111" s="18" t="n"/>
      <c r="Q111" s="18" t="n"/>
      <c r="R111" s="18" t="n"/>
      <c r="S111" s="18" t="n"/>
      <c r="T111" s="18" t="n"/>
      <c r="U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51">
        <f>IF(A112="","",IF(B112="Edge",IFERROR(IF(INDEX('模型流与公式'!$P$5:$P$204,MATCH(A112,'模型流与公式'!$A$5:$A$204,0))="","",INDEX('模型流与公式'!$P$5:$P$204,MATCH(A112,'模型流与公式'!$A$5:$A$204,0))),""),""))</f>
        <v/>
      </c>
      <c r="M112" s="18">
        <f>IF(A112="","",IF(B112="Edge",IFERROR(IF(INDEX('模型流与公式'!$Q$5:$Q$204,MATCH(A112,'模型流与公式'!$A$5:$A$204,0))="","",INDEX('模型流与公式'!$Q$5:$Q$204,MATCH(A112,'模型流与公式'!$A$5:$A$204,0))),""),""))</f>
        <v/>
      </c>
      <c r="N112" s="18" t="n"/>
      <c r="O112" s="18" t="n"/>
      <c r="P112" s="18" t="n"/>
      <c r="Q112" s="18" t="n"/>
      <c r="R112" s="18" t="n"/>
      <c r="S112" s="18" t="n"/>
      <c r="T112" s="18" t="n"/>
      <c r="U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51">
        <f>IF(A113="","",IF(B113="Edge",IFERROR(IF(INDEX('模型流与公式'!$P$5:$P$204,MATCH(A113,'模型流与公式'!$A$5:$A$204,0))="","",INDEX('模型流与公式'!$P$5:$P$204,MATCH(A113,'模型流与公式'!$A$5:$A$204,0))),""),""))</f>
        <v/>
      </c>
      <c r="M113" s="18">
        <f>IF(A113="","",IF(B113="Edge",IFERROR(IF(INDEX('模型流与公式'!$Q$5:$Q$204,MATCH(A113,'模型流与公式'!$A$5:$A$204,0))="","",INDEX('模型流与公式'!$Q$5:$Q$204,MATCH(A113,'模型流与公式'!$A$5:$A$204,0))),""),""))</f>
        <v/>
      </c>
      <c r="N113" s="18" t="n"/>
      <c r="O113" s="18" t="n"/>
      <c r="P113" s="18" t="n"/>
      <c r="Q113" s="18" t="n"/>
      <c r="R113" s="18" t="n"/>
      <c r="S113" s="18" t="n"/>
      <c r="T113" s="18" t="n"/>
      <c r="U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51">
        <f>IF(A114="","",IF(B114="Edge",IFERROR(IF(INDEX('模型流与公式'!$P$5:$P$204,MATCH(A114,'模型流与公式'!$A$5:$A$204,0))="","",INDEX('模型流与公式'!$P$5:$P$204,MATCH(A114,'模型流与公式'!$A$5:$A$204,0))),""),""))</f>
        <v/>
      </c>
      <c r="M114" s="18">
        <f>IF(A114="","",IF(B114="Edge",IFERROR(IF(INDEX('模型流与公式'!$Q$5:$Q$204,MATCH(A114,'模型流与公式'!$A$5:$A$204,0))="","",INDEX('模型流与公式'!$Q$5:$Q$204,MATCH(A114,'模型流与公式'!$A$5:$A$204,0))),""),""))</f>
        <v/>
      </c>
      <c r="N114" s="18" t="n"/>
      <c r="O114" s="18" t="n"/>
      <c r="P114" s="18" t="n"/>
      <c r="Q114" s="18" t="n"/>
      <c r="R114" s="18" t="n"/>
      <c r="S114" s="18" t="n"/>
      <c r="T114" s="18" t="n"/>
      <c r="U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51">
        <f>IF(A115="","",IF(B115="Edge",IFERROR(IF(INDEX('模型流与公式'!$P$5:$P$204,MATCH(A115,'模型流与公式'!$A$5:$A$204,0))="","",INDEX('模型流与公式'!$P$5:$P$204,MATCH(A115,'模型流与公式'!$A$5:$A$204,0))),""),""))</f>
        <v/>
      </c>
      <c r="M115" s="18">
        <f>IF(A115="","",IF(B115="Edge",IFERROR(IF(INDEX('模型流与公式'!$Q$5:$Q$204,MATCH(A115,'模型流与公式'!$A$5:$A$204,0))="","",INDEX('模型流与公式'!$Q$5:$Q$204,MATCH(A115,'模型流与公式'!$A$5:$A$204,0))),""),""))</f>
        <v/>
      </c>
      <c r="N115" s="18" t="n"/>
      <c r="O115" s="18" t="n"/>
      <c r="P115" s="18" t="n"/>
      <c r="Q115" s="18" t="n"/>
      <c r="R115" s="18" t="n"/>
      <c r="S115" s="18" t="n"/>
      <c r="T115" s="18" t="n"/>
      <c r="U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51">
        <f>IF(A116="","",IF(B116="Edge",IFERROR(IF(INDEX('模型流与公式'!$P$5:$P$204,MATCH(A116,'模型流与公式'!$A$5:$A$204,0))="","",INDEX('模型流与公式'!$P$5:$P$204,MATCH(A116,'模型流与公式'!$A$5:$A$204,0))),""),""))</f>
        <v/>
      </c>
      <c r="M116" s="18">
        <f>IF(A116="","",IF(B116="Edge",IFERROR(IF(INDEX('模型流与公式'!$Q$5:$Q$204,MATCH(A116,'模型流与公式'!$A$5:$A$204,0))="","",INDEX('模型流与公式'!$Q$5:$Q$204,MATCH(A116,'模型流与公式'!$A$5:$A$204,0))),""),""))</f>
        <v/>
      </c>
      <c r="N116" s="18" t="n"/>
      <c r="O116" s="18" t="n"/>
      <c r="P116" s="18" t="n"/>
      <c r="Q116" s="18" t="n"/>
      <c r="R116" s="18" t="n"/>
      <c r="S116" s="18" t="n"/>
      <c r="T116" s="18" t="n"/>
      <c r="U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51">
        <f>IF(A117="","",IF(B117="Edge",IFERROR(IF(INDEX('模型流与公式'!$P$5:$P$204,MATCH(A117,'模型流与公式'!$A$5:$A$204,0))="","",INDEX('模型流与公式'!$P$5:$P$204,MATCH(A117,'模型流与公式'!$A$5:$A$204,0))),""),""))</f>
        <v/>
      </c>
      <c r="M117" s="18">
        <f>IF(A117="","",IF(B117="Edge",IFERROR(IF(INDEX('模型流与公式'!$Q$5:$Q$204,MATCH(A117,'模型流与公式'!$A$5:$A$204,0))="","",INDEX('模型流与公式'!$Q$5:$Q$204,MATCH(A117,'模型流与公式'!$A$5:$A$204,0))),""),""))</f>
        <v/>
      </c>
      <c r="N117" s="18" t="n"/>
      <c r="O117" s="18" t="n"/>
      <c r="P117" s="18" t="n"/>
      <c r="Q117" s="18" t="n"/>
      <c r="R117" s="18" t="n"/>
      <c r="S117" s="18" t="n"/>
      <c r="T117" s="18" t="n"/>
      <c r="U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51">
        <f>IF(A118="","",IF(B118="Edge",IFERROR(IF(INDEX('模型流与公式'!$P$5:$P$204,MATCH(A118,'模型流与公式'!$A$5:$A$204,0))="","",INDEX('模型流与公式'!$P$5:$P$204,MATCH(A118,'模型流与公式'!$A$5:$A$204,0))),""),""))</f>
        <v/>
      </c>
      <c r="M118" s="18">
        <f>IF(A118="","",IF(B118="Edge",IFERROR(IF(INDEX('模型流与公式'!$Q$5:$Q$204,MATCH(A118,'模型流与公式'!$A$5:$A$204,0))="","",INDEX('模型流与公式'!$Q$5:$Q$204,MATCH(A118,'模型流与公式'!$A$5:$A$204,0))),""),""))</f>
        <v/>
      </c>
      <c r="N118" s="18" t="n"/>
      <c r="O118" s="18" t="n"/>
      <c r="P118" s="18" t="n"/>
      <c r="Q118" s="18" t="n"/>
      <c r="R118" s="18" t="n"/>
      <c r="S118" s="18" t="n"/>
      <c r="T118" s="18" t="n"/>
      <c r="U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51">
        <f>IF(A119="","",IF(B119="Edge",IFERROR(IF(INDEX('模型流与公式'!$P$5:$P$204,MATCH(A119,'模型流与公式'!$A$5:$A$204,0))="","",INDEX('模型流与公式'!$P$5:$P$204,MATCH(A119,'模型流与公式'!$A$5:$A$204,0))),""),""))</f>
        <v/>
      </c>
      <c r="M119" s="18">
        <f>IF(A119="","",IF(B119="Edge",IFERROR(IF(INDEX('模型流与公式'!$Q$5:$Q$204,MATCH(A119,'模型流与公式'!$A$5:$A$204,0))="","",INDEX('模型流与公式'!$Q$5:$Q$204,MATCH(A119,'模型流与公式'!$A$5:$A$204,0))),""),""))</f>
        <v/>
      </c>
      <c r="N119" s="18" t="n"/>
      <c r="O119" s="18" t="n"/>
      <c r="P119" s="18" t="n"/>
      <c r="Q119" s="18" t="n"/>
      <c r="R119" s="18" t="n"/>
      <c r="S119" s="18" t="n"/>
      <c r="T119" s="18" t="n"/>
      <c r="U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51">
        <f>IF(A120="","",IF(B120="Edge",IFERROR(IF(INDEX('模型流与公式'!$P$5:$P$204,MATCH(A120,'模型流与公式'!$A$5:$A$204,0))="","",INDEX('模型流与公式'!$P$5:$P$204,MATCH(A120,'模型流与公式'!$A$5:$A$204,0))),""),""))</f>
        <v/>
      </c>
      <c r="M120" s="18">
        <f>IF(A120="","",IF(B120="Edge",IFERROR(IF(INDEX('模型流与公式'!$Q$5:$Q$204,MATCH(A120,'模型流与公式'!$A$5:$A$204,0))="","",INDEX('模型流与公式'!$Q$5:$Q$204,MATCH(A120,'模型流与公式'!$A$5:$A$204,0))),""),""))</f>
        <v/>
      </c>
      <c r="N120" s="18" t="n"/>
      <c r="O120" s="18" t="n"/>
      <c r="P120" s="18" t="n"/>
      <c r="Q120" s="18" t="n"/>
      <c r="R120" s="18" t="n"/>
      <c r="S120" s="18" t="n"/>
      <c r="T120" s="18" t="n"/>
      <c r="U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51">
        <f>IF(A121="","",IF(B121="Edge",IFERROR(IF(INDEX('模型流与公式'!$P$5:$P$204,MATCH(A121,'模型流与公式'!$A$5:$A$204,0))="","",INDEX('模型流与公式'!$P$5:$P$204,MATCH(A121,'模型流与公式'!$A$5:$A$204,0))),""),""))</f>
        <v/>
      </c>
      <c r="M121" s="18">
        <f>IF(A121="","",IF(B121="Edge",IFERROR(IF(INDEX('模型流与公式'!$Q$5:$Q$204,MATCH(A121,'模型流与公式'!$A$5:$A$204,0))="","",INDEX('模型流与公式'!$Q$5:$Q$204,MATCH(A121,'模型流与公式'!$A$5:$A$204,0))),""),""))</f>
        <v/>
      </c>
      <c r="N121" s="18" t="n"/>
      <c r="O121" s="18" t="n"/>
      <c r="P121" s="18" t="n"/>
      <c r="Q121" s="18" t="n"/>
      <c r="R121" s="18" t="n"/>
      <c r="S121" s="18" t="n"/>
      <c r="T121" s="18" t="n"/>
      <c r="U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51">
        <f>IF(A122="","",IF(B122="Edge",IFERROR(IF(INDEX('模型流与公式'!$P$5:$P$204,MATCH(A122,'模型流与公式'!$A$5:$A$204,0))="","",INDEX('模型流与公式'!$P$5:$P$204,MATCH(A122,'模型流与公式'!$A$5:$A$204,0))),""),""))</f>
        <v/>
      </c>
      <c r="M122" s="18">
        <f>IF(A122="","",IF(B122="Edge",IFERROR(IF(INDEX('模型流与公式'!$Q$5:$Q$204,MATCH(A122,'模型流与公式'!$A$5:$A$204,0))="","",INDEX('模型流与公式'!$Q$5:$Q$204,MATCH(A122,'模型流与公式'!$A$5:$A$204,0))),""),""))</f>
        <v/>
      </c>
      <c r="N122" s="18" t="n"/>
      <c r="O122" s="18" t="n"/>
      <c r="P122" s="18" t="n"/>
      <c r="Q122" s="18" t="n"/>
      <c r="R122" s="18" t="n"/>
      <c r="S122" s="18" t="n"/>
      <c r="T122" s="18" t="n"/>
      <c r="U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51">
        <f>IF(A123="","",IF(B123="Edge",IFERROR(IF(INDEX('模型流与公式'!$P$5:$P$204,MATCH(A123,'模型流与公式'!$A$5:$A$204,0))="","",INDEX('模型流与公式'!$P$5:$P$204,MATCH(A123,'模型流与公式'!$A$5:$A$204,0))),""),""))</f>
        <v/>
      </c>
      <c r="M123" s="18">
        <f>IF(A123="","",IF(B123="Edge",IFERROR(IF(INDEX('模型流与公式'!$Q$5:$Q$204,MATCH(A123,'模型流与公式'!$A$5:$A$204,0))="","",INDEX('模型流与公式'!$Q$5:$Q$204,MATCH(A123,'模型流与公式'!$A$5:$A$204,0))),""),""))</f>
        <v/>
      </c>
      <c r="N123" s="18" t="n"/>
      <c r="O123" s="18" t="n"/>
      <c r="P123" s="18" t="n"/>
      <c r="Q123" s="18" t="n"/>
      <c r="R123" s="18" t="n"/>
      <c r="S123" s="18" t="n"/>
      <c r="T123" s="18" t="n"/>
      <c r="U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51">
        <f>IF(A124="","",IF(B124="Edge",IFERROR(IF(INDEX('模型流与公式'!$P$5:$P$204,MATCH(A124,'模型流与公式'!$A$5:$A$204,0))="","",INDEX('模型流与公式'!$P$5:$P$204,MATCH(A124,'模型流与公式'!$A$5:$A$204,0))),""),""))</f>
        <v/>
      </c>
      <c r="M124" s="18">
        <f>IF(A124="","",IF(B124="Edge",IFERROR(IF(INDEX('模型流与公式'!$Q$5:$Q$204,MATCH(A124,'模型流与公式'!$A$5:$A$204,0))="","",INDEX('模型流与公式'!$Q$5:$Q$204,MATCH(A124,'模型流与公式'!$A$5:$A$204,0))),""),""))</f>
        <v/>
      </c>
      <c r="N124" s="18" t="n"/>
      <c r="O124" s="18" t="n"/>
      <c r="P124" s="18" t="n"/>
      <c r="Q124" s="18" t="n"/>
      <c r="R124" s="18" t="n"/>
      <c r="S124" s="18" t="n"/>
      <c r="T124" s="18" t="n"/>
      <c r="U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51">
        <f>IF(A125="","",IF(B125="Edge",IFERROR(IF(INDEX('模型流与公式'!$P$5:$P$204,MATCH(A125,'模型流与公式'!$A$5:$A$204,0))="","",INDEX('模型流与公式'!$P$5:$P$204,MATCH(A125,'模型流与公式'!$A$5:$A$204,0))),""),""))</f>
        <v/>
      </c>
      <c r="M125" s="18">
        <f>IF(A125="","",IF(B125="Edge",IFERROR(IF(INDEX('模型流与公式'!$Q$5:$Q$204,MATCH(A125,'模型流与公式'!$A$5:$A$204,0))="","",INDEX('模型流与公式'!$Q$5:$Q$204,MATCH(A125,'模型流与公式'!$A$5:$A$204,0))),""),""))</f>
        <v/>
      </c>
      <c r="N125" s="18" t="n"/>
      <c r="O125" s="18" t="n"/>
      <c r="P125" s="18" t="n"/>
      <c r="Q125" s="18" t="n"/>
      <c r="R125" s="18" t="n"/>
      <c r="S125" s="18" t="n"/>
      <c r="T125" s="18" t="n"/>
      <c r="U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51">
        <f>IF(A126="","",IF(B126="Edge",IFERROR(IF(INDEX('模型流与公式'!$P$5:$P$204,MATCH(A126,'模型流与公式'!$A$5:$A$204,0))="","",INDEX('模型流与公式'!$P$5:$P$204,MATCH(A126,'模型流与公式'!$A$5:$A$204,0))),""),""))</f>
        <v/>
      </c>
      <c r="M126" s="18">
        <f>IF(A126="","",IF(B126="Edge",IFERROR(IF(INDEX('模型流与公式'!$Q$5:$Q$204,MATCH(A126,'模型流与公式'!$A$5:$A$204,0))="","",INDEX('模型流与公式'!$Q$5:$Q$204,MATCH(A126,'模型流与公式'!$A$5:$A$204,0))),""),""))</f>
        <v/>
      </c>
      <c r="N126" s="18" t="n"/>
      <c r="O126" s="18" t="n"/>
      <c r="P126" s="18" t="n"/>
      <c r="Q126" s="18" t="n"/>
      <c r="R126" s="18" t="n"/>
      <c r="S126" s="18" t="n"/>
      <c r="T126" s="18" t="n"/>
      <c r="U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51">
        <f>IF(A127="","",IF(B127="Edge",IFERROR(IF(INDEX('模型流与公式'!$P$5:$P$204,MATCH(A127,'模型流与公式'!$A$5:$A$204,0))="","",INDEX('模型流与公式'!$P$5:$P$204,MATCH(A127,'模型流与公式'!$A$5:$A$204,0))),""),""))</f>
        <v/>
      </c>
      <c r="M127" s="18">
        <f>IF(A127="","",IF(B127="Edge",IFERROR(IF(INDEX('模型流与公式'!$Q$5:$Q$204,MATCH(A127,'模型流与公式'!$A$5:$A$204,0))="","",INDEX('模型流与公式'!$Q$5:$Q$204,MATCH(A127,'模型流与公式'!$A$5:$A$204,0))),""),""))</f>
        <v/>
      </c>
      <c r="N127" s="18" t="n"/>
      <c r="O127" s="18" t="n"/>
      <c r="P127" s="18" t="n"/>
      <c r="Q127" s="18" t="n"/>
      <c r="R127" s="18" t="n"/>
      <c r="S127" s="18" t="n"/>
      <c r="T127" s="18" t="n"/>
      <c r="U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51">
        <f>IF(A128="","",IF(B128="Edge",IFERROR(IF(INDEX('模型流与公式'!$P$5:$P$204,MATCH(A128,'模型流与公式'!$A$5:$A$204,0))="","",INDEX('模型流与公式'!$P$5:$P$204,MATCH(A128,'模型流与公式'!$A$5:$A$204,0))),""),""))</f>
        <v/>
      </c>
      <c r="M128" s="18">
        <f>IF(A128="","",IF(B128="Edge",IFERROR(IF(INDEX('模型流与公式'!$Q$5:$Q$204,MATCH(A128,'模型流与公式'!$A$5:$A$204,0))="","",INDEX('模型流与公式'!$Q$5:$Q$204,MATCH(A128,'模型流与公式'!$A$5:$A$204,0))),""),""))</f>
        <v/>
      </c>
      <c r="N128" s="18" t="n"/>
      <c r="O128" s="18" t="n"/>
      <c r="P128" s="18" t="n"/>
      <c r="Q128" s="18" t="n"/>
      <c r="R128" s="18" t="n"/>
      <c r="S128" s="18" t="n"/>
      <c r="T128" s="18" t="n"/>
      <c r="U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51">
        <f>IF(A129="","",IF(B129="Edge",IFERROR(IF(INDEX('模型流与公式'!$P$5:$P$204,MATCH(A129,'模型流与公式'!$A$5:$A$204,0))="","",INDEX('模型流与公式'!$P$5:$P$204,MATCH(A129,'模型流与公式'!$A$5:$A$204,0))),""),""))</f>
        <v/>
      </c>
      <c r="M129" s="18">
        <f>IF(A129="","",IF(B129="Edge",IFERROR(IF(INDEX('模型流与公式'!$Q$5:$Q$204,MATCH(A129,'模型流与公式'!$A$5:$A$204,0))="","",INDEX('模型流与公式'!$Q$5:$Q$204,MATCH(A129,'模型流与公式'!$A$5:$A$204,0))),""),""))</f>
        <v/>
      </c>
      <c r="N129" s="18" t="n"/>
      <c r="O129" s="18" t="n"/>
      <c r="P129" s="18" t="n"/>
      <c r="Q129" s="18" t="n"/>
      <c r="R129" s="18" t="n"/>
      <c r="S129" s="18" t="n"/>
      <c r="T129" s="18" t="n"/>
      <c r="U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51">
        <f>IF(A130="","",IF(B130="Edge",IFERROR(IF(INDEX('模型流与公式'!$P$5:$P$204,MATCH(A130,'模型流与公式'!$A$5:$A$204,0))="","",INDEX('模型流与公式'!$P$5:$P$204,MATCH(A130,'模型流与公式'!$A$5:$A$204,0))),""),""))</f>
        <v/>
      </c>
      <c r="M130" s="18">
        <f>IF(A130="","",IF(B130="Edge",IFERROR(IF(INDEX('模型流与公式'!$Q$5:$Q$204,MATCH(A130,'模型流与公式'!$A$5:$A$204,0))="","",INDEX('模型流与公式'!$Q$5:$Q$204,MATCH(A130,'模型流与公式'!$A$5:$A$204,0))),""),""))</f>
        <v/>
      </c>
      <c r="N130" s="18" t="n"/>
      <c r="O130" s="18" t="n"/>
      <c r="P130" s="18" t="n"/>
      <c r="Q130" s="18" t="n"/>
      <c r="R130" s="18" t="n"/>
      <c r="S130" s="18" t="n"/>
      <c r="T130" s="18" t="n"/>
      <c r="U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51">
        <f>IF(A131="","",IF(B131="Edge",IFERROR(IF(INDEX('模型流与公式'!$P$5:$P$204,MATCH(A131,'模型流与公式'!$A$5:$A$204,0))="","",INDEX('模型流与公式'!$P$5:$P$204,MATCH(A131,'模型流与公式'!$A$5:$A$204,0))),""),""))</f>
        <v/>
      </c>
      <c r="M131" s="18">
        <f>IF(A131="","",IF(B131="Edge",IFERROR(IF(INDEX('模型流与公式'!$Q$5:$Q$204,MATCH(A131,'模型流与公式'!$A$5:$A$204,0))="","",INDEX('模型流与公式'!$Q$5:$Q$204,MATCH(A131,'模型流与公式'!$A$5:$A$204,0))),""),""))</f>
        <v/>
      </c>
      <c r="N131" s="18" t="n"/>
      <c r="O131" s="18" t="n"/>
      <c r="P131" s="18" t="n"/>
      <c r="Q131" s="18" t="n"/>
      <c r="R131" s="18" t="n"/>
      <c r="S131" s="18" t="n"/>
      <c r="T131" s="18" t="n"/>
      <c r="U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51">
        <f>IF(A132="","",IF(B132="Edge",IFERROR(IF(INDEX('模型流与公式'!$P$5:$P$204,MATCH(A132,'模型流与公式'!$A$5:$A$204,0))="","",INDEX('模型流与公式'!$P$5:$P$204,MATCH(A132,'模型流与公式'!$A$5:$A$204,0))),""),""))</f>
        <v/>
      </c>
      <c r="M132" s="18">
        <f>IF(A132="","",IF(B132="Edge",IFERROR(IF(INDEX('模型流与公式'!$Q$5:$Q$204,MATCH(A132,'模型流与公式'!$A$5:$A$204,0))="","",INDEX('模型流与公式'!$Q$5:$Q$204,MATCH(A132,'模型流与公式'!$A$5:$A$204,0))),""),""))</f>
        <v/>
      </c>
      <c r="N132" s="18" t="n"/>
      <c r="O132" s="18" t="n"/>
      <c r="P132" s="18" t="n"/>
      <c r="Q132" s="18" t="n"/>
      <c r="R132" s="18" t="n"/>
      <c r="S132" s="18" t="n"/>
      <c r="T132" s="18" t="n"/>
      <c r="U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51">
        <f>IF(A133="","",IF(B133="Edge",IFERROR(IF(INDEX('模型流与公式'!$P$5:$P$204,MATCH(A133,'模型流与公式'!$A$5:$A$204,0))="","",INDEX('模型流与公式'!$P$5:$P$204,MATCH(A133,'模型流与公式'!$A$5:$A$204,0))),""),""))</f>
        <v/>
      </c>
      <c r="M133" s="18">
        <f>IF(A133="","",IF(B133="Edge",IFERROR(IF(INDEX('模型流与公式'!$Q$5:$Q$204,MATCH(A133,'模型流与公式'!$A$5:$A$204,0))="","",INDEX('模型流与公式'!$Q$5:$Q$204,MATCH(A133,'模型流与公式'!$A$5:$A$204,0))),""),""))</f>
        <v/>
      </c>
      <c r="N133" s="18" t="n"/>
      <c r="O133" s="18" t="n"/>
      <c r="P133" s="18" t="n"/>
      <c r="Q133" s="18" t="n"/>
      <c r="R133" s="18" t="n"/>
      <c r="S133" s="18" t="n"/>
      <c r="T133" s="18" t="n"/>
      <c r="U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51">
        <f>IF(A134="","",IF(B134="Edge",IFERROR(IF(INDEX('模型流与公式'!$P$5:$P$204,MATCH(A134,'模型流与公式'!$A$5:$A$204,0))="","",INDEX('模型流与公式'!$P$5:$P$204,MATCH(A134,'模型流与公式'!$A$5:$A$204,0))),""),""))</f>
        <v/>
      </c>
      <c r="M134" s="18">
        <f>IF(A134="","",IF(B134="Edge",IFERROR(IF(INDEX('模型流与公式'!$Q$5:$Q$204,MATCH(A134,'模型流与公式'!$A$5:$A$204,0))="","",INDEX('模型流与公式'!$Q$5:$Q$204,MATCH(A134,'模型流与公式'!$A$5:$A$204,0))),""),""))</f>
        <v/>
      </c>
      <c r="N134" s="18" t="n"/>
      <c r="O134" s="18" t="n"/>
      <c r="P134" s="18" t="n"/>
      <c r="Q134" s="18" t="n"/>
      <c r="R134" s="18" t="n"/>
      <c r="S134" s="18" t="n"/>
      <c r="T134" s="18" t="n"/>
      <c r="U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51">
        <f>IF(A135="","",IF(B135="Edge",IFERROR(IF(INDEX('模型流与公式'!$P$5:$P$204,MATCH(A135,'模型流与公式'!$A$5:$A$204,0))="","",INDEX('模型流与公式'!$P$5:$P$204,MATCH(A135,'模型流与公式'!$A$5:$A$204,0))),""),""))</f>
        <v/>
      </c>
      <c r="M135" s="18">
        <f>IF(A135="","",IF(B135="Edge",IFERROR(IF(INDEX('模型流与公式'!$Q$5:$Q$204,MATCH(A135,'模型流与公式'!$A$5:$A$204,0))="","",INDEX('模型流与公式'!$Q$5:$Q$204,MATCH(A135,'模型流与公式'!$A$5:$A$204,0))),""),""))</f>
        <v/>
      </c>
      <c r="N135" s="18" t="n"/>
      <c r="O135" s="18" t="n"/>
      <c r="P135" s="18" t="n"/>
      <c r="Q135" s="18" t="n"/>
      <c r="R135" s="18" t="n"/>
      <c r="S135" s="18" t="n"/>
      <c r="T135" s="18" t="n"/>
      <c r="U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51">
        <f>IF(A136="","",IF(B136="Edge",IFERROR(IF(INDEX('模型流与公式'!$P$5:$P$204,MATCH(A136,'模型流与公式'!$A$5:$A$204,0))="","",INDEX('模型流与公式'!$P$5:$P$204,MATCH(A136,'模型流与公式'!$A$5:$A$204,0))),""),""))</f>
        <v/>
      </c>
      <c r="M136" s="18">
        <f>IF(A136="","",IF(B136="Edge",IFERROR(IF(INDEX('模型流与公式'!$Q$5:$Q$204,MATCH(A136,'模型流与公式'!$A$5:$A$204,0))="","",INDEX('模型流与公式'!$Q$5:$Q$204,MATCH(A136,'模型流与公式'!$A$5:$A$204,0))),""),""))</f>
        <v/>
      </c>
      <c r="N136" s="18" t="n"/>
      <c r="O136" s="18" t="n"/>
      <c r="P136" s="18" t="n"/>
      <c r="Q136" s="18" t="n"/>
      <c r="R136" s="18" t="n"/>
      <c r="S136" s="18" t="n"/>
      <c r="T136" s="18" t="n"/>
      <c r="U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51">
        <f>IF(A137="","",IF(B137="Edge",IFERROR(IF(INDEX('模型流与公式'!$P$5:$P$204,MATCH(A137,'模型流与公式'!$A$5:$A$204,0))="","",INDEX('模型流与公式'!$P$5:$P$204,MATCH(A137,'模型流与公式'!$A$5:$A$204,0))),""),""))</f>
        <v/>
      </c>
      <c r="M137" s="18">
        <f>IF(A137="","",IF(B137="Edge",IFERROR(IF(INDEX('模型流与公式'!$Q$5:$Q$204,MATCH(A137,'模型流与公式'!$A$5:$A$204,0))="","",INDEX('模型流与公式'!$Q$5:$Q$204,MATCH(A137,'模型流与公式'!$A$5:$A$204,0))),""),""))</f>
        <v/>
      </c>
      <c r="N137" s="18" t="n"/>
      <c r="O137" s="18" t="n"/>
      <c r="P137" s="18" t="n"/>
      <c r="Q137" s="18" t="n"/>
      <c r="R137" s="18" t="n"/>
      <c r="S137" s="18" t="n"/>
      <c r="T137" s="18" t="n"/>
      <c r="U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51">
        <f>IF(A138="","",IF(B138="Edge",IFERROR(IF(INDEX('模型流与公式'!$P$5:$P$204,MATCH(A138,'模型流与公式'!$A$5:$A$204,0))="","",INDEX('模型流与公式'!$P$5:$P$204,MATCH(A138,'模型流与公式'!$A$5:$A$204,0))),""),""))</f>
        <v/>
      </c>
      <c r="M138" s="18">
        <f>IF(A138="","",IF(B138="Edge",IFERROR(IF(INDEX('模型流与公式'!$Q$5:$Q$204,MATCH(A138,'模型流与公式'!$A$5:$A$204,0))="","",INDEX('模型流与公式'!$Q$5:$Q$204,MATCH(A138,'模型流与公式'!$A$5:$A$204,0))),""),""))</f>
        <v/>
      </c>
      <c r="N138" s="18" t="n"/>
      <c r="O138" s="18" t="n"/>
      <c r="P138" s="18" t="n"/>
      <c r="Q138" s="18" t="n"/>
      <c r="R138" s="18" t="n"/>
      <c r="S138" s="18" t="n"/>
      <c r="T138" s="18" t="n"/>
      <c r="U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51">
        <f>IF(A139="","",IF(B139="Edge",IFERROR(IF(INDEX('模型流与公式'!$P$5:$P$204,MATCH(A139,'模型流与公式'!$A$5:$A$204,0))="","",INDEX('模型流与公式'!$P$5:$P$204,MATCH(A139,'模型流与公式'!$A$5:$A$204,0))),""),""))</f>
        <v/>
      </c>
      <c r="M139" s="18">
        <f>IF(A139="","",IF(B139="Edge",IFERROR(IF(INDEX('模型流与公式'!$Q$5:$Q$204,MATCH(A139,'模型流与公式'!$A$5:$A$204,0))="","",INDEX('模型流与公式'!$Q$5:$Q$204,MATCH(A139,'模型流与公式'!$A$5:$A$204,0))),""),""))</f>
        <v/>
      </c>
      <c r="N139" s="18" t="n"/>
      <c r="O139" s="18" t="n"/>
      <c r="P139" s="18" t="n"/>
      <c r="Q139" s="18" t="n"/>
      <c r="R139" s="18" t="n"/>
      <c r="S139" s="18" t="n"/>
      <c r="T139" s="18" t="n"/>
      <c r="U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51">
        <f>IF(A140="","",IF(B140="Edge",IFERROR(IF(INDEX('模型流与公式'!$P$5:$P$204,MATCH(A140,'模型流与公式'!$A$5:$A$204,0))="","",INDEX('模型流与公式'!$P$5:$P$204,MATCH(A140,'模型流与公式'!$A$5:$A$204,0))),""),""))</f>
        <v/>
      </c>
      <c r="M140" s="18">
        <f>IF(A140="","",IF(B140="Edge",IFERROR(IF(INDEX('模型流与公式'!$Q$5:$Q$204,MATCH(A140,'模型流与公式'!$A$5:$A$204,0))="","",INDEX('模型流与公式'!$Q$5:$Q$204,MATCH(A140,'模型流与公式'!$A$5:$A$204,0))),""),""))</f>
        <v/>
      </c>
      <c r="N140" s="18" t="n"/>
      <c r="O140" s="18" t="n"/>
      <c r="P140" s="18" t="n"/>
      <c r="Q140" s="18" t="n"/>
      <c r="R140" s="18" t="n"/>
      <c r="S140" s="18" t="n"/>
      <c r="T140" s="18" t="n"/>
      <c r="U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51">
        <f>IF(A141="","",IF(B141="Edge",IFERROR(IF(INDEX('模型流与公式'!$P$5:$P$204,MATCH(A141,'模型流与公式'!$A$5:$A$204,0))="","",INDEX('模型流与公式'!$P$5:$P$204,MATCH(A141,'模型流与公式'!$A$5:$A$204,0))),""),""))</f>
        <v/>
      </c>
      <c r="M141" s="18">
        <f>IF(A141="","",IF(B141="Edge",IFERROR(IF(INDEX('模型流与公式'!$Q$5:$Q$204,MATCH(A141,'模型流与公式'!$A$5:$A$204,0))="","",INDEX('模型流与公式'!$Q$5:$Q$204,MATCH(A141,'模型流与公式'!$A$5:$A$204,0))),""),""))</f>
        <v/>
      </c>
      <c r="N141" s="18" t="n"/>
      <c r="O141" s="18" t="n"/>
      <c r="P141" s="18" t="n"/>
      <c r="Q141" s="18" t="n"/>
      <c r="R141" s="18" t="n"/>
      <c r="S141" s="18" t="n"/>
      <c r="T141" s="18" t="n"/>
      <c r="U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51">
        <f>IF(A142="","",IF(B142="Edge",IFERROR(IF(INDEX('模型流与公式'!$P$5:$P$204,MATCH(A142,'模型流与公式'!$A$5:$A$204,0))="","",INDEX('模型流与公式'!$P$5:$P$204,MATCH(A142,'模型流与公式'!$A$5:$A$204,0))),""),""))</f>
        <v/>
      </c>
      <c r="M142" s="18">
        <f>IF(A142="","",IF(B142="Edge",IFERROR(IF(INDEX('模型流与公式'!$Q$5:$Q$204,MATCH(A142,'模型流与公式'!$A$5:$A$204,0))="","",INDEX('模型流与公式'!$Q$5:$Q$204,MATCH(A142,'模型流与公式'!$A$5:$A$204,0))),""),""))</f>
        <v/>
      </c>
      <c r="N142" s="18" t="n"/>
      <c r="O142" s="18" t="n"/>
      <c r="P142" s="18" t="n"/>
      <c r="Q142" s="18" t="n"/>
      <c r="R142" s="18" t="n"/>
      <c r="S142" s="18" t="n"/>
      <c r="T142" s="18" t="n"/>
      <c r="U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51">
        <f>IF(A143="","",IF(B143="Edge",IFERROR(IF(INDEX('模型流与公式'!$P$5:$P$204,MATCH(A143,'模型流与公式'!$A$5:$A$204,0))="","",INDEX('模型流与公式'!$P$5:$P$204,MATCH(A143,'模型流与公式'!$A$5:$A$204,0))),""),""))</f>
        <v/>
      </c>
      <c r="M143" s="18">
        <f>IF(A143="","",IF(B143="Edge",IFERROR(IF(INDEX('模型流与公式'!$Q$5:$Q$204,MATCH(A143,'模型流与公式'!$A$5:$A$204,0))="","",INDEX('模型流与公式'!$Q$5:$Q$204,MATCH(A143,'模型流与公式'!$A$5:$A$204,0))),""),""))</f>
        <v/>
      </c>
      <c r="N143" s="18" t="n"/>
      <c r="O143" s="18" t="n"/>
      <c r="P143" s="18" t="n"/>
      <c r="Q143" s="18" t="n"/>
      <c r="R143" s="18" t="n"/>
      <c r="S143" s="18" t="n"/>
      <c r="T143" s="18" t="n"/>
      <c r="U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51">
        <f>IF(A144="","",IF(B144="Edge",IFERROR(IF(INDEX('模型流与公式'!$P$5:$P$204,MATCH(A144,'模型流与公式'!$A$5:$A$204,0))="","",INDEX('模型流与公式'!$P$5:$P$204,MATCH(A144,'模型流与公式'!$A$5:$A$204,0))),""),""))</f>
        <v/>
      </c>
      <c r="M144" s="18">
        <f>IF(A144="","",IF(B144="Edge",IFERROR(IF(INDEX('模型流与公式'!$Q$5:$Q$204,MATCH(A144,'模型流与公式'!$A$5:$A$204,0))="","",INDEX('模型流与公式'!$Q$5:$Q$204,MATCH(A144,'模型流与公式'!$A$5:$A$204,0))),""),""))</f>
        <v/>
      </c>
      <c r="N144" s="18" t="n"/>
      <c r="O144" s="18" t="n"/>
      <c r="P144" s="18" t="n"/>
      <c r="Q144" s="18" t="n"/>
      <c r="R144" s="18" t="n"/>
      <c r="S144" s="18" t="n"/>
      <c r="T144" s="18" t="n"/>
      <c r="U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51">
        <f>IF(A145="","",IF(B145="Edge",IFERROR(IF(INDEX('模型流与公式'!$P$5:$P$204,MATCH(A145,'模型流与公式'!$A$5:$A$204,0))="","",INDEX('模型流与公式'!$P$5:$P$204,MATCH(A145,'模型流与公式'!$A$5:$A$204,0))),""),""))</f>
        <v/>
      </c>
      <c r="M145" s="18">
        <f>IF(A145="","",IF(B145="Edge",IFERROR(IF(INDEX('模型流与公式'!$Q$5:$Q$204,MATCH(A145,'模型流与公式'!$A$5:$A$204,0))="","",INDEX('模型流与公式'!$Q$5:$Q$204,MATCH(A145,'模型流与公式'!$A$5:$A$204,0))),""),""))</f>
        <v/>
      </c>
      <c r="N145" s="18" t="n"/>
      <c r="O145" s="18" t="n"/>
      <c r="P145" s="18" t="n"/>
      <c r="Q145" s="18" t="n"/>
      <c r="R145" s="18" t="n"/>
      <c r="S145" s="18" t="n"/>
      <c r="T145" s="18" t="n"/>
      <c r="U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51">
        <f>IF(A146="","",IF(B146="Edge",IFERROR(IF(INDEX('模型流与公式'!$P$5:$P$204,MATCH(A146,'模型流与公式'!$A$5:$A$204,0))="","",INDEX('模型流与公式'!$P$5:$P$204,MATCH(A146,'模型流与公式'!$A$5:$A$204,0))),""),""))</f>
        <v/>
      </c>
      <c r="M146" s="18">
        <f>IF(A146="","",IF(B146="Edge",IFERROR(IF(INDEX('模型流与公式'!$Q$5:$Q$204,MATCH(A146,'模型流与公式'!$A$5:$A$204,0))="","",INDEX('模型流与公式'!$Q$5:$Q$204,MATCH(A146,'模型流与公式'!$A$5:$A$204,0))),""),""))</f>
        <v/>
      </c>
      <c r="N146" s="18" t="n"/>
      <c r="O146" s="18" t="n"/>
      <c r="P146" s="18" t="n"/>
      <c r="Q146" s="18" t="n"/>
      <c r="R146" s="18" t="n"/>
      <c r="S146" s="18" t="n"/>
      <c r="T146" s="18" t="n"/>
      <c r="U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51">
        <f>IF(A147="","",IF(B147="Edge",IFERROR(IF(INDEX('模型流与公式'!$P$5:$P$204,MATCH(A147,'模型流与公式'!$A$5:$A$204,0))="","",INDEX('模型流与公式'!$P$5:$P$204,MATCH(A147,'模型流与公式'!$A$5:$A$204,0))),""),""))</f>
        <v/>
      </c>
      <c r="M147" s="18">
        <f>IF(A147="","",IF(B147="Edge",IFERROR(IF(INDEX('模型流与公式'!$Q$5:$Q$204,MATCH(A147,'模型流与公式'!$A$5:$A$204,0))="","",INDEX('模型流与公式'!$Q$5:$Q$204,MATCH(A147,'模型流与公式'!$A$5:$A$204,0))),""),""))</f>
        <v/>
      </c>
      <c r="N147" s="18" t="n"/>
      <c r="O147" s="18" t="n"/>
      <c r="P147" s="18" t="n"/>
      <c r="Q147" s="18" t="n"/>
      <c r="R147" s="18" t="n"/>
      <c r="S147" s="18" t="n"/>
      <c r="T147" s="18" t="n"/>
      <c r="U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51">
        <f>IF(A148="","",IF(B148="Edge",IFERROR(IF(INDEX('模型流与公式'!$P$5:$P$204,MATCH(A148,'模型流与公式'!$A$5:$A$204,0))="","",INDEX('模型流与公式'!$P$5:$P$204,MATCH(A148,'模型流与公式'!$A$5:$A$204,0))),""),""))</f>
        <v/>
      </c>
      <c r="M148" s="18">
        <f>IF(A148="","",IF(B148="Edge",IFERROR(IF(INDEX('模型流与公式'!$Q$5:$Q$204,MATCH(A148,'模型流与公式'!$A$5:$A$204,0))="","",INDEX('模型流与公式'!$Q$5:$Q$204,MATCH(A148,'模型流与公式'!$A$5:$A$204,0))),""),""))</f>
        <v/>
      </c>
      <c r="N148" s="18" t="n"/>
      <c r="O148" s="18" t="n"/>
      <c r="P148" s="18" t="n"/>
      <c r="Q148" s="18" t="n"/>
      <c r="R148" s="18" t="n"/>
      <c r="S148" s="18" t="n"/>
      <c r="T148" s="18" t="n"/>
      <c r="U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51">
        <f>IF(A149="","",IF(B149="Edge",IFERROR(IF(INDEX('模型流与公式'!$P$5:$P$204,MATCH(A149,'模型流与公式'!$A$5:$A$204,0))="","",INDEX('模型流与公式'!$P$5:$P$204,MATCH(A149,'模型流与公式'!$A$5:$A$204,0))),""),""))</f>
        <v/>
      </c>
      <c r="M149" s="18">
        <f>IF(A149="","",IF(B149="Edge",IFERROR(IF(INDEX('模型流与公式'!$Q$5:$Q$204,MATCH(A149,'模型流与公式'!$A$5:$A$204,0))="","",INDEX('模型流与公式'!$Q$5:$Q$204,MATCH(A149,'模型流与公式'!$A$5:$A$204,0))),""),""))</f>
        <v/>
      </c>
      <c r="N149" s="18" t="n"/>
      <c r="O149" s="18" t="n"/>
      <c r="P149" s="18" t="n"/>
      <c r="Q149" s="18" t="n"/>
      <c r="R149" s="18" t="n"/>
      <c r="S149" s="18" t="n"/>
      <c r="T149" s="18" t="n"/>
      <c r="U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51">
        <f>IF(A150="","",IF(B150="Edge",IFERROR(IF(INDEX('模型流与公式'!$P$5:$P$204,MATCH(A150,'模型流与公式'!$A$5:$A$204,0))="","",INDEX('模型流与公式'!$P$5:$P$204,MATCH(A150,'模型流与公式'!$A$5:$A$204,0))),""),""))</f>
        <v/>
      </c>
      <c r="M150" s="18">
        <f>IF(A150="","",IF(B150="Edge",IFERROR(IF(INDEX('模型流与公式'!$Q$5:$Q$204,MATCH(A150,'模型流与公式'!$A$5:$A$204,0))="","",INDEX('模型流与公式'!$Q$5:$Q$204,MATCH(A150,'模型流与公式'!$A$5:$A$204,0))),""),""))</f>
        <v/>
      </c>
      <c r="N150" s="18" t="n"/>
      <c r="O150" s="18" t="n"/>
      <c r="P150" s="18" t="n"/>
      <c r="Q150" s="18" t="n"/>
      <c r="R150" s="18" t="n"/>
      <c r="S150" s="18" t="n"/>
      <c r="T150" s="18" t="n"/>
      <c r="U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51">
        <f>IF(A151="","",IF(B151="Edge",IFERROR(IF(INDEX('模型流与公式'!$P$5:$P$204,MATCH(A151,'模型流与公式'!$A$5:$A$204,0))="","",INDEX('模型流与公式'!$P$5:$P$204,MATCH(A151,'模型流与公式'!$A$5:$A$204,0))),""),""))</f>
        <v/>
      </c>
      <c r="M151" s="18">
        <f>IF(A151="","",IF(B151="Edge",IFERROR(IF(INDEX('模型流与公式'!$Q$5:$Q$204,MATCH(A151,'模型流与公式'!$A$5:$A$204,0))="","",INDEX('模型流与公式'!$Q$5:$Q$204,MATCH(A151,'模型流与公式'!$A$5:$A$204,0))),""),""))</f>
        <v/>
      </c>
      <c r="N151" s="18" t="n"/>
      <c r="O151" s="18" t="n"/>
      <c r="P151" s="18" t="n"/>
      <c r="Q151" s="18" t="n"/>
      <c r="R151" s="18" t="n"/>
      <c r="S151" s="18" t="n"/>
      <c r="T151" s="18" t="n"/>
      <c r="U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51">
        <f>IF(A152="","",IF(B152="Edge",IFERROR(IF(INDEX('模型流与公式'!$P$5:$P$204,MATCH(A152,'模型流与公式'!$A$5:$A$204,0))="","",INDEX('模型流与公式'!$P$5:$P$204,MATCH(A152,'模型流与公式'!$A$5:$A$204,0))),""),""))</f>
        <v/>
      </c>
      <c r="M152" s="18">
        <f>IF(A152="","",IF(B152="Edge",IFERROR(IF(INDEX('模型流与公式'!$Q$5:$Q$204,MATCH(A152,'模型流与公式'!$A$5:$A$204,0))="","",INDEX('模型流与公式'!$Q$5:$Q$204,MATCH(A152,'模型流与公式'!$A$5:$A$204,0))),""),""))</f>
        <v/>
      </c>
      <c r="N152" s="18" t="n"/>
      <c r="O152" s="18" t="n"/>
      <c r="P152" s="18" t="n"/>
      <c r="Q152" s="18" t="n"/>
      <c r="R152" s="18" t="n"/>
      <c r="S152" s="18" t="n"/>
      <c r="T152" s="18" t="n"/>
      <c r="U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51">
        <f>IF(A153="","",IF(B153="Edge",IFERROR(IF(INDEX('模型流与公式'!$P$5:$P$204,MATCH(A153,'模型流与公式'!$A$5:$A$204,0))="","",INDEX('模型流与公式'!$P$5:$P$204,MATCH(A153,'模型流与公式'!$A$5:$A$204,0))),""),""))</f>
        <v/>
      </c>
      <c r="M153" s="18">
        <f>IF(A153="","",IF(B153="Edge",IFERROR(IF(INDEX('模型流与公式'!$Q$5:$Q$204,MATCH(A153,'模型流与公式'!$A$5:$A$204,0))="","",INDEX('模型流与公式'!$Q$5:$Q$204,MATCH(A153,'模型流与公式'!$A$5:$A$204,0))),""),""))</f>
        <v/>
      </c>
      <c r="N153" s="18" t="n"/>
      <c r="O153" s="18" t="n"/>
      <c r="P153" s="18" t="n"/>
      <c r="Q153" s="18" t="n"/>
      <c r="R153" s="18" t="n"/>
      <c r="S153" s="18" t="n"/>
      <c r="T153" s="18" t="n"/>
      <c r="U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51">
        <f>IF(A154="","",IF(B154="Edge",IFERROR(IF(INDEX('模型流与公式'!$P$5:$P$204,MATCH(A154,'模型流与公式'!$A$5:$A$204,0))="","",INDEX('模型流与公式'!$P$5:$P$204,MATCH(A154,'模型流与公式'!$A$5:$A$204,0))),""),""))</f>
        <v/>
      </c>
      <c r="M154" s="18">
        <f>IF(A154="","",IF(B154="Edge",IFERROR(IF(INDEX('模型流与公式'!$Q$5:$Q$204,MATCH(A154,'模型流与公式'!$A$5:$A$204,0))="","",INDEX('模型流与公式'!$Q$5:$Q$204,MATCH(A154,'模型流与公式'!$A$5:$A$204,0))),""),""))</f>
        <v/>
      </c>
      <c r="N154" s="18" t="n"/>
      <c r="O154" s="18" t="n"/>
      <c r="P154" s="18" t="n"/>
      <c r="Q154" s="18" t="n"/>
      <c r="R154" s="18" t="n"/>
      <c r="S154" s="18" t="n"/>
      <c r="T154" s="18" t="n"/>
      <c r="U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51">
        <f>IF(A155="","",IF(B155="Edge",IFERROR(IF(INDEX('模型流与公式'!$P$5:$P$204,MATCH(A155,'模型流与公式'!$A$5:$A$204,0))="","",INDEX('模型流与公式'!$P$5:$P$204,MATCH(A155,'模型流与公式'!$A$5:$A$204,0))),""),""))</f>
        <v/>
      </c>
      <c r="M155" s="18">
        <f>IF(A155="","",IF(B155="Edge",IFERROR(IF(INDEX('模型流与公式'!$Q$5:$Q$204,MATCH(A155,'模型流与公式'!$A$5:$A$204,0))="","",INDEX('模型流与公式'!$Q$5:$Q$204,MATCH(A155,'模型流与公式'!$A$5:$A$204,0))),""),""))</f>
        <v/>
      </c>
      <c r="N155" s="18" t="n"/>
      <c r="O155" s="18" t="n"/>
      <c r="P155" s="18" t="n"/>
      <c r="Q155" s="18" t="n"/>
      <c r="R155" s="18" t="n"/>
      <c r="S155" s="18" t="n"/>
      <c r="T155" s="18" t="n"/>
      <c r="U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51">
        <f>IF(A156="","",IF(B156="Edge",IFERROR(IF(INDEX('模型流与公式'!$P$5:$P$204,MATCH(A156,'模型流与公式'!$A$5:$A$204,0))="","",INDEX('模型流与公式'!$P$5:$P$204,MATCH(A156,'模型流与公式'!$A$5:$A$204,0))),""),""))</f>
        <v/>
      </c>
      <c r="M156" s="18">
        <f>IF(A156="","",IF(B156="Edge",IFERROR(IF(INDEX('模型流与公式'!$Q$5:$Q$204,MATCH(A156,'模型流与公式'!$A$5:$A$204,0))="","",INDEX('模型流与公式'!$Q$5:$Q$204,MATCH(A156,'模型流与公式'!$A$5:$A$204,0))),""),""))</f>
        <v/>
      </c>
      <c r="N156" s="18" t="n"/>
      <c r="O156" s="18" t="n"/>
      <c r="P156" s="18" t="n"/>
      <c r="Q156" s="18" t="n"/>
      <c r="R156" s="18" t="n"/>
      <c r="S156" s="18" t="n"/>
      <c r="T156" s="18" t="n"/>
      <c r="U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51">
        <f>IF(A157="","",IF(B157="Edge",IFERROR(IF(INDEX('模型流与公式'!$P$5:$P$204,MATCH(A157,'模型流与公式'!$A$5:$A$204,0))="","",INDEX('模型流与公式'!$P$5:$P$204,MATCH(A157,'模型流与公式'!$A$5:$A$204,0))),""),""))</f>
        <v/>
      </c>
      <c r="M157" s="18">
        <f>IF(A157="","",IF(B157="Edge",IFERROR(IF(INDEX('模型流与公式'!$Q$5:$Q$204,MATCH(A157,'模型流与公式'!$A$5:$A$204,0))="","",INDEX('模型流与公式'!$Q$5:$Q$204,MATCH(A157,'模型流与公式'!$A$5:$A$204,0))),""),""))</f>
        <v/>
      </c>
      <c r="N157" s="18" t="n"/>
      <c r="O157" s="18" t="n"/>
      <c r="P157" s="18" t="n"/>
      <c r="Q157" s="18" t="n"/>
      <c r="R157" s="18" t="n"/>
      <c r="S157" s="18" t="n"/>
      <c r="T157" s="18" t="n"/>
      <c r="U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51">
        <f>IF(A158="","",IF(B158="Edge",IFERROR(IF(INDEX('模型流与公式'!$P$5:$P$204,MATCH(A158,'模型流与公式'!$A$5:$A$204,0))="","",INDEX('模型流与公式'!$P$5:$P$204,MATCH(A158,'模型流与公式'!$A$5:$A$204,0))),""),""))</f>
        <v/>
      </c>
      <c r="M158" s="18">
        <f>IF(A158="","",IF(B158="Edge",IFERROR(IF(INDEX('模型流与公式'!$Q$5:$Q$204,MATCH(A158,'模型流与公式'!$A$5:$A$204,0))="","",INDEX('模型流与公式'!$Q$5:$Q$204,MATCH(A158,'模型流与公式'!$A$5:$A$204,0))),""),""))</f>
        <v/>
      </c>
      <c r="N158" s="18" t="n"/>
      <c r="O158" s="18" t="n"/>
      <c r="P158" s="18" t="n"/>
      <c r="Q158" s="18" t="n"/>
      <c r="R158" s="18" t="n"/>
      <c r="S158" s="18" t="n"/>
      <c r="T158" s="18" t="n"/>
      <c r="U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51">
        <f>IF(A159="","",IF(B159="Edge",IFERROR(IF(INDEX('模型流与公式'!$P$5:$P$204,MATCH(A159,'模型流与公式'!$A$5:$A$204,0))="","",INDEX('模型流与公式'!$P$5:$P$204,MATCH(A159,'模型流与公式'!$A$5:$A$204,0))),""),""))</f>
        <v/>
      </c>
      <c r="M159" s="18">
        <f>IF(A159="","",IF(B159="Edge",IFERROR(IF(INDEX('模型流与公式'!$Q$5:$Q$204,MATCH(A159,'模型流与公式'!$A$5:$A$204,0))="","",INDEX('模型流与公式'!$Q$5:$Q$204,MATCH(A159,'模型流与公式'!$A$5:$A$204,0))),""),""))</f>
        <v/>
      </c>
      <c r="N159" s="18" t="n"/>
      <c r="O159" s="18" t="n"/>
      <c r="P159" s="18" t="n"/>
      <c r="Q159" s="18" t="n"/>
      <c r="R159" s="18" t="n"/>
      <c r="S159" s="18" t="n"/>
      <c r="T159" s="18" t="n"/>
      <c r="U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51">
        <f>IF(A160="","",IF(B160="Edge",IFERROR(IF(INDEX('模型流与公式'!$P$5:$P$204,MATCH(A160,'模型流与公式'!$A$5:$A$204,0))="","",INDEX('模型流与公式'!$P$5:$P$204,MATCH(A160,'模型流与公式'!$A$5:$A$204,0))),""),""))</f>
        <v/>
      </c>
      <c r="M160" s="18">
        <f>IF(A160="","",IF(B160="Edge",IFERROR(IF(INDEX('模型流与公式'!$Q$5:$Q$204,MATCH(A160,'模型流与公式'!$A$5:$A$204,0))="","",INDEX('模型流与公式'!$Q$5:$Q$204,MATCH(A160,'模型流与公式'!$A$5:$A$204,0))),""),""))</f>
        <v/>
      </c>
      <c r="N160" s="18" t="n"/>
      <c r="O160" s="18" t="n"/>
      <c r="P160" s="18" t="n"/>
      <c r="Q160" s="18" t="n"/>
      <c r="R160" s="18" t="n"/>
      <c r="S160" s="18" t="n"/>
      <c r="T160" s="18" t="n"/>
      <c r="U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51">
        <f>IF(A161="","",IF(B161="Edge",IFERROR(IF(INDEX('模型流与公式'!$P$5:$P$204,MATCH(A161,'模型流与公式'!$A$5:$A$204,0))="","",INDEX('模型流与公式'!$P$5:$P$204,MATCH(A161,'模型流与公式'!$A$5:$A$204,0))),""),""))</f>
        <v/>
      </c>
      <c r="M161" s="18">
        <f>IF(A161="","",IF(B161="Edge",IFERROR(IF(INDEX('模型流与公式'!$Q$5:$Q$204,MATCH(A161,'模型流与公式'!$A$5:$A$204,0))="","",INDEX('模型流与公式'!$Q$5:$Q$204,MATCH(A161,'模型流与公式'!$A$5:$A$204,0))),""),""))</f>
        <v/>
      </c>
      <c r="N161" s="18" t="n"/>
      <c r="O161" s="18" t="n"/>
      <c r="P161" s="18" t="n"/>
      <c r="Q161" s="18" t="n"/>
      <c r="R161" s="18" t="n"/>
      <c r="S161" s="18" t="n"/>
      <c r="T161" s="18" t="n"/>
      <c r="U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51">
        <f>IF(A162="","",IF(B162="Edge",IFERROR(IF(INDEX('模型流与公式'!$P$5:$P$204,MATCH(A162,'模型流与公式'!$A$5:$A$204,0))="","",INDEX('模型流与公式'!$P$5:$P$204,MATCH(A162,'模型流与公式'!$A$5:$A$204,0))),""),""))</f>
        <v/>
      </c>
      <c r="M162" s="18">
        <f>IF(A162="","",IF(B162="Edge",IFERROR(IF(INDEX('模型流与公式'!$Q$5:$Q$204,MATCH(A162,'模型流与公式'!$A$5:$A$204,0))="","",INDEX('模型流与公式'!$Q$5:$Q$204,MATCH(A162,'模型流与公式'!$A$5:$A$204,0))),""),""))</f>
        <v/>
      </c>
      <c r="N162" s="18" t="n"/>
      <c r="O162" s="18" t="n"/>
      <c r="P162" s="18" t="n"/>
      <c r="Q162" s="18" t="n"/>
      <c r="R162" s="18" t="n"/>
      <c r="S162" s="18" t="n"/>
      <c r="T162" s="18" t="n"/>
      <c r="U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51">
        <f>IF(A163="","",IF(B163="Edge",IFERROR(IF(INDEX('模型流与公式'!$P$5:$P$204,MATCH(A163,'模型流与公式'!$A$5:$A$204,0))="","",INDEX('模型流与公式'!$P$5:$P$204,MATCH(A163,'模型流与公式'!$A$5:$A$204,0))),""),""))</f>
        <v/>
      </c>
      <c r="M163" s="18">
        <f>IF(A163="","",IF(B163="Edge",IFERROR(IF(INDEX('模型流与公式'!$Q$5:$Q$204,MATCH(A163,'模型流与公式'!$A$5:$A$204,0))="","",INDEX('模型流与公式'!$Q$5:$Q$204,MATCH(A163,'模型流与公式'!$A$5:$A$204,0))),""),""))</f>
        <v/>
      </c>
      <c r="N163" s="18" t="n"/>
      <c r="O163" s="18" t="n"/>
      <c r="P163" s="18" t="n"/>
      <c r="Q163" s="18" t="n"/>
      <c r="R163" s="18" t="n"/>
      <c r="S163" s="18" t="n"/>
      <c r="T163" s="18" t="n"/>
      <c r="U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51">
        <f>IF(A164="","",IF(B164="Edge",IFERROR(IF(INDEX('模型流与公式'!$P$5:$P$204,MATCH(A164,'模型流与公式'!$A$5:$A$204,0))="","",INDEX('模型流与公式'!$P$5:$P$204,MATCH(A164,'模型流与公式'!$A$5:$A$204,0))),""),""))</f>
        <v/>
      </c>
      <c r="M164" s="18">
        <f>IF(A164="","",IF(B164="Edge",IFERROR(IF(INDEX('模型流与公式'!$Q$5:$Q$204,MATCH(A164,'模型流与公式'!$A$5:$A$204,0))="","",INDEX('模型流与公式'!$Q$5:$Q$204,MATCH(A164,'模型流与公式'!$A$5:$A$204,0))),""),""))</f>
        <v/>
      </c>
      <c r="N164" s="18" t="n"/>
      <c r="O164" s="18" t="n"/>
      <c r="P164" s="18" t="n"/>
      <c r="Q164" s="18" t="n"/>
      <c r="R164" s="18" t="n"/>
      <c r="S164" s="18" t="n"/>
      <c r="T164" s="18" t="n"/>
      <c r="U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51">
        <f>IF(A165="","",IF(B165="Edge",IFERROR(IF(INDEX('模型流与公式'!$P$5:$P$204,MATCH(A165,'模型流与公式'!$A$5:$A$204,0))="","",INDEX('模型流与公式'!$P$5:$P$204,MATCH(A165,'模型流与公式'!$A$5:$A$204,0))),""),""))</f>
        <v/>
      </c>
      <c r="M165" s="18">
        <f>IF(A165="","",IF(B165="Edge",IFERROR(IF(INDEX('模型流与公式'!$Q$5:$Q$204,MATCH(A165,'模型流与公式'!$A$5:$A$204,0))="","",INDEX('模型流与公式'!$Q$5:$Q$204,MATCH(A165,'模型流与公式'!$A$5:$A$204,0))),""),""))</f>
        <v/>
      </c>
      <c r="N165" s="18" t="n"/>
      <c r="O165" s="18" t="n"/>
      <c r="P165" s="18" t="n"/>
      <c r="Q165" s="18" t="n"/>
      <c r="R165" s="18" t="n"/>
      <c r="S165" s="18" t="n"/>
      <c r="T165" s="18" t="n"/>
      <c r="U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51">
        <f>IF(A166="","",IF(B166="Edge",IFERROR(IF(INDEX('模型流与公式'!$P$5:$P$204,MATCH(A166,'模型流与公式'!$A$5:$A$204,0))="","",INDEX('模型流与公式'!$P$5:$P$204,MATCH(A166,'模型流与公式'!$A$5:$A$204,0))),""),""))</f>
        <v/>
      </c>
      <c r="M166" s="18">
        <f>IF(A166="","",IF(B166="Edge",IFERROR(IF(INDEX('模型流与公式'!$Q$5:$Q$204,MATCH(A166,'模型流与公式'!$A$5:$A$204,0))="","",INDEX('模型流与公式'!$Q$5:$Q$204,MATCH(A166,'模型流与公式'!$A$5:$A$204,0))),""),""))</f>
        <v/>
      </c>
      <c r="N166" s="18" t="n"/>
      <c r="O166" s="18" t="n"/>
      <c r="P166" s="18" t="n"/>
      <c r="Q166" s="18" t="n"/>
      <c r="R166" s="18" t="n"/>
      <c r="S166" s="18" t="n"/>
      <c r="T166" s="18" t="n"/>
      <c r="U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51">
        <f>IF(A167="","",IF(B167="Edge",IFERROR(IF(INDEX('模型流与公式'!$P$5:$P$204,MATCH(A167,'模型流与公式'!$A$5:$A$204,0))="","",INDEX('模型流与公式'!$P$5:$P$204,MATCH(A167,'模型流与公式'!$A$5:$A$204,0))),""),""))</f>
        <v/>
      </c>
      <c r="M167" s="18">
        <f>IF(A167="","",IF(B167="Edge",IFERROR(IF(INDEX('模型流与公式'!$Q$5:$Q$204,MATCH(A167,'模型流与公式'!$A$5:$A$204,0))="","",INDEX('模型流与公式'!$Q$5:$Q$204,MATCH(A167,'模型流与公式'!$A$5:$A$204,0))),""),""))</f>
        <v/>
      </c>
      <c r="N167" s="18" t="n"/>
      <c r="O167" s="18" t="n"/>
      <c r="P167" s="18" t="n"/>
      <c r="Q167" s="18" t="n"/>
      <c r="R167" s="18" t="n"/>
      <c r="S167" s="18" t="n"/>
      <c r="T167" s="18" t="n"/>
      <c r="U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51">
        <f>IF(A168="","",IF(B168="Edge",IFERROR(IF(INDEX('模型流与公式'!$P$5:$P$204,MATCH(A168,'模型流与公式'!$A$5:$A$204,0))="","",INDEX('模型流与公式'!$P$5:$P$204,MATCH(A168,'模型流与公式'!$A$5:$A$204,0))),""),""))</f>
        <v/>
      </c>
      <c r="M168" s="18">
        <f>IF(A168="","",IF(B168="Edge",IFERROR(IF(INDEX('模型流与公式'!$Q$5:$Q$204,MATCH(A168,'模型流与公式'!$A$5:$A$204,0))="","",INDEX('模型流与公式'!$Q$5:$Q$204,MATCH(A168,'模型流与公式'!$A$5:$A$204,0))),""),""))</f>
        <v/>
      </c>
      <c r="N168" s="18" t="n"/>
      <c r="O168" s="18" t="n"/>
      <c r="P168" s="18" t="n"/>
      <c r="Q168" s="18" t="n"/>
      <c r="R168" s="18" t="n"/>
      <c r="S168" s="18" t="n"/>
      <c r="T168" s="18" t="n"/>
      <c r="U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51">
        <f>IF(A169="","",IF(B169="Edge",IFERROR(IF(INDEX('模型流与公式'!$P$5:$P$204,MATCH(A169,'模型流与公式'!$A$5:$A$204,0))="","",INDEX('模型流与公式'!$P$5:$P$204,MATCH(A169,'模型流与公式'!$A$5:$A$204,0))),""),""))</f>
        <v/>
      </c>
      <c r="M169" s="18">
        <f>IF(A169="","",IF(B169="Edge",IFERROR(IF(INDEX('模型流与公式'!$Q$5:$Q$204,MATCH(A169,'模型流与公式'!$A$5:$A$204,0))="","",INDEX('模型流与公式'!$Q$5:$Q$204,MATCH(A169,'模型流与公式'!$A$5:$A$204,0))),""),""))</f>
        <v/>
      </c>
      <c r="N169" s="18" t="n"/>
      <c r="O169" s="18" t="n"/>
      <c r="P169" s="18" t="n"/>
      <c r="Q169" s="18" t="n"/>
      <c r="R169" s="18" t="n"/>
      <c r="S169" s="18" t="n"/>
      <c r="T169" s="18" t="n"/>
      <c r="U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51">
        <f>IF(A170="","",IF(B170="Edge",IFERROR(IF(INDEX('模型流与公式'!$P$5:$P$204,MATCH(A170,'模型流与公式'!$A$5:$A$204,0))="","",INDEX('模型流与公式'!$P$5:$P$204,MATCH(A170,'模型流与公式'!$A$5:$A$204,0))),""),""))</f>
        <v/>
      </c>
      <c r="M170" s="18">
        <f>IF(A170="","",IF(B170="Edge",IFERROR(IF(INDEX('模型流与公式'!$Q$5:$Q$204,MATCH(A170,'模型流与公式'!$A$5:$A$204,0))="","",INDEX('模型流与公式'!$Q$5:$Q$204,MATCH(A170,'模型流与公式'!$A$5:$A$204,0))),""),""))</f>
        <v/>
      </c>
      <c r="N170" s="18" t="n"/>
      <c r="O170" s="18" t="n"/>
      <c r="P170" s="18" t="n"/>
      <c r="Q170" s="18" t="n"/>
      <c r="R170" s="18" t="n"/>
      <c r="S170" s="18" t="n"/>
      <c r="T170" s="18" t="n"/>
      <c r="U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51">
        <f>IF(A171="","",IF(B171="Edge",IFERROR(IF(INDEX('模型流与公式'!$P$5:$P$204,MATCH(A171,'模型流与公式'!$A$5:$A$204,0))="","",INDEX('模型流与公式'!$P$5:$P$204,MATCH(A171,'模型流与公式'!$A$5:$A$204,0))),""),""))</f>
        <v/>
      </c>
      <c r="M171" s="18">
        <f>IF(A171="","",IF(B171="Edge",IFERROR(IF(INDEX('模型流与公式'!$Q$5:$Q$204,MATCH(A171,'模型流与公式'!$A$5:$A$204,0))="","",INDEX('模型流与公式'!$Q$5:$Q$204,MATCH(A171,'模型流与公式'!$A$5:$A$204,0))),""),""))</f>
        <v/>
      </c>
      <c r="N171" s="18" t="n"/>
      <c r="O171" s="18" t="n"/>
      <c r="P171" s="18" t="n"/>
      <c r="Q171" s="18" t="n"/>
      <c r="R171" s="18" t="n"/>
      <c r="S171" s="18" t="n"/>
      <c r="T171" s="18" t="n"/>
      <c r="U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51">
        <f>IF(A172="","",IF(B172="Edge",IFERROR(IF(INDEX('模型流与公式'!$P$5:$P$204,MATCH(A172,'模型流与公式'!$A$5:$A$204,0))="","",INDEX('模型流与公式'!$P$5:$P$204,MATCH(A172,'模型流与公式'!$A$5:$A$204,0))),""),""))</f>
        <v/>
      </c>
      <c r="M172" s="18">
        <f>IF(A172="","",IF(B172="Edge",IFERROR(IF(INDEX('模型流与公式'!$Q$5:$Q$204,MATCH(A172,'模型流与公式'!$A$5:$A$204,0))="","",INDEX('模型流与公式'!$Q$5:$Q$204,MATCH(A172,'模型流与公式'!$A$5:$A$204,0))),""),""))</f>
        <v/>
      </c>
      <c r="N172" s="18" t="n"/>
      <c r="O172" s="18" t="n"/>
      <c r="P172" s="18" t="n"/>
      <c r="Q172" s="18" t="n"/>
      <c r="R172" s="18" t="n"/>
      <c r="S172" s="18" t="n"/>
      <c r="T172" s="18" t="n"/>
      <c r="U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51">
        <f>IF(A173="","",IF(B173="Edge",IFERROR(IF(INDEX('模型流与公式'!$P$5:$P$204,MATCH(A173,'模型流与公式'!$A$5:$A$204,0))="","",INDEX('模型流与公式'!$P$5:$P$204,MATCH(A173,'模型流与公式'!$A$5:$A$204,0))),""),""))</f>
        <v/>
      </c>
      <c r="M173" s="18">
        <f>IF(A173="","",IF(B173="Edge",IFERROR(IF(INDEX('模型流与公式'!$Q$5:$Q$204,MATCH(A173,'模型流与公式'!$A$5:$A$204,0))="","",INDEX('模型流与公式'!$Q$5:$Q$204,MATCH(A173,'模型流与公式'!$A$5:$A$204,0))),""),""))</f>
        <v/>
      </c>
      <c r="N173" s="18" t="n"/>
      <c r="O173" s="18" t="n"/>
      <c r="P173" s="18" t="n"/>
      <c r="Q173" s="18" t="n"/>
      <c r="R173" s="18" t="n"/>
      <c r="S173" s="18" t="n"/>
      <c r="T173" s="18" t="n"/>
      <c r="U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51">
        <f>IF(A174="","",IF(B174="Edge",IFERROR(IF(INDEX('模型流与公式'!$P$5:$P$204,MATCH(A174,'模型流与公式'!$A$5:$A$204,0))="","",INDEX('模型流与公式'!$P$5:$P$204,MATCH(A174,'模型流与公式'!$A$5:$A$204,0))),""),""))</f>
        <v/>
      </c>
      <c r="M174" s="18">
        <f>IF(A174="","",IF(B174="Edge",IFERROR(IF(INDEX('模型流与公式'!$Q$5:$Q$204,MATCH(A174,'模型流与公式'!$A$5:$A$204,0))="","",INDEX('模型流与公式'!$Q$5:$Q$204,MATCH(A174,'模型流与公式'!$A$5:$A$204,0))),""),""))</f>
        <v/>
      </c>
      <c r="N174" s="18" t="n"/>
      <c r="O174" s="18" t="n"/>
      <c r="P174" s="18" t="n"/>
      <c r="Q174" s="18" t="n"/>
      <c r="R174" s="18" t="n"/>
      <c r="S174" s="18" t="n"/>
      <c r="T174" s="18" t="n"/>
      <c r="U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51">
        <f>IF(A175="","",IF(B175="Edge",IFERROR(IF(INDEX('模型流与公式'!$P$5:$P$204,MATCH(A175,'模型流与公式'!$A$5:$A$204,0))="","",INDEX('模型流与公式'!$P$5:$P$204,MATCH(A175,'模型流与公式'!$A$5:$A$204,0))),""),""))</f>
        <v/>
      </c>
      <c r="M175" s="18">
        <f>IF(A175="","",IF(B175="Edge",IFERROR(IF(INDEX('模型流与公式'!$Q$5:$Q$204,MATCH(A175,'模型流与公式'!$A$5:$A$204,0))="","",INDEX('模型流与公式'!$Q$5:$Q$204,MATCH(A175,'模型流与公式'!$A$5:$A$204,0))),""),""))</f>
        <v/>
      </c>
      <c r="N175" s="18" t="n"/>
      <c r="O175" s="18" t="n"/>
      <c r="P175" s="18" t="n"/>
      <c r="Q175" s="18" t="n"/>
      <c r="R175" s="18" t="n"/>
      <c r="S175" s="18" t="n"/>
      <c r="T175" s="18" t="n"/>
      <c r="U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51">
        <f>IF(A176="","",IF(B176="Edge",IFERROR(IF(INDEX('模型流与公式'!$P$5:$P$204,MATCH(A176,'模型流与公式'!$A$5:$A$204,0))="","",INDEX('模型流与公式'!$P$5:$P$204,MATCH(A176,'模型流与公式'!$A$5:$A$204,0))),""),""))</f>
        <v/>
      </c>
      <c r="M176" s="18">
        <f>IF(A176="","",IF(B176="Edge",IFERROR(IF(INDEX('模型流与公式'!$Q$5:$Q$204,MATCH(A176,'模型流与公式'!$A$5:$A$204,0))="","",INDEX('模型流与公式'!$Q$5:$Q$204,MATCH(A176,'模型流与公式'!$A$5:$A$204,0))),""),""))</f>
        <v/>
      </c>
      <c r="N176" s="18" t="n"/>
      <c r="O176" s="18" t="n"/>
      <c r="P176" s="18" t="n"/>
      <c r="Q176" s="18" t="n"/>
      <c r="R176" s="18" t="n"/>
      <c r="S176" s="18" t="n"/>
      <c r="T176" s="18" t="n"/>
      <c r="U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51">
        <f>IF(A177="","",IF(B177="Edge",IFERROR(IF(INDEX('模型流与公式'!$P$5:$P$204,MATCH(A177,'模型流与公式'!$A$5:$A$204,0))="","",INDEX('模型流与公式'!$P$5:$P$204,MATCH(A177,'模型流与公式'!$A$5:$A$204,0))),""),""))</f>
        <v/>
      </c>
      <c r="M177" s="18">
        <f>IF(A177="","",IF(B177="Edge",IFERROR(IF(INDEX('模型流与公式'!$Q$5:$Q$204,MATCH(A177,'模型流与公式'!$A$5:$A$204,0))="","",INDEX('模型流与公式'!$Q$5:$Q$204,MATCH(A177,'模型流与公式'!$A$5:$A$204,0))),""),""))</f>
        <v/>
      </c>
      <c r="N177" s="18" t="n"/>
      <c r="O177" s="18" t="n"/>
      <c r="P177" s="18" t="n"/>
      <c r="Q177" s="18" t="n"/>
      <c r="R177" s="18" t="n"/>
      <c r="S177" s="18" t="n"/>
      <c r="T177" s="18" t="n"/>
      <c r="U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51">
        <f>IF(A178="","",IF(B178="Edge",IFERROR(IF(INDEX('模型流与公式'!$P$5:$P$204,MATCH(A178,'模型流与公式'!$A$5:$A$204,0))="","",INDEX('模型流与公式'!$P$5:$P$204,MATCH(A178,'模型流与公式'!$A$5:$A$204,0))),""),""))</f>
        <v/>
      </c>
      <c r="M178" s="18">
        <f>IF(A178="","",IF(B178="Edge",IFERROR(IF(INDEX('模型流与公式'!$Q$5:$Q$204,MATCH(A178,'模型流与公式'!$A$5:$A$204,0))="","",INDEX('模型流与公式'!$Q$5:$Q$204,MATCH(A178,'模型流与公式'!$A$5:$A$204,0))),""),""))</f>
        <v/>
      </c>
      <c r="N178" s="18" t="n"/>
      <c r="O178" s="18" t="n"/>
      <c r="P178" s="18" t="n"/>
      <c r="Q178" s="18" t="n"/>
      <c r="R178" s="18" t="n"/>
      <c r="S178" s="18" t="n"/>
      <c r="T178" s="18" t="n"/>
      <c r="U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51">
        <f>IF(A179="","",IF(B179="Edge",IFERROR(IF(INDEX('模型流与公式'!$P$5:$P$204,MATCH(A179,'模型流与公式'!$A$5:$A$204,0))="","",INDEX('模型流与公式'!$P$5:$P$204,MATCH(A179,'模型流与公式'!$A$5:$A$204,0))),""),""))</f>
        <v/>
      </c>
      <c r="M179" s="18">
        <f>IF(A179="","",IF(B179="Edge",IFERROR(IF(INDEX('模型流与公式'!$Q$5:$Q$204,MATCH(A179,'模型流与公式'!$A$5:$A$204,0))="","",INDEX('模型流与公式'!$Q$5:$Q$204,MATCH(A179,'模型流与公式'!$A$5:$A$204,0))),""),""))</f>
        <v/>
      </c>
      <c r="N179" s="18" t="n"/>
      <c r="O179" s="18" t="n"/>
      <c r="P179" s="18" t="n"/>
      <c r="Q179" s="18" t="n"/>
      <c r="R179" s="18" t="n"/>
      <c r="S179" s="18" t="n"/>
      <c r="T179" s="18" t="n"/>
      <c r="U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51">
        <f>IF(A180="","",IF(B180="Edge",IFERROR(IF(INDEX('模型流与公式'!$P$5:$P$204,MATCH(A180,'模型流与公式'!$A$5:$A$204,0))="","",INDEX('模型流与公式'!$P$5:$P$204,MATCH(A180,'模型流与公式'!$A$5:$A$204,0))),""),""))</f>
        <v/>
      </c>
      <c r="M180" s="18">
        <f>IF(A180="","",IF(B180="Edge",IFERROR(IF(INDEX('模型流与公式'!$Q$5:$Q$204,MATCH(A180,'模型流与公式'!$A$5:$A$204,0))="","",INDEX('模型流与公式'!$Q$5:$Q$204,MATCH(A180,'模型流与公式'!$A$5:$A$204,0))),""),""))</f>
        <v/>
      </c>
      <c r="N180" s="18" t="n"/>
      <c r="O180" s="18" t="n"/>
      <c r="P180" s="18" t="n"/>
      <c r="Q180" s="18" t="n"/>
      <c r="R180" s="18" t="n"/>
      <c r="S180" s="18" t="n"/>
      <c r="T180" s="18" t="n"/>
      <c r="U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51">
        <f>IF(A181="","",IF(B181="Edge",IFERROR(IF(INDEX('模型流与公式'!$P$5:$P$204,MATCH(A181,'模型流与公式'!$A$5:$A$204,0))="","",INDEX('模型流与公式'!$P$5:$P$204,MATCH(A181,'模型流与公式'!$A$5:$A$204,0))),""),""))</f>
        <v/>
      </c>
      <c r="M181" s="18">
        <f>IF(A181="","",IF(B181="Edge",IFERROR(IF(INDEX('模型流与公式'!$Q$5:$Q$204,MATCH(A181,'模型流与公式'!$A$5:$A$204,0))="","",INDEX('模型流与公式'!$Q$5:$Q$204,MATCH(A181,'模型流与公式'!$A$5:$A$204,0))),""),""))</f>
        <v/>
      </c>
      <c r="N181" s="18" t="n"/>
      <c r="O181" s="18" t="n"/>
      <c r="P181" s="18" t="n"/>
      <c r="Q181" s="18" t="n"/>
      <c r="R181" s="18" t="n"/>
      <c r="S181" s="18" t="n"/>
      <c r="T181" s="18" t="n"/>
      <c r="U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51">
        <f>IF(A182="","",IF(B182="Edge",IFERROR(IF(INDEX('模型流与公式'!$P$5:$P$204,MATCH(A182,'模型流与公式'!$A$5:$A$204,0))="","",INDEX('模型流与公式'!$P$5:$P$204,MATCH(A182,'模型流与公式'!$A$5:$A$204,0))),""),""))</f>
        <v/>
      </c>
      <c r="M182" s="18">
        <f>IF(A182="","",IF(B182="Edge",IFERROR(IF(INDEX('模型流与公式'!$Q$5:$Q$204,MATCH(A182,'模型流与公式'!$A$5:$A$204,0))="","",INDEX('模型流与公式'!$Q$5:$Q$204,MATCH(A182,'模型流与公式'!$A$5:$A$204,0))),""),""))</f>
        <v/>
      </c>
      <c r="N182" s="18" t="n"/>
      <c r="O182" s="18" t="n"/>
      <c r="P182" s="18" t="n"/>
      <c r="Q182" s="18" t="n"/>
      <c r="R182" s="18" t="n"/>
      <c r="S182" s="18" t="n"/>
      <c r="T182" s="18" t="n"/>
      <c r="U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51">
        <f>IF(A183="","",IF(B183="Edge",IFERROR(IF(INDEX('模型流与公式'!$P$5:$P$204,MATCH(A183,'模型流与公式'!$A$5:$A$204,0))="","",INDEX('模型流与公式'!$P$5:$P$204,MATCH(A183,'模型流与公式'!$A$5:$A$204,0))),""),""))</f>
        <v/>
      </c>
      <c r="M183" s="18">
        <f>IF(A183="","",IF(B183="Edge",IFERROR(IF(INDEX('模型流与公式'!$Q$5:$Q$204,MATCH(A183,'模型流与公式'!$A$5:$A$204,0))="","",INDEX('模型流与公式'!$Q$5:$Q$204,MATCH(A183,'模型流与公式'!$A$5:$A$204,0))),""),""))</f>
        <v/>
      </c>
      <c r="N183" s="18" t="n"/>
      <c r="O183" s="18" t="n"/>
      <c r="P183" s="18" t="n"/>
      <c r="Q183" s="18" t="n"/>
      <c r="R183" s="18" t="n"/>
      <c r="S183" s="18" t="n"/>
      <c r="T183" s="18" t="n"/>
      <c r="U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51">
        <f>IF(A184="","",IF(B184="Edge",IFERROR(IF(INDEX('模型流与公式'!$P$5:$P$204,MATCH(A184,'模型流与公式'!$A$5:$A$204,0))="","",INDEX('模型流与公式'!$P$5:$P$204,MATCH(A184,'模型流与公式'!$A$5:$A$204,0))),""),""))</f>
        <v/>
      </c>
      <c r="M184" s="18">
        <f>IF(A184="","",IF(B184="Edge",IFERROR(IF(INDEX('模型流与公式'!$Q$5:$Q$204,MATCH(A184,'模型流与公式'!$A$5:$A$204,0))="","",INDEX('模型流与公式'!$Q$5:$Q$204,MATCH(A184,'模型流与公式'!$A$5:$A$204,0))),""),""))</f>
        <v/>
      </c>
      <c r="N184" s="18" t="n"/>
      <c r="O184" s="18" t="n"/>
      <c r="P184" s="18" t="n"/>
      <c r="Q184" s="18" t="n"/>
      <c r="R184" s="18" t="n"/>
      <c r="S184" s="18" t="n"/>
      <c r="T184" s="18" t="n"/>
      <c r="U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51">
        <f>IF(A185="","",IF(B185="Edge",IFERROR(IF(INDEX('模型流与公式'!$P$5:$P$204,MATCH(A185,'模型流与公式'!$A$5:$A$204,0))="","",INDEX('模型流与公式'!$P$5:$P$204,MATCH(A185,'模型流与公式'!$A$5:$A$204,0))),""),""))</f>
        <v/>
      </c>
      <c r="M185" s="18">
        <f>IF(A185="","",IF(B185="Edge",IFERROR(IF(INDEX('模型流与公式'!$Q$5:$Q$204,MATCH(A185,'模型流与公式'!$A$5:$A$204,0))="","",INDEX('模型流与公式'!$Q$5:$Q$204,MATCH(A185,'模型流与公式'!$A$5:$A$204,0))),""),""))</f>
        <v/>
      </c>
      <c r="N185" s="18" t="n"/>
      <c r="O185" s="18" t="n"/>
      <c r="P185" s="18" t="n"/>
      <c r="Q185" s="18" t="n"/>
      <c r="R185" s="18" t="n"/>
      <c r="S185" s="18" t="n"/>
      <c r="T185" s="18" t="n"/>
      <c r="U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51">
        <f>IF(A186="","",IF(B186="Edge",IFERROR(IF(INDEX('模型流与公式'!$P$5:$P$204,MATCH(A186,'模型流与公式'!$A$5:$A$204,0))="","",INDEX('模型流与公式'!$P$5:$P$204,MATCH(A186,'模型流与公式'!$A$5:$A$204,0))),""),""))</f>
        <v/>
      </c>
      <c r="M186" s="18">
        <f>IF(A186="","",IF(B186="Edge",IFERROR(IF(INDEX('模型流与公式'!$Q$5:$Q$204,MATCH(A186,'模型流与公式'!$A$5:$A$204,0))="","",INDEX('模型流与公式'!$Q$5:$Q$204,MATCH(A186,'模型流与公式'!$A$5:$A$204,0))),""),""))</f>
        <v/>
      </c>
      <c r="N186" s="18" t="n"/>
      <c r="O186" s="18" t="n"/>
      <c r="P186" s="18" t="n"/>
      <c r="Q186" s="18" t="n"/>
      <c r="R186" s="18" t="n"/>
      <c r="S186" s="18" t="n"/>
      <c r="T186" s="18" t="n"/>
      <c r="U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51">
        <f>IF(A187="","",IF(B187="Edge",IFERROR(IF(INDEX('模型流与公式'!$P$5:$P$204,MATCH(A187,'模型流与公式'!$A$5:$A$204,0))="","",INDEX('模型流与公式'!$P$5:$P$204,MATCH(A187,'模型流与公式'!$A$5:$A$204,0))),""),""))</f>
        <v/>
      </c>
      <c r="M187" s="18">
        <f>IF(A187="","",IF(B187="Edge",IFERROR(IF(INDEX('模型流与公式'!$Q$5:$Q$204,MATCH(A187,'模型流与公式'!$A$5:$A$204,0))="","",INDEX('模型流与公式'!$Q$5:$Q$204,MATCH(A187,'模型流与公式'!$A$5:$A$204,0))),""),""))</f>
        <v/>
      </c>
      <c r="N187" s="18" t="n"/>
      <c r="O187" s="18" t="n"/>
      <c r="P187" s="18" t="n"/>
      <c r="Q187" s="18" t="n"/>
      <c r="R187" s="18" t="n"/>
      <c r="S187" s="18" t="n"/>
      <c r="T187" s="18" t="n"/>
      <c r="U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51">
        <f>IF(A188="","",IF(B188="Edge",IFERROR(IF(INDEX('模型流与公式'!$P$5:$P$204,MATCH(A188,'模型流与公式'!$A$5:$A$204,0))="","",INDEX('模型流与公式'!$P$5:$P$204,MATCH(A188,'模型流与公式'!$A$5:$A$204,0))),""),""))</f>
        <v/>
      </c>
      <c r="M188" s="18">
        <f>IF(A188="","",IF(B188="Edge",IFERROR(IF(INDEX('模型流与公式'!$Q$5:$Q$204,MATCH(A188,'模型流与公式'!$A$5:$A$204,0))="","",INDEX('模型流与公式'!$Q$5:$Q$204,MATCH(A188,'模型流与公式'!$A$5:$A$204,0))),""),""))</f>
        <v/>
      </c>
      <c r="N188" s="18" t="n"/>
      <c r="O188" s="18" t="n"/>
      <c r="P188" s="18" t="n"/>
      <c r="Q188" s="18" t="n"/>
      <c r="R188" s="18" t="n"/>
      <c r="S188" s="18" t="n"/>
      <c r="T188" s="18" t="n"/>
      <c r="U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51">
        <f>IF(A189="","",IF(B189="Edge",IFERROR(IF(INDEX('模型流与公式'!$P$5:$P$204,MATCH(A189,'模型流与公式'!$A$5:$A$204,0))="","",INDEX('模型流与公式'!$P$5:$P$204,MATCH(A189,'模型流与公式'!$A$5:$A$204,0))),""),""))</f>
        <v/>
      </c>
      <c r="M189" s="18">
        <f>IF(A189="","",IF(B189="Edge",IFERROR(IF(INDEX('模型流与公式'!$Q$5:$Q$204,MATCH(A189,'模型流与公式'!$A$5:$A$204,0))="","",INDEX('模型流与公式'!$Q$5:$Q$204,MATCH(A189,'模型流与公式'!$A$5:$A$204,0))),""),""))</f>
        <v/>
      </c>
      <c r="N189" s="18" t="n"/>
      <c r="O189" s="18" t="n"/>
      <c r="P189" s="18" t="n"/>
      <c r="Q189" s="18" t="n"/>
      <c r="R189" s="18" t="n"/>
      <c r="S189" s="18" t="n"/>
      <c r="T189" s="18" t="n"/>
      <c r="U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51">
        <f>IF(A190="","",IF(B190="Edge",IFERROR(IF(INDEX('模型流与公式'!$P$5:$P$204,MATCH(A190,'模型流与公式'!$A$5:$A$204,0))="","",INDEX('模型流与公式'!$P$5:$P$204,MATCH(A190,'模型流与公式'!$A$5:$A$204,0))),""),""))</f>
        <v/>
      </c>
      <c r="M190" s="18">
        <f>IF(A190="","",IF(B190="Edge",IFERROR(IF(INDEX('模型流与公式'!$Q$5:$Q$204,MATCH(A190,'模型流与公式'!$A$5:$A$204,0))="","",INDEX('模型流与公式'!$Q$5:$Q$204,MATCH(A190,'模型流与公式'!$A$5:$A$204,0))),""),""))</f>
        <v/>
      </c>
      <c r="N190" s="18" t="n"/>
      <c r="O190" s="18" t="n"/>
      <c r="P190" s="18" t="n"/>
      <c r="Q190" s="18" t="n"/>
      <c r="R190" s="18" t="n"/>
      <c r="S190" s="18" t="n"/>
      <c r="T190" s="18" t="n"/>
      <c r="U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51">
        <f>IF(A191="","",IF(B191="Edge",IFERROR(IF(INDEX('模型流与公式'!$P$5:$P$204,MATCH(A191,'模型流与公式'!$A$5:$A$204,0))="","",INDEX('模型流与公式'!$P$5:$P$204,MATCH(A191,'模型流与公式'!$A$5:$A$204,0))),""),""))</f>
        <v/>
      </c>
      <c r="M191" s="18">
        <f>IF(A191="","",IF(B191="Edge",IFERROR(IF(INDEX('模型流与公式'!$Q$5:$Q$204,MATCH(A191,'模型流与公式'!$A$5:$A$204,0))="","",INDEX('模型流与公式'!$Q$5:$Q$204,MATCH(A191,'模型流与公式'!$A$5:$A$204,0))),""),""))</f>
        <v/>
      </c>
      <c r="N191" s="18" t="n"/>
      <c r="O191" s="18" t="n"/>
      <c r="P191" s="18" t="n"/>
      <c r="Q191" s="18" t="n"/>
      <c r="R191" s="18" t="n"/>
      <c r="S191" s="18" t="n"/>
      <c r="T191" s="18" t="n"/>
      <c r="U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51">
        <f>IF(A192="","",IF(B192="Edge",IFERROR(IF(INDEX('模型流与公式'!$P$5:$P$204,MATCH(A192,'模型流与公式'!$A$5:$A$204,0))="","",INDEX('模型流与公式'!$P$5:$P$204,MATCH(A192,'模型流与公式'!$A$5:$A$204,0))),""),""))</f>
        <v/>
      </c>
      <c r="M192" s="18">
        <f>IF(A192="","",IF(B192="Edge",IFERROR(IF(INDEX('模型流与公式'!$Q$5:$Q$204,MATCH(A192,'模型流与公式'!$A$5:$A$204,0))="","",INDEX('模型流与公式'!$Q$5:$Q$204,MATCH(A192,'模型流与公式'!$A$5:$A$204,0))),""),""))</f>
        <v/>
      </c>
      <c r="N192" s="18" t="n"/>
      <c r="O192" s="18" t="n"/>
      <c r="P192" s="18" t="n"/>
      <c r="Q192" s="18" t="n"/>
      <c r="R192" s="18" t="n"/>
      <c r="S192" s="18" t="n"/>
      <c r="T192" s="18" t="n"/>
      <c r="U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51">
        <f>IF(A193="","",IF(B193="Edge",IFERROR(IF(INDEX('模型流与公式'!$P$5:$P$204,MATCH(A193,'模型流与公式'!$A$5:$A$204,0))="","",INDEX('模型流与公式'!$P$5:$P$204,MATCH(A193,'模型流与公式'!$A$5:$A$204,0))),""),""))</f>
        <v/>
      </c>
      <c r="M193" s="18">
        <f>IF(A193="","",IF(B193="Edge",IFERROR(IF(INDEX('模型流与公式'!$Q$5:$Q$204,MATCH(A193,'模型流与公式'!$A$5:$A$204,0))="","",INDEX('模型流与公式'!$Q$5:$Q$204,MATCH(A193,'模型流与公式'!$A$5:$A$204,0))),""),""))</f>
        <v/>
      </c>
      <c r="N193" s="18" t="n"/>
      <c r="O193" s="18" t="n"/>
      <c r="P193" s="18" t="n"/>
      <c r="Q193" s="18" t="n"/>
      <c r="R193" s="18" t="n"/>
      <c r="S193" s="18" t="n"/>
      <c r="T193" s="18" t="n"/>
      <c r="U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51">
        <f>IF(A194="","",IF(B194="Edge",IFERROR(IF(INDEX('模型流与公式'!$P$5:$P$204,MATCH(A194,'模型流与公式'!$A$5:$A$204,0))="","",INDEX('模型流与公式'!$P$5:$P$204,MATCH(A194,'模型流与公式'!$A$5:$A$204,0))),""),""))</f>
        <v/>
      </c>
      <c r="M194" s="18">
        <f>IF(A194="","",IF(B194="Edge",IFERROR(IF(INDEX('模型流与公式'!$Q$5:$Q$204,MATCH(A194,'模型流与公式'!$A$5:$A$204,0))="","",INDEX('模型流与公式'!$Q$5:$Q$204,MATCH(A194,'模型流与公式'!$A$5:$A$204,0))),""),""))</f>
        <v/>
      </c>
      <c r="N194" s="18" t="n"/>
      <c r="O194" s="18" t="n"/>
      <c r="P194" s="18" t="n"/>
      <c r="Q194" s="18" t="n"/>
      <c r="R194" s="18" t="n"/>
      <c r="S194" s="18" t="n"/>
      <c r="T194" s="18" t="n"/>
      <c r="U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51">
        <f>IF(A195="","",IF(B195="Edge",IFERROR(IF(INDEX('模型流与公式'!$P$5:$P$204,MATCH(A195,'模型流与公式'!$A$5:$A$204,0))="","",INDEX('模型流与公式'!$P$5:$P$204,MATCH(A195,'模型流与公式'!$A$5:$A$204,0))),""),""))</f>
        <v/>
      </c>
      <c r="M195" s="18">
        <f>IF(A195="","",IF(B195="Edge",IFERROR(IF(INDEX('模型流与公式'!$Q$5:$Q$204,MATCH(A195,'模型流与公式'!$A$5:$A$204,0))="","",INDEX('模型流与公式'!$Q$5:$Q$204,MATCH(A195,'模型流与公式'!$A$5:$A$204,0))),""),""))</f>
        <v/>
      </c>
      <c r="N195" s="18" t="n"/>
      <c r="O195" s="18" t="n"/>
      <c r="P195" s="18" t="n"/>
      <c r="Q195" s="18" t="n"/>
      <c r="R195" s="18" t="n"/>
      <c r="S195" s="18" t="n"/>
      <c r="T195" s="18" t="n"/>
      <c r="U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51">
        <f>IF(A196="","",IF(B196="Edge",IFERROR(IF(INDEX('模型流与公式'!$P$5:$P$204,MATCH(A196,'模型流与公式'!$A$5:$A$204,0))="","",INDEX('模型流与公式'!$P$5:$P$204,MATCH(A196,'模型流与公式'!$A$5:$A$204,0))),""),""))</f>
        <v/>
      </c>
      <c r="M196" s="18">
        <f>IF(A196="","",IF(B196="Edge",IFERROR(IF(INDEX('模型流与公式'!$Q$5:$Q$204,MATCH(A196,'模型流与公式'!$A$5:$A$204,0))="","",INDEX('模型流与公式'!$Q$5:$Q$204,MATCH(A196,'模型流与公式'!$A$5:$A$204,0))),""),""))</f>
        <v/>
      </c>
      <c r="N196" s="18" t="n"/>
      <c r="O196" s="18" t="n"/>
      <c r="P196" s="18" t="n"/>
      <c r="Q196" s="18" t="n"/>
      <c r="R196" s="18" t="n"/>
      <c r="S196" s="18" t="n"/>
      <c r="T196" s="18" t="n"/>
      <c r="U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51">
        <f>IF(A197="","",IF(B197="Edge",IFERROR(IF(INDEX('模型流与公式'!$P$5:$P$204,MATCH(A197,'模型流与公式'!$A$5:$A$204,0))="","",INDEX('模型流与公式'!$P$5:$P$204,MATCH(A197,'模型流与公式'!$A$5:$A$204,0))),""),""))</f>
        <v/>
      </c>
      <c r="M197" s="18">
        <f>IF(A197="","",IF(B197="Edge",IFERROR(IF(INDEX('模型流与公式'!$Q$5:$Q$204,MATCH(A197,'模型流与公式'!$A$5:$A$204,0))="","",INDEX('模型流与公式'!$Q$5:$Q$204,MATCH(A197,'模型流与公式'!$A$5:$A$204,0))),""),""))</f>
        <v/>
      </c>
      <c r="N197" s="18" t="n"/>
      <c r="O197" s="18" t="n"/>
      <c r="P197" s="18" t="n"/>
      <c r="Q197" s="18" t="n"/>
      <c r="R197" s="18" t="n"/>
      <c r="S197" s="18" t="n"/>
      <c r="T197" s="18" t="n"/>
      <c r="U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51">
        <f>IF(A198="","",IF(B198="Edge",IFERROR(IF(INDEX('模型流与公式'!$P$5:$P$204,MATCH(A198,'模型流与公式'!$A$5:$A$204,0))="","",INDEX('模型流与公式'!$P$5:$P$204,MATCH(A198,'模型流与公式'!$A$5:$A$204,0))),""),""))</f>
        <v/>
      </c>
      <c r="M198" s="18">
        <f>IF(A198="","",IF(B198="Edge",IFERROR(IF(INDEX('模型流与公式'!$Q$5:$Q$204,MATCH(A198,'模型流与公式'!$A$5:$A$204,0))="","",INDEX('模型流与公式'!$Q$5:$Q$204,MATCH(A198,'模型流与公式'!$A$5:$A$204,0))),""),""))</f>
        <v/>
      </c>
      <c r="N198" s="18" t="n"/>
      <c r="O198" s="18" t="n"/>
      <c r="P198" s="18" t="n"/>
      <c r="Q198" s="18" t="n"/>
      <c r="R198" s="18" t="n"/>
      <c r="S198" s="18" t="n"/>
      <c r="T198" s="18" t="n"/>
      <c r="U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51">
        <f>IF(A199="","",IF(B199="Edge",IFERROR(IF(INDEX('模型流与公式'!$P$5:$P$204,MATCH(A199,'模型流与公式'!$A$5:$A$204,0))="","",INDEX('模型流与公式'!$P$5:$P$204,MATCH(A199,'模型流与公式'!$A$5:$A$204,0))),""),""))</f>
        <v/>
      </c>
      <c r="M199" s="18">
        <f>IF(A199="","",IF(B199="Edge",IFERROR(IF(INDEX('模型流与公式'!$Q$5:$Q$204,MATCH(A199,'模型流与公式'!$A$5:$A$204,0))="","",INDEX('模型流与公式'!$Q$5:$Q$204,MATCH(A199,'模型流与公式'!$A$5:$A$204,0))),""),""))</f>
        <v/>
      </c>
      <c r="N199" s="18" t="n"/>
      <c r="O199" s="18" t="n"/>
      <c r="P199" s="18" t="n"/>
      <c r="Q199" s="18" t="n"/>
      <c r="R199" s="18" t="n"/>
      <c r="S199" s="18" t="n"/>
      <c r="T199" s="18" t="n"/>
      <c r="U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51">
        <f>IF(A200="","",IF(B200="Edge",IFERROR(IF(INDEX('模型流与公式'!$P$5:$P$204,MATCH(A200,'模型流与公式'!$A$5:$A$204,0))="","",INDEX('模型流与公式'!$P$5:$P$204,MATCH(A200,'模型流与公式'!$A$5:$A$204,0))),""),""))</f>
        <v/>
      </c>
      <c r="M200" s="18">
        <f>IF(A200="","",IF(B200="Edge",IFERROR(IF(INDEX('模型流与公式'!$Q$5:$Q$204,MATCH(A200,'模型流与公式'!$A$5:$A$204,0))="","",INDEX('模型流与公式'!$Q$5:$Q$204,MATCH(A200,'模型流与公式'!$A$5:$A$204,0))),""),""))</f>
        <v/>
      </c>
      <c r="N200" s="18" t="n"/>
      <c r="O200" s="18" t="n"/>
      <c r="P200" s="18" t="n"/>
      <c r="Q200" s="18" t="n"/>
      <c r="R200" s="18" t="n"/>
      <c r="S200" s="18" t="n"/>
      <c r="T200" s="18" t="n"/>
      <c r="U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51">
        <f>IF(A201="","",IF(B201="Edge",IFERROR(IF(INDEX('模型流与公式'!$P$5:$P$204,MATCH(A201,'模型流与公式'!$A$5:$A$204,0))="","",INDEX('模型流与公式'!$P$5:$P$204,MATCH(A201,'模型流与公式'!$A$5:$A$204,0))),""),""))</f>
        <v/>
      </c>
      <c r="M201" s="18">
        <f>IF(A201="","",IF(B201="Edge",IFERROR(IF(INDEX('模型流与公式'!$Q$5:$Q$204,MATCH(A201,'模型流与公式'!$A$5:$A$204,0))="","",INDEX('模型流与公式'!$Q$5:$Q$204,MATCH(A201,'模型流与公式'!$A$5:$A$204,0))),""),""))</f>
        <v/>
      </c>
      <c r="N201" s="18" t="n"/>
      <c r="O201" s="18" t="n"/>
      <c r="P201" s="18" t="n"/>
      <c r="Q201" s="18" t="n"/>
      <c r="R201" s="18" t="n"/>
      <c r="S201" s="18" t="n"/>
      <c r="T201" s="18" t="n"/>
      <c r="U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51">
        <f>IF(A202="","",IF(B202="Edge",IFERROR(IF(INDEX('模型流与公式'!$P$5:$P$204,MATCH(A202,'模型流与公式'!$A$5:$A$204,0))="","",INDEX('模型流与公式'!$P$5:$P$204,MATCH(A202,'模型流与公式'!$A$5:$A$204,0))),""),""))</f>
        <v/>
      </c>
      <c r="M202" s="18">
        <f>IF(A202="","",IF(B202="Edge",IFERROR(IF(INDEX('模型流与公式'!$Q$5:$Q$204,MATCH(A202,'模型流与公式'!$A$5:$A$204,0))="","",INDEX('模型流与公式'!$Q$5:$Q$204,MATCH(A202,'模型流与公式'!$A$5:$A$204,0))),""),""))</f>
        <v/>
      </c>
      <c r="N202" s="18" t="n"/>
      <c r="O202" s="18" t="n"/>
      <c r="P202" s="18" t="n"/>
      <c r="Q202" s="18" t="n"/>
      <c r="R202" s="18" t="n"/>
      <c r="S202" s="18" t="n"/>
      <c r="T202" s="18" t="n"/>
      <c r="U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51">
        <f>IF(A203="","",IF(B203="Edge",IFERROR(IF(INDEX('模型流与公式'!$P$5:$P$204,MATCH(A203,'模型流与公式'!$A$5:$A$204,0))="","",INDEX('模型流与公式'!$P$5:$P$204,MATCH(A203,'模型流与公式'!$A$5:$A$204,0))),""),""))</f>
        <v/>
      </c>
      <c r="M203" s="18">
        <f>IF(A203="","",IF(B203="Edge",IFERROR(IF(INDEX('模型流与公式'!$Q$5:$Q$204,MATCH(A203,'模型流与公式'!$A$5:$A$204,0))="","",INDEX('模型流与公式'!$Q$5:$Q$204,MATCH(A203,'模型流与公式'!$A$5:$A$204,0))),""),""))</f>
        <v/>
      </c>
      <c r="N203" s="18" t="n"/>
      <c r="O203" s="18" t="n"/>
      <c r="P203" s="18" t="n"/>
      <c r="Q203" s="18" t="n"/>
      <c r="R203" s="18" t="n"/>
      <c r="S203" s="18" t="n"/>
      <c r="T203" s="18" t="n"/>
      <c r="U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51">
        <f>IF(A204="","",IF(B204="Edge",IFERROR(IF(INDEX('模型流与公式'!$P$5:$P$204,MATCH(A204,'模型流与公式'!$A$5:$A$204,0))="","",INDEX('模型流与公式'!$P$5:$P$204,MATCH(A204,'模型流与公式'!$A$5:$A$204,0))),""),""))</f>
        <v/>
      </c>
      <c r="M204" s="18">
        <f>IF(A204="","",IF(B204="Edge",IFERROR(IF(INDEX('模型流与公式'!$Q$5:$Q$204,MATCH(A204,'模型流与公式'!$A$5:$A$204,0))="","",INDEX('模型流与公式'!$Q$5:$Q$204,MATCH(A204,'模型流与公式'!$A$5:$A$204,0))),""),""))</f>
        <v/>
      </c>
      <c r="N204" s="18" t="n"/>
      <c r="O204" s="18" t="n"/>
      <c r="P204" s="18" t="n"/>
      <c r="Q204" s="18" t="n"/>
      <c r="R204" s="18" t="n"/>
      <c r="S204" s="18" t="n"/>
      <c r="T204" s="18" t="n"/>
      <c r="U204" s="18" t="n"/>
    </row>
    <row r="205">
      <c r="A205" t="inlineStr">
        <is>
          <t>OPE-01</t>
        </is>
      </c>
      <c r="B205" t="inlineStr">
        <is>
          <t>OpEnergy</t>
        </is>
      </c>
      <c r="D205" t="inlineStr">
        <is>
          <t>SPI</t>
        </is>
      </c>
      <c r="E205" t="inlineStr">
        <is>
          <t>M3-OP1</t>
        </is>
      </c>
      <c r="I205" t="inlineStr">
        <is>
          <t>是</t>
        </is>
      </c>
      <c r="J205" t="inlineStr">
        <is>
          <t>热量</t>
        </is>
      </c>
      <c r="K205" t="inlineStr">
        <is>
          <t>是</t>
        </is>
      </c>
      <c r="L205" t="n">
        <v>3.0438</v>
      </c>
      <c r="M205" t="inlineStr">
        <is>
          <t>MJ</t>
        </is>
      </c>
      <c r="P205" t="inlineStr">
        <is>
          <t>已确认(2026-09-27)</t>
        </is>
      </c>
      <c r="Q205" t="inlineStr">
        <is>
          <t>已确认(2026-09-27)</t>
        </is>
      </c>
      <c r="R205" t="inlineStr">
        <is>
          <t>ope_M3-OP1_h</t>
        </is>
      </c>
      <c r="S205" t="inlineStr">
        <is>
          <t>PASS 2026-09-27 v15机器回归</t>
        </is>
      </c>
      <c r="T205" t="inlineStr">
        <is>
          <t>Q-能源拆分</t>
        </is>
      </c>
      <c r="U205" t="inlineStr">
        <is>
          <t>碱溶保温热耗；模块热合计 27.5008 MJ 已核</t>
        </is>
      </c>
    </row>
    <row r="206">
      <c r="A206" t="inlineStr">
        <is>
          <t>OPE-02</t>
        </is>
      </c>
      <c r="B206" t="inlineStr">
        <is>
          <t>OpEnergy</t>
        </is>
      </c>
      <c r="D206" t="inlineStr">
        <is>
          <t>SPI</t>
        </is>
      </c>
      <c r="E206" t="inlineStr">
        <is>
          <t>M3-OP2</t>
        </is>
      </c>
      <c r="I206" t="inlineStr">
        <is>
          <t>是</t>
        </is>
      </c>
      <c r="J206" t="inlineStr">
        <is>
          <t>电力</t>
        </is>
      </c>
      <c r="K206" t="inlineStr">
        <is>
          <t>是</t>
        </is>
      </c>
      <c r="L206" t="n">
        <v>0.0201</v>
      </c>
      <c r="M206" t="inlineStr">
        <is>
          <t>kWh</t>
        </is>
      </c>
      <c r="P206" t="inlineStr">
        <is>
          <t>已确认(2026-09-27)</t>
        </is>
      </c>
      <c r="Q206" t="inlineStr">
        <is>
          <t>已确认(2026-09-27)</t>
        </is>
      </c>
      <c r="R206" t="inlineStr">
        <is>
          <t>ope_M3-OP2_e</t>
        </is>
      </c>
      <c r="S206" t="inlineStr">
        <is>
          <t>PASS 2026-09-27 v15机器回归</t>
        </is>
      </c>
      <c r="T206" t="inlineStr">
        <is>
          <t>Q-能源拆分</t>
        </is>
      </c>
      <c r="U206" t="inlineStr">
        <is>
          <t>离心电耗=P17×处理量；模块电含泵送 0.0630 已核</t>
        </is>
      </c>
    </row>
    <row r="207">
      <c r="A207" t="inlineStr">
        <is>
          <t>OPE-03</t>
        </is>
      </c>
      <c r="B207" t="inlineStr">
        <is>
          <t>OpEnergy</t>
        </is>
      </c>
      <c r="D207" t="inlineStr">
        <is>
          <t>SPI</t>
        </is>
      </c>
      <c r="E207" t="inlineStr">
        <is>
          <t>M3-OP5</t>
        </is>
      </c>
      <c r="I207" t="inlineStr">
        <is>
          <t>是</t>
        </is>
      </c>
      <c r="J207" t="inlineStr">
        <is>
          <t>电力</t>
        </is>
      </c>
      <c r="K207" t="inlineStr">
        <is>
          <t>是</t>
        </is>
      </c>
      <c r="L207" t="n">
        <v>0.001257</v>
      </c>
      <c r="M207" t="inlineStr">
        <is>
          <t>kWh</t>
        </is>
      </c>
      <c r="P207" t="inlineStr">
        <is>
          <t>已确认(2026-09-27)</t>
        </is>
      </c>
      <c r="Q207" t="inlineStr">
        <is>
          <t>已确认(2026-09-27)</t>
        </is>
      </c>
      <c r="R207" t="inlineStr">
        <is>
          <t>ope_M3-OP5_e</t>
        </is>
      </c>
      <c r="S207" t="inlineStr">
        <is>
          <t>PASS 2026-09-27 v15机器回归</t>
        </is>
      </c>
      <c r="T207" t="inlineStr">
        <is>
          <t>Q-能源拆分</t>
        </is>
      </c>
      <c r="U207" t="inlineStr">
        <is>
          <t>离心电耗=P17×处理量（洗涤回水不按额外取水）</t>
        </is>
      </c>
    </row>
    <row r="208">
      <c r="A208" t="inlineStr">
        <is>
          <t>OPE-04</t>
        </is>
      </c>
      <c r="B208" t="inlineStr">
        <is>
          <t>OpEnergy</t>
        </is>
      </c>
      <c r="D208" t="inlineStr">
        <is>
          <t>SPI</t>
        </is>
      </c>
      <c r="E208" t="inlineStr">
        <is>
          <t>M3-OP6</t>
        </is>
      </c>
      <c r="I208" t="inlineStr">
        <is>
          <t>是</t>
        </is>
      </c>
      <c r="J208" t="inlineStr">
        <is>
          <t>电力</t>
        </is>
      </c>
      <c r="K208" t="inlineStr">
        <is>
          <t>是</t>
        </is>
      </c>
      <c r="L208" t="n">
        <v>0.000777</v>
      </c>
      <c r="M208" t="inlineStr">
        <is>
          <t>kWh</t>
        </is>
      </c>
      <c r="P208" t="inlineStr">
        <is>
          <t>已确认(2026-09-27)</t>
        </is>
      </c>
      <c r="Q208" t="inlineStr">
        <is>
          <t>已确认(2026-09-27)</t>
        </is>
      </c>
      <c r="R208" t="inlineStr">
        <is>
          <t>ope_M3-OP6_e</t>
        </is>
      </c>
      <c r="S208" t="inlineStr">
        <is>
          <t>PASS 2026-09-27 v15机器回归</t>
        </is>
      </c>
      <c r="T208" t="inlineStr">
        <is>
          <t>Q-能源拆分</t>
        </is>
      </c>
      <c r="U208" t="inlineStr">
        <is>
          <t>压榨电耗=P18×处理量</t>
        </is>
      </c>
    </row>
    <row r="209">
      <c r="A209" t="inlineStr">
        <is>
          <t>OPE-05</t>
        </is>
      </c>
      <c r="B209" t="inlineStr">
        <is>
          <t>OpEnergy</t>
        </is>
      </c>
      <c r="D209" t="inlineStr">
        <is>
          <t>SPI</t>
        </is>
      </c>
      <c r="E209" t="inlineStr">
        <is>
          <t>M3-OP7</t>
        </is>
      </c>
      <c r="I209" t="inlineStr">
        <is>
          <t>是</t>
        </is>
      </c>
      <c r="J209" t="inlineStr">
        <is>
          <t>热量</t>
        </is>
      </c>
      <c r="K209" t="inlineStr">
        <is>
          <t>是</t>
        </is>
      </c>
      <c r="L209" t="n">
        <v>0.7544999999999999</v>
      </c>
      <c r="M209" t="inlineStr">
        <is>
          <t>MJ</t>
        </is>
      </c>
      <c r="P209" t="inlineStr">
        <is>
          <t>已确认(2026-09-27)</t>
        </is>
      </c>
      <c r="Q209" t="inlineStr">
        <is>
          <t>已确认(2026-09-27)</t>
        </is>
      </c>
      <c r="R209" t="inlineStr">
        <is>
          <t>ope_M3-OP7_h</t>
        </is>
      </c>
      <c r="S209" t="inlineStr">
        <is>
          <t>PASS 2026-09-27 v15机器回归</t>
        </is>
      </c>
      <c r="T209" t="inlineStr">
        <is>
          <t>Q-能源拆分</t>
        </is>
      </c>
      <c r="U209" t="inlineStr">
        <is>
          <t>闪蒸热耗=P20×蒸发水 0.2096 kg</t>
        </is>
      </c>
    </row>
    <row r="210">
      <c r="A210" t="inlineStr">
        <is>
          <t>OPE-06</t>
        </is>
      </c>
      <c r="B210" t="inlineStr">
        <is>
          <t>OpEnergy</t>
        </is>
      </c>
      <c r="D210" t="inlineStr">
        <is>
          <t>SPI</t>
        </is>
      </c>
      <c r="E210" t="inlineStr">
        <is>
          <t>M3-OP3</t>
        </is>
      </c>
      <c r="I210" t="inlineStr">
        <is>
          <t>是</t>
        </is>
      </c>
      <c r="J210" t="inlineStr">
        <is>
          <t>电力</t>
        </is>
      </c>
      <c r="K210" t="inlineStr">
        <is>
          <t>是</t>
        </is>
      </c>
      <c r="L210" t="n">
        <v>0.0189</v>
      </c>
      <c r="M210" t="inlineStr">
        <is>
          <t>kWh</t>
        </is>
      </c>
      <c r="P210" t="inlineStr">
        <is>
          <t>已确认(2026-09-27)</t>
        </is>
      </c>
      <c r="Q210" t="inlineStr">
        <is>
          <t>已确认(2026-09-27)</t>
        </is>
      </c>
      <c r="R210" t="inlineStr">
        <is>
          <t>ope_M3-OP3_e</t>
        </is>
      </c>
      <c r="S210" t="inlineStr">
        <is>
          <t>PASS 2026-09-27 v15机器回归</t>
        </is>
      </c>
      <c r="T210" t="inlineStr">
        <is>
          <t>Q-能源拆分</t>
        </is>
      </c>
      <c r="U210" t="inlineStr">
        <is>
          <t>离心电耗=P17×处理量</t>
        </is>
      </c>
    </row>
    <row r="211">
      <c r="A211" t="inlineStr">
        <is>
          <t>OPE-07</t>
        </is>
      </c>
      <c r="B211" t="inlineStr">
        <is>
          <t>OpEnergy</t>
        </is>
      </c>
      <c r="D211" t="inlineStr">
        <is>
          <t>SPI</t>
        </is>
      </c>
      <c r="E211" t="inlineStr">
        <is>
          <t>M3-OP4</t>
        </is>
      </c>
      <c r="I211" t="inlineStr">
        <is>
          <t>是</t>
        </is>
      </c>
      <c r="J211" t="inlineStr">
        <is>
          <t>电力</t>
        </is>
      </c>
      <c r="K211" t="inlineStr">
        <is>
          <t>是</t>
        </is>
      </c>
      <c r="L211" t="n">
        <v>0.0138</v>
      </c>
      <c r="M211" t="inlineStr">
        <is>
          <t>kWh</t>
        </is>
      </c>
      <c r="P211" t="inlineStr">
        <is>
          <t>已确认(2026-09-27)</t>
        </is>
      </c>
      <c r="Q211" t="inlineStr">
        <is>
          <t>已确认(2026-09-27)</t>
        </is>
      </c>
      <c r="R211" t="inlineStr">
        <is>
          <t>ope_M3-OP4_e</t>
        </is>
      </c>
      <c r="S211" t="inlineStr">
        <is>
          <t>PASS 2026-09-27 v15机器回归</t>
        </is>
      </c>
      <c r="T211" t="inlineStr">
        <is>
          <t>Q-能源拆分</t>
        </is>
      </c>
      <c r="U211" t="inlineStr">
        <is>
          <t>离心电耗=P17×处理量</t>
        </is>
      </c>
    </row>
    <row r="212">
      <c r="A212" t="inlineStr">
        <is>
          <t>OPE-08</t>
        </is>
      </c>
      <c r="B212" t="inlineStr">
        <is>
          <t>OpEnergy</t>
        </is>
      </c>
      <c r="D212" t="inlineStr">
        <is>
          <t>SPI</t>
        </is>
      </c>
      <c r="E212" t="inlineStr">
        <is>
          <t>M3-OP8</t>
        </is>
      </c>
      <c r="I212" t="inlineStr">
        <is>
          <t>是</t>
        </is>
      </c>
      <c r="J212" t="inlineStr">
        <is>
          <t>热量</t>
        </is>
      </c>
      <c r="K212" t="inlineStr">
        <is>
          <t>是</t>
        </is>
      </c>
      <c r="L212" t="n">
        <v>23.7025</v>
      </c>
      <c r="M212" t="inlineStr">
        <is>
          <t>MJ</t>
        </is>
      </c>
      <c r="P212" t="inlineStr">
        <is>
          <t>已确认(2026-09-27)</t>
        </is>
      </c>
      <c r="Q212" t="inlineStr">
        <is>
          <t>已确认(2026-09-27)</t>
        </is>
      </c>
      <c r="R212" t="inlineStr">
        <is>
          <t>ope_M3-OP8_h</t>
        </is>
      </c>
      <c r="S212" t="inlineStr">
        <is>
          <t>PASS 2026-09-27 v15机器回归</t>
        </is>
      </c>
      <c r="T212" t="inlineStr">
        <is>
          <t>Q-能源拆分</t>
        </is>
      </c>
      <c r="U212" t="inlineStr">
        <is>
          <t>喷雾热耗=P21×蒸发水 4.9375 kg；进料干物质 P22</t>
        </is>
      </c>
    </row>
    <row r="213">
      <c r="A213" t="inlineStr">
        <is>
          <t>NOTE-01</t>
        </is>
      </c>
      <c r="B213" t="inlineStr">
        <is>
          <t>Note</t>
        </is>
      </c>
      <c r="D213" t="inlineStr">
        <is>
          <t>SPI</t>
        </is>
      </c>
      <c r="E213" t="inlineStr">
        <is>
          <t>M3-OP5</t>
        </is>
      </c>
      <c r="I213" t="inlineStr">
        <is>
          <t>是</t>
        </is>
      </c>
      <c r="J213" t="inlineStr">
        <is>
          <t>豆片洗涤水</t>
        </is>
      </c>
      <c r="K213" t="inlineStr">
        <is>
          <t>否</t>
        </is>
      </c>
      <c r="P213" t="inlineStr">
        <is>
          <t>已确认(2026-09-27)</t>
        </is>
      </c>
      <c r="Q213" t="inlineStr">
        <is>
          <t>已确认(2026-09-27)</t>
        </is>
      </c>
      <c r="R213" t="inlineStr">
        <is>
          <t>water-wash-flakes</t>
        </is>
      </c>
      <c r="S213" t="inlineStr">
        <is>
          <t>PASS 2026-09-27 v15机器回归</t>
        </is>
      </c>
      <c r="T213" t="inlineStr">
        <is>
          <t>Q-能源拆分</t>
        </is>
      </c>
      <c r="U213" t="inlineStr">
        <is>
          <t>F14 洗涤加水在公式内，不另计外部流</t>
        </is>
      </c>
    </row>
    <row r="214">
      <c r="A214" t="inlineStr">
        <is>
          <t>NOTE-02</t>
        </is>
      </c>
      <c r="B214" t="inlineStr">
        <is>
          <t>Note</t>
        </is>
      </c>
      <c r="D214" t="inlineStr">
        <is>
          <t>SPI</t>
        </is>
      </c>
      <c r="E214" t="inlineStr">
        <is>
          <t>M3-OP6</t>
        </is>
      </c>
      <c r="I214" t="inlineStr">
        <is>
          <t>是</t>
        </is>
      </c>
      <c r="J214" t="inlineStr">
        <is>
          <t>压榨工艺水</t>
        </is>
      </c>
      <c r="K214" t="inlineStr">
        <is>
          <t>否</t>
        </is>
      </c>
      <c r="P214" t="inlineStr">
        <is>
          <t>已确认(2026-09-27)</t>
        </is>
      </c>
      <c r="Q214" t="inlineStr">
        <is>
          <t>已确认(2026-09-27)</t>
        </is>
      </c>
      <c r="R214" t="inlineStr">
        <is>
          <t>press-water</t>
        </is>
      </c>
      <c r="S214" t="inlineStr">
        <is>
          <t>PASS 2026-09-27 v15机器回归</t>
        </is>
      </c>
      <c r="T214" t="inlineStr">
        <is>
          <t>Q-能源拆分</t>
        </is>
      </c>
      <c r="U214" t="inlineStr">
        <is>
          <t>压榨出水回用，未单列数值</t>
        </is>
      </c>
    </row>
    <row r="215">
      <c r="A215" t="inlineStr">
        <is>
          <t>NOTE-03</t>
        </is>
      </c>
      <c r="B215" t="inlineStr">
        <is>
          <t>Note</t>
        </is>
      </c>
      <c r="D215" t="inlineStr">
        <is>
          <t>SPI</t>
        </is>
      </c>
      <c r="E215" t="inlineStr">
        <is>
          <t>M3-OP5</t>
        </is>
      </c>
      <c r="I215" t="inlineStr">
        <is>
          <t>是</t>
        </is>
      </c>
      <c r="J215" t="inlineStr">
        <is>
          <t>洗涤工艺水</t>
        </is>
      </c>
      <c r="K215" t="inlineStr">
        <is>
          <t>否</t>
        </is>
      </c>
      <c r="P215" t="inlineStr">
        <is>
          <t>已确认(2026-09-27)</t>
        </is>
      </c>
      <c r="Q215" t="inlineStr">
        <is>
          <t>已确认(2026-09-27)</t>
        </is>
      </c>
      <c r="R215" t="inlineStr">
        <is>
          <t>wash-water-out</t>
        </is>
      </c>
      <c r="S215" t="inlineStr">
        <is>
          <t>PASS 2026-09-27 v15机器回归</t>
        </is>
      </c>
      <c r="T215" t="inlineStr">
        <is>
          <t>Q-能源拆分</t>
        </is>
      </c>
      <c r="U215" t="inlineStr">
        <is>
          <t>离心 2 回水出口标注</t>
        </is>
      </c>
    </row>
  </sheetData>
  <dataValidations count="7">
    <dataValidation sqref="B5:B204" showDropDown="0" showInputMessage="0" showErrorMessage="0" allowBlank="0" type="list">
      <formula1>"Container,Node,Edge,Note"</formula1>
    </dataValidation>
    <dataValidation sqref="H5:H204" showDropDown="0" showInputMessage="0" showErrorMessage="0" allowBlank="0" type="list">
      <formula1>"as_modelled,expand_confirmed,collapse_confirmed"</formula1>
    </dataValidation>
    <dataValidation sqref="I5:I204" showDropDown="0" showInputMessage="0" showErrorMessage="0" allowBlank="0" type="list">
      <formula1>"是,否,待确认"</formula1>
    </dataValidation>
    <dataValidation sqref="K5:K204" showDropDown="0" showInputMessage="0" showErrorMessage="0" allowBlank="0" type="list">
      <formula1>"是,否"</formula1>
    </dataValidation>
    <dataValidation sqref="N5:N204" showDropDown="0" showInputMessage="0" showErrorMessage="0" allowBlank="0" type="list">
      <formula1>"name,name_value,id_name_value,none"</formula1>
    </dataValidation>
    <dataValidation sqref="P5:Q204" showDropDown="0" showInputMessage="0" showErrorMessage="0" allowBlank="0" type="list">
      <formula1>"待确认,已确认,重新打开"</formula1>
    </dataValidation>
    <dataValidation sqref="S5:S204" showDropDown="0" showInputMessage="0" showErrorMessage="0" allowBlank="0" type="list">
      <formula1>"PASS,REVIEW,BLOCKED,NOT_CHECKED"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25" customWidth="1" min="5" max="5"/>
    <col width="25" customWidth="1" min="6" max="6"/>
    <col width="16" customWidth="1" min="7" max="7"/>
    <col width="16" customWidth="1" min="8" max="8"/>
    <col width="16" customWidth="1" min="9" max="9"/>
    <col width="2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25" customWidth="1" min="16" max="16"/>
    <col width="18" customWidth="1" min="17" max="17"/>
    <col width="18" customWidth="1" min="18" max="18"/>
    <col width="18" customWidth="1" min="19" max="19"/>
    <col width="26" customWidth="1" min="20" max="20"/>
  </cols>
  <sheetData>
    <row r="1">
      <c r="A1" s="44" t="inlineStr">
        <is>
          <t>来源候选数据</t>
        </is>
      </c>
    </row>
    <row r="2">
      <c r="A2" s="37" t="inlineStr">
        <is>
          <t>每行一个来源数值；原始值与研究基准换算值分开。采用决定写回模型参数或模型流。</t>
        </is>
      </c>
    </row>
    <row r="4" ht="34" customHeight="1">
      <c r="A4" s="42" t="inlineStr">
        <is>
          <t>候选ID</t>
        </is>
      </c>
      <c r="B4" s="42" t="inlineStr">
        <is>
          <t>目标对象类型</t>
        </is>
      </c>
      <c r="C4" s="42" t="inlineStr">
        <is>
          <t>目标对象ID</t>
        </is>
      </c>
      <c r="D4" s="42" t="inlineStr">
        <is>
          <t>来源ID</t>
        </is>
      </c>
      <c r="E4" s="42" t="inlineStr">
        <is>
          <t>证据位置</t>
        </is>
      </c>
      <c r="F4" s="42" t="inlineStr">
        <is>
          <t>来源原名</t>
        </is>
      </c>
      <c r="G4" s="42" t="inlineStr">
        <is>
          <t>原始值</t>
        </is>
      </c>
      <c r="H4" s="42" t="inlineStr">
        <is>
          <t>原始单位</t>
        </is>
      </c>
      <c r="I4" s="42" t="inlineStr">
        <is>
          <t>原始基准</t>
        </is>
      </c>
      <c r="J4" s="42" t="inlineStr">
        <is>
          <t>适用条件</t>
        </is>
      </c>
      <c r="K4" s="42" t="inlineStr">
        <is>
          <t>分布类型</t>
        </is>
      </c>
      <c r="L4" s="42" t="inlineStr">
        <is>
          <t>分布参数</t>
        </is>
      </c>
      <c r="M4" s="42" t="inlineStr">
        <is>
          <t>换算值</t>
        </is>
      </c>
      <c r="N4" s="42" t="inlineStr">
        <is>
          <t>换算单位</t>
        </is>
      </c>
      <c r="O4" s="42" t="inlineStr">
        <is>
          <t>研究基准</t>
        </is>
      </c>
      <c r="P4" s="42" t="inlineStr">
        <is>
          <t>换算依据</t>
        </is>
      </c>
      <c r="Q4" s="42" t="inlineStr">
        <is>
          <t>可比性</t>
        </is>
      </c>
      <c r="R4" s="42" t="inlineStr">
        <is>
          <t>采用状态</t>
        </is>
      </c>
      <c r="S4" s="42" t="inlineStr">
        <is>
          <t>决策ID</t>
        </is>
      </c>
      <c r="T4" s="42" t="inlineStr">
        <is>
          <t>备注</t>
        </is>
      </c>
    </row>
    <row r="5" ht="25" customHeight="1">
      <c r="A5" s="47" t="inlineStr">
        <is>
          <t>CAD-01</t>
        </is>
      </c>
      <c r="B5" s="47" t="inlineStr">
        <is>
          <t>参数</t>
        </is>
      </c>
      <c r="C5" s="47" t="inlineStr">
        <is>
          <t>P01</t>
        </is>
      </c>
      <c r="D5" s="47" t="inlineStr">
        <is>
          <t>SRC-XLS-OLD</t>
        </is>
      </c>
      <c r="E5" s="47" t="inlineStr">
        <is>
          <t>SPI!H30</t>
        </is>
      </c>
      <c r="F5" s="47" t="inlineStr">
        <is>
          <t>Dm content protein isolate</t>
        </is>
      </c>
      <c r="G5" s="47" t="n">
        <v>0.95</v>
      </c>
      <c r="H5" s="47" t="inlineStr">
        <is>
          <t>kg/kg</t>
        </is>
      </c>
      <c r="I5" s="47" t="inlineStr">
        <is>
          <t>湿 SPI</t>
        </is>
      </c>
      <c r="J5" s="47" t="inlineStr">
        <is>
          <t>SPI 产品规格</t>
        </is>
      </c>
      <c r="K5" s="47" t="inlineStr">
        <is>
          <t>FIXED</t>
        </is>
      </c>
      <c r="L5" s="47" t="inlineStr">
        <is>
          <t>0.95</t>
        </is>
      </c>
      <c r="M5" s="47" t="inlineStr"/>
      <c r="N5" s="47" t="inlineStr"/>
      <c r="O5" s="47" t="inlineStr"/>
      <c r="P5" s="47" t="inlineStr"/>
      <c r="Q5" s="47" t="inlineStr">
        <is>
          <t>可直接比较</t>
        </is>
      </c>
      <c r="R5" s="47" t="inlineStr">
        <is>
          <t>采用</t>
        </is>
      </c>
      <c r="S5" s="47" t="inlineStr">
        <is>
          <t>D01</t>
        </is>
      </c>
      <c r="T5" s="47" t="inlineStr"/>
    </row>
    <row r="6" ht="25" customHeight="1">
      <c r="A6" s="47" t="inlineStr">
        <is>
          <t>CAD-02</t>
        </is>
      </c>
      <c r="B6" s="47" t="inlineStr">
        <is>
          <t>参数</t>
        </is>
      </c>
      <c r="C6" s="47" t="inlineStr">
        <is>
          <t>P02</t>
        </is>
      </c>
      <c r="D6" s="47" t="inlineStr">
        <is>
          <t>SRC-XLS-OLD</t>
        </is>
      </c>
      <c r="E6" s="47" t="inlineStr">
        <is>
          <t>SPI!F26:G26:H26</t>
        </is>
      </c>
      <c r="F6" s="47" t="inlineStr">
        <is>
          <t>Protein content out</t>
        </is>
      </c>
      <c r="G6" s="47" t="n">
        <v>0.929</v>
      </c>
      <c r="H6" s="47" t="inlineStr">
        <is>
          <t>kg/kg DM</t>
        </is>
      </c>
      <c r="I6" s="47" t="inlineStr">
        <is>
          <t>SPI 干物质</t>
        </is>
      </c>
      <c r="J6" s="47" t="inlineStr">
        <is>
          <t>代表值=众数 0.929；min 0.508 / max 0.951（Verfaillie 2023 试验）</t>
        </is>
      </c>
      <c r="K6" s="47" t="inlineStr">
        <is>
          <t>TRIANGLE</t>
        </is>
      </c>
      <c r="L6" s="47" t="inlineStr">
        <is>
          <t>min 0.508; max 0.951; mode 0.929</t>
        </is>
      </c>
      <c r="M6" s="47" t="inlineStr"/>
      <c r="N6" s="47" t="inlineStr"/>
      <c r="O6" s="47" t="inlineStr"/>
      <c r="P6" s="47" t="inlineStr"/>
      <c r="Q6" s="47" t="inlineStr">
        <is>
          <t>可直接比较</t>
        </is>
      </c>
      <c r="R6" s="47" t="inlineStr">
        <is>
          <t>采用</t>
        </is>
      </c>
      <c r="S6" s="47" t="inlineStr">
        <is>
          <t>D01</t>
        </is>
      </c>
      <c r="T6" s="47" t="inlineStr"/>
    </row>
    <row r="7" ht="25" customHeight="1">
      <c r="A7" s="47" t="inlineStr">
        <is>
          <t>CAD-03</t>
        </is>
      </c>
      <c r="B7" s="47" t="inlineStr">
        <is>
          <t>参数</t>
        </is>
      </c>
      <c r="C7" s="47" t="inlineStr">
        <is>
          <t>P03</t>
        </is>
      </c>
      <c r="D7" s="47" t="inlineStr">
        <is>
          <t>SRC-XLS-OLD</t>
        </is>
      </c>
      <c r="E7" s="47" t="inlineStr">
        <is>
          <t>SPI!F28:G28:H28</t>
        </is>
      </c>
      <c r="F7" s="47" t="inlineStr">
        <is>
          <t>Protein recovery</t>
        </is>
      </c>
      <c r="G7" s="47" t="n">
        <v>0.7534999999999999</v>
      </c>
      <c r="H7" s="47" t="inlineStr">
        <is>
          <t>kg/kg</t>
        </is>
      </c>
      <c r="I7" s="47" t="inlineStr">
        <is>
          <t>白豆片蛋白→SPI 蛋白</t>
        </is>
      </c>
      <c r="J7" s="47" t="inlineStr">
        <is>
          <t>Brasil 2016 工业数据 40 个回收率；min 0.649 max 0.858</t>
        </is>
      </c>
      <c r="K7" s="47" t="inlineStr">
        <is>
          <t>TRIANGLE</t>
        </is>
      </c>
      <c r="L7" s="47" t="inlineStr">
        <is>
          <t>min 0.649; max 0.858; mode 0.7535</t>
        </is>
      </c>
      <c r="M7" s="47" t="inlineStr"/>
      <c r="N7" s="47" t="inlineStr"/>
      <c r="O7" s="47" t="inlineStr"/>
      <c r="P7" s="47" t="inlineStr"/>
      <c r="Q7" s="47" t="inlineStr">
        <is>
          <t>可直接比较</t>
        </is>
      </c>
      <c r="R7" s="47" t="inlineStr">
        <is>
          <t>采用</t>
        </is>
      </c>
      <c r="S7" s="47" t="inlineStr">
        <is>
          <t>D01</t>
        </is>
      </c>
      <c r="T7" s="47" t="inlineStr"/>
    </row>
    <row r="8" ht="25" customHeight="1">
      <c r="A8" s="47" t="inlineStr">
        <is>
          <t>CAD-04</t>
        </is>
      </c>
      <c r="B8" s="47" t="inlineStr">
        <is>
          <t>参数</t>
        </is>
      </c>
      <c r="C8" s="47" t="inlineStr">
        <is>
          <t>P04</t>
        </is>
      </c>
      <c r="D8" s="47" t="inlineStr">
        <is>
          <t>SRC-XLS-OLD</t>
        </is>
      </c>
      <c r="E8" s="47" t="inlineStr">
        <is>
          <t>SPI!F27:G27:H27</t>
        </is>
      </c>
      <c r="F8" s="47" t="inlineStr">
        <is>
          <t>Protein content in</t>
        </is>
      </c>
      <c r="G8" s="47" t="n">
        <v>0.59</v>
      </c>
      <c r="H8" s="47" t="inlineStr">
        <is>
          <t>kg/kg DM</t>
        </is>
      </c>
      <c r="I8" s="47" t="inlineStr">
        <is>
          <t>白豆片干物质</t>
        </is>
      </c>
      <c r="J8" s="47" t="inlineStr">
        <is>
          <t>FAO 1992/Deak 2008/Verfaillie 2023；min 0.51 max 0.625</t>
        </is>
      </c>
      <c r="K8" s="47" t="inlineStr">
        <is>
          <t>TRIANGLE</t>
        </is>
      </c>
      <c r="L8" s="47" t="inlineStr">
        <is>
          <t>min 0.51; max 0.625; mode 0.59</t>
        </is>
      </c>
      <c r="M8" s="47" t="inlineStr"/>
      <c r="N8" s="47" t="inlineStr"/>
      <c r="O8" s="47" t="inlineStr"/>
      <c r="P8" s="47" t="inlineStr"/>
      <c r="Q8" s="47" t="inlineStr">
        <is>
          <t>可直接比较</t>
        </is>
      </c>
      <c r="R8" s="47" t="inlineStr">
        <is>
          <t>采用</t>
        </is>
      </c>
      <c r="S8" s="47" t="inlineStr">
        <is>
          <t>D01</t>
        </is>
      </c>
      <c r="T8" s="47" t="inlineStr">
        <is>
          <t>59% 蛋白为干基口径</t>
        </is>
      </c>
    </row>
    <row r="9" ht="25" customHeight="1">
      <c r="A9" s="47" t="inlineStr">
        <is>
          <t>CAD-05</t>
        </is>
      </c>
      <c r="B9" s="47" t="inlineStr">
        <is>
          <t>参数</t>
        </is>
      </c>
      <c r="C9" s="47" t="inlineStr">
        <is>
          <t>P05</t>
        </is>
      </c>
      <c r="D9" s="47" t="inlineStr">
        <is>
          <t>SRC-XLS-OLD</t>
        </is>
      </c>
      <c r="E9" s="47" t="inlineStr">
        <is>
          <t>SPI!H29</t>
        </is>
      </c>
      <c r="F9" s="47" t="inlineStr">
        <is>
          <t>Dm content input</t>
        </is>
      </c>
      <c r="G9" s="47" t="n">
        <v>0.88</v>
      </c>
      <c r="H9" s="47" t="inlineStr">
        <is>
          <t>kg/kg</t>
        </is>
      </c>
      <c r="I9" s="47" t="inlineStr">
        <is>
          <t>湿白豆片</t>
        </is>
      </c>
      <c r="J9" s="47" t="inlineStr">
        <is>
          <t>Desmet webinar</t>
        </is>
      </c>
      <c r="K9" s="47" t="inlineStr">
        <is>
          <t>FIXED</t>
        </is>
      </c>
      <c r="L9" s="47" t="inlineStr">
        <is>
          <t>0.88</t>
        </is>
      </c>
      <c r="M9" s="47" t="inlineStr"/>
      <c r="N9" s="47" t="inlineStr"/>
      <c r="O9" s="47" t="inlineStr"/>
      <c r="P9" s="47" t="inlineStr"/>
      <c r="Q9" s="47" t="inlineStr">
        <is>
          <t>可直接比较</t>
        </is>
      </c>
      <c r="R9" s="47" t="inlineStr">
        <is>
          <t>采用</t>
        </is>
      </c>
      <c r="S9" s="47" t="inlineStr">
        <is>
          <t>D03</t>
        </is>
      </c>
      <c r="T9" s="47" t="inlineStr">
        <is>
          <t>与公式硬编码 0.93 冲突（Q03）</t>
        </is>
      </c>
    </row>
    <row r="10" ht="25" customHeight="1">
      <c r="A10" s="47" t="inlineStr">
        <is>
          <t>CAD-06</t>
        </is>
      </c>
      <c r="B10" s="47" t="inlineStr">
        <is>
          <t>参数</t>
        </is>
      </c>
      <c r="C10" s="47" t="inlineStr">
        <is>
          <t>P06</t>
        </is>
      </c>
      <c r="D10" s="47" t="inlineStr">
        <is>
          <t>SRC-XLS-OLD</t>
        </is>
      </c>
      <c r="E10" s="47" t="inlineStr">
        <is>
          <t>SPI!F36:G36:H36</t>
        </is>
      </c>
      <c r="F10" s="47" t="inlineStr">
        <is>
          <t>Temperature change</t>
        </is>
      </c>
      <c r="G10" s="47" t="n">
        <v>33</v>
      </c>
      <c r="H10" s="47" t="inlineStr">
        <is>
          <t>°C</t>
        </is>
      </c>
      <c r="I10" s="47" t="inlineStr">
        <is>
          <t>浸提浆液升温</t>
        </is>
      </c>
      <c r="J10" s="47" t="inlineStr">
        <is>
          <t>Mustakas 1979/FAO/Joosep</t>
        </is>
      </c>
      <c r="K10" s="47" t="inlineStr">
        <is>
          <t>TRIANGLE</t>
        </is>
      </c>
      <c r="L10" s="47" t="inlineStr">
        <is>
          <t>min 28; max 61; mode 33</t>
        </is>
      </c>
      <c r="M10" s="47" t="inlineStr"/>
      <c r="N10" s="47" t="inlineStr"/>
      <c r="O10" s="47" t="inlineStr"/>
      <c r="P10" s="47" t="inlineStr"/>
      <c r="Q10" s="47" t="inlineStr">
        <is>
          <t>可直接比较</t>
        </is>
      </c>
      <c r="R10" s="47" t="inlineStr">
        <is>
          <t>采用</t>
        </is>
      </c>
      <c r="S10" s="47" t="inlineStr">
        <is>
          <t>D01</t>
        </is>
      </c>
      <c r="T10" s="47" t="inlineStr"/>
    </row>
    <row r="11" ht="25" customHeight="1">
      <c r="A11" s="47" t="inlineStr">
        <is>
          <t>CAD-07</t>
        </is>
      </c>
      <c r="B11" s="47" t="inlineStr">
        <is>
          <t>参数</t>
        </is>
      </c>
      <c r="C11" s="47" t="inlineStr">
        <is>
          <t>P07</t>
        </is>
      </c>
      <c r="D11" s="47" t="inlineStr">
        <is>
          <t>SRC-XLS-OLD</t>
        </is>
      </c>
      <c r="E11" s="47" t="inlineStr">
        <is>
          <t>SPI!F40:G40:H40</t>
        </is>
      </c>
      <c r="F11" s="47" t="inlineStr">
        <is>
          <t>Ratio solvent:flakes soaking</t>
        </is>
      </c>
      <c r="G11" s="47" t="n">
        <v>10</v>
      </c>
      <c r="H11" s="47" t="inlineStr">
        <is>
          <t>kg/kg</t>
        </is>
      </c>
      <c r="I11" s="47" t="inlineStr">
        <is>
          <t>白豆片</t>
        </is>
      </c>
      <c r="J11" s="47" t="inlineStr">
        <is>
          <t>FAO 1992/Deak 2008/行业专家</t>
        </is>
      </c>
      <c r="K11" s="47" t="inlineStr">
        <is>
          <t>TRIANGLE</t>
        </is>
      </c>
      <c r="L11" s="47" t="inlineStr">
        <is>
          <t>min 10; max 20; mode 10</t>
        </is>
      </c>
      <c r="M11" s="47" t="inlineStr"/>
      <c r="N11" s="47" t="inlineStr"/>
      <c r="O11" s="47" t="inlineStr"/>
      <c r="P11" s="47" t="inlineStr"/>
      <c r="Q11" s="47" t="inlineStr">
        <is>
          <t>可直接比较</t>
        </is>
      </c>
      <c r="R11" s="47" t="inlineStr">
        <is>
          <t>采用</t>
        </is>
      </c>
      <c r="S11" s="47" t="inlineStr">
        <is>
          <t>D01</t>
        </is>
      </c>
      <c r="T11" s="47" t="inlineStr">
        <is>
          <t>浸提 10 + 洗涤 6（kg/kg SPI）</t>
        </is>
      </c>
    </row>
    <row r="12" ht="25" customHeight="1">
      <c r="A12" s="47" t="inlineStr">
        <is>
          <t>CAD-08</t>
        </is>
      </c>
      <c r="B12" s="47" t="inlineStr">
        <is>
          <t>参数</t>
        </is>
      </c>
      <c r="C12" s="47" t="inlineStr">
        <is>
          <t>P08</t>
        </is>
      </c>
      <c r="D12" s="47" t="inlineStr">
        <is>
          <t>SRC-XLS-OLD</t>
        </is>
      </c>
      <c r="E12" s="47" t="inlineStr">
        <is>
          <t>Defatting!D47</t>
        </is>
      </c>
      <c r="F12" s="47" t="inlineStr">
        <is>
          <t>Dehulled soybeans</t>
        </is>
      </c>
      <c r="G12" s="47" t="n">
        <v>1.27</v>
      </c>
      <c r="H12" s="47" t="inlineStr">
        <is>
          <t>kg/kg</t>
        </is>
      </c>
      <c r="I12" s="47" t="inlineStr">
        <is>
          <t>白豆片</t>
        </is>
      </c>
      <c r="J12" s="47" t="inlineStr">
        <is>
          <t>多文献参数化（见 Defatting 质量平衡表）</t>
        </is>
      </c>
      <c r="K12" s="47" t="inlineStr">
        <is>
          <t>TRIANGLE</t>
        </is>
      </c>
      <c r="L12" s="47" t="inlineStr">
        <is>
          <t>min 1.21; max 1.29; mode 1.27</t>
        </is>
      </c>
      <c r="M12" s="47" t="inlineStr"/>
      <c r="N12" s="47" t="inlineStr"/>
      <c r="O12" s="47" t="inlineStr"/>
      <c r="P12" s="47" t="inlineStr"/>
      <c r="Q12" s="47" t="inlineStr">
        <is>
          <t>可直接比较</t>
        </is>
      </c>
      <c r="R12" s="47" t="inlineStr">
        <is>
          <t>采用</t>
        </is>
      </c>
      <c r="S12" s="47" t="inlineStr">
        <is>
          <t>D01</t>
        </is>
      </c>
      <c r="T12" s="47" t="inlineStr"/>
    </row>
    <row r="13" ht="25" customHeight="1">
      <c r="A13" s="47" t="inlineStr">
        <is>
          <t>CAD-09</t>
        </is>
      </c>
      <c r="B13" s="47" t="inlineStr">
        <is>
          <t>参数</t>
        </is>
      </c>
      <c r="C13" s="47" t="inlineStr">
        <is>
          <t>P09</t>
        </is>
      </c>
      <c r="D13" s="47" t="inlineStr">
        <is>
          <t>SRC-XLS-OLD</t>
        </is>
      </c>
      <c r="E13" s="47" t="inlineStr">
        <is>
          <t>Defatting!D48</t>
        </is>
      </c>
      <c r="F13" s="47" t="inlineStr">
        <is>
          <t>Water</t>
        </is>
      </c>
      <c r="G13" s="47" t="n">
        <v>0.3148652353</v>
      </c>
      <c r="H13" s="47" t="inlineStr">
        <is>
          <t>l/kg</t>
        </is>
      </c>
      <c r="I13" s="47" t="inlineStr">
        <is>
          <t>白豆片</t>
        </is>
      </c>
      <c r="J13" s="47" t="inlineStr">
        <is>
          <t>Sheehan 1998/OTI 2010/行业报告</t>
        </is>
      </c>
      <c r="K13" s="47" t="inlineStr">
        <is>
          <t>TRIANGLE</t>
        </is>
      </c>
      <c r="L13" s="47" t="inlineStr">
        <is>
          <t>见 Defatting!B48:C48</t>
        </is>
      </c>
      <c r="M13" s="47" t="inlineStr"/>
      <c r="N13" s="47" t="inlineStr"/>
      <c r="O13" s="47" t="inlineStr"/>
      <c r="P13" s="47" t="inlineStr"/>
      <c r="Q13" s="47" t="inlineStr">
        <is>
          <t>可直接比较</t>
        </is>
      </c>
      <c r="R13" s="47" t="inlineStr">
        <is>
          <t>采用</t>
        </is>
      </c>
      <c r="S13" s="47" t="inlineStr">
        <is>
          <t>D01</t>
        </is>
      </c>
      <c r="T13" s="47" t="inlineStr"/>
    </row>
    <row r="14" ht="25" customHeight="1">
      <c r="A14" s="47" t="inlineStr">
        <is>
          <t>CAD-10</t>
        </is>
      </c>
      <c r="B14" s="47" t="inlineStr">
        <is>
          <t>参数</t>
        </is>
      </c>
      <c r="C14" s="47" t="inlineStr">
        <is>
          <t>P10</t>
        </is>
      </c>
      <c r="D14" s="47" t="inlineStr">
        <is>
          <t>SRC-XLS-OLD</t>
        </is>
      </c>
      <c r="E14" s="47" t="inlineStr">
        <is>
          <t>Defatting!D45</t>
        </is>
      </c>
      <c r="F14" s="47" t="inlineStr">
        <is>
          <t>Wastewater</t>
        </is>
      </c>
      <c r="G14" s="47" t="n">
        <v>0.3148652353</v>
      </c>
      <c r="H14" s="47" t="inlineStr">
        <is>
          <t>l/kg</t>
        </is>
      </c>
      <c r="I14" s="47" t="inlineStr">
        <is>
          <t>白豆片</t>
        </is>
      </c>
      <c r="J14" s="47" t="inlineStr">
        <is>
          <t>同水源参数</t>
        </is>
      </c>
      <c r="K14" s="47" t="inlineStr">
        <is>
          <t>TRIANGLE</t>
        </is>
      </c>
      <c r="L14" s="47" t="inlineStr">
        <is>
          <t>同 CAD-09</t>
        </is>
      </c>
      <c r="M14" s="47" t="inlineStr"/>
      <c r="N14" s="47" t="inlineStr"/>
      <c r="O14" s="47" t="inlineStr"/>
      <c r="P14" s="47" t="inlineStr"/>
      <c r="Q14" s="47" t="inlineStr">
        <is>
          <t>可直接比较</t>
        </is>
      </c>
      <c r="R14" s="47" t="inlineStr">
        <is>
          <t>采用</t>
        </is>
      </c>
      <c r="S14" s="47" t="inlineStr">
        <is>
          <t>D01</t>
        </is>
      </c>
      <c r="T14" s="47" t="inlineStr">
        <is>
          <t>与水输入同值，模块代表值</t>
        </is>
      </c>
    </row>
    <row r="15" ht="25" customHeight="1">
      <c r="A15" s="47" t="inlineStr">
        <is>
          <t>CAD-11</t>
        </is>
      </c>
      <c r="B15" s="47" t="inlineStr">
        <is>
          <t>参数</t>
        </is>
      </c>
      <c r="C15" s="47" t="inlineStr">
        <is>
          <t>P11</t>
        </is>
      </c>
      <c r="D15" s="47" t="inlineStr">
        <is>
          <t>SRC-XLS-OLD</t>
        </is>
      </c>
      <c r="E15" s="47" t="inlineStr">
        <is>
          <t>Defatting!D49</t>
        </is>
      </c>
      <c r="F15" s="47" t="inlineStr">
        <is>
          <t>Hexane</t>
        </is>
      </c>
      <c r="G15" s="47" t="n">
        <v>0.001374100719</v>
      </c>
      <c r="H15" s="47" t="inlineStr">
        <is>
          <t>kg/kg</t>
        </is>
      </c>
      <c r="I15" s="47" t="inlineStr">
        <is>
          <t>白豆片</t>
        </is>
      </c>
      <c r="J15" s="47" t="inlineStr">
        <is>
          <t>Sheehan/Dalgaard/OTI/Castanheira</t>
        </is>
      </c>
      <c r="K15" s="47" t="inlineStr">
        <is>
          <t>TRIANGLE</t>
        </is>
      </c>
      <c r="L15" s="47" t="inlineStr">
        <is>
          <t>见 Defatting!B49:C49</t>
        </is>
      </c>
      <c r="M15" s="47" t="inlineStr"/>
      <c r="N15" s="47" t="inlineStr"/>
      <c r="O15" s="47" t="inlineStr"/>
      <c r="P15" s="47" t="inlineStr"/>
      <c r="Q15" s="47" t="inlineStr">
        <is>
          <t>可直接比较</t>
        </is>
      </c>
      <c r="R15" s="47" t="inlineStr">
        <is>
          <t>采用</t>
        </is>
      </c>
      <c r="S15" s="47" t="inlineStr">
        <is>
          <t>D01</t>
        </is>
      </c>
      <c r="T15" s="47" t="inlineStr">
        <is>
          <t>净补充量</t>
        </is>
      </c>
    </row>
    <row r="16" ht="25" customHeight="1">
      <c r="A16" s="47" t="inlineStr">
        <is>
          <t>CAD-12</t>
        </is>
      </c>
      <c r="B16" s="47" t="inlineStr">
        <is>
          <t>参数</t>
        </is>
      </c>
      <c r="C16" s="47" t="inlineStr">
        <is>
          <t>P12</t>
        </is>
      </c>
      <c r="D16" s="47" t="inlineStr">
        <is>
          <t>SRC-XLS-OLD</t>
        </is>
      </c>
      <c r="E16" s="47" t="inlineStr">
        <is>
          <t>Defatting!D50</t>
        </is>
      </c>
      <c r="F16" s="47" t="inlineStr">
        <is>
          <t>Electricity demand</t>
        </is>
      </c>
      <c r="G16" s="47" t="n">
        <v>142.9829586</v>
      </c>
      <c r="H16" s="47" t="inlineStr">
        <is>
          <t>kJ/kg</t>
        </is>
      </c>
      <c r="I16" s="47" t="inlineStr">
        <is>
          <t>白豆片</t>
        </is>
      </c>
      <c r="J16" s="47" t="inlineStr">
        <is>
          <t>四来源代表值（中两值平均）</t>
        </is>
      </c>
      <c r="K16" s="47" t="inlineStr">
        <is>
          <t>TRIANGLE</t>
        </is>
      </c>
      <c r="L16" s="47" t="inlineStr">
        <is>
          <t>见 Defatting!B50:C50</t>
        </is>
      </c>
      <c r="M16" s="47" t="inlineStr"/>
      <c r="N16" s="47" t="inlineStr"/>
      <c r="O16" s="47" t="inlineStr"/>
      <c r="P16" s="47" t="inlineStr"/>
      <c r="Q16" s="47" t="inlineStr">
        <is>
          <t>可直接比较</t>
        </is>
      </c>
      <c r="R16" s="47" t="inlineStr">
        <is>
          <t>采用</t>
        </is>
      </c>
      <c r="S16" s="47" t="inlineStr">
        <is>
          <t>D01</t>
        </is>
      </c>
      <c r="T16" s="47" t="inlineStr"/>
    </row>
    <row r="17" ht="25" customHeight="1">
      <c r="A17" s="47" t="inlineStr">
        <is>
          <t>CAD-13</t>
        </is>
      </c>
      <c r="B17" s="47" t="inlineStr">
        <is>
          <t>参数</t>
        </is>
      </c>
      <c r="C17" s="47" t="inlineStr">
        <is>
          <t>P13</t>
        </is>
      </c>
      <c r="D17" s="47" t="inlineStr">
        <is>
          <t>SRC-XLS-OLD</t>
        </is>
      </c>
      <c r="E17" s="47" t="inlineStr">
        <is>
          <t>Defatting!D51</t>
        </is>
      </c>
      <c r="F17" s="47" t="inlineStr">
        <is>
          <t>Heat demand</t>
        </is>
      </c>
      <c r="G17" s="47" t="n">
        <v>951.9179633</v>
      </c>
      <c r="H17" s="47" t="inlineStr">
        <is>
          <t>kJ/kg</t>
        </is>
      </c>
      <c r="I17" s="47" t="inlineStr">
        <is>
          <t>白豆片</t>
        </is>
      </c>
      <c r="J17" s="47" t="inlineStr">
        <is>
          <t>四来源代表值</t>
        </is>
      </c>
      <c r="K17" s="47" t="inlineStr">
        <is>
          <t>TRIANGLE</t>
        </is>
      </c>
      <c r="L17" s="47" t="inlineStr">
        <is>
          <t>见 Defatting!B51:C51</t>
        </is>
      </c>
      <c r="M17" s="47" t="inlineStr"/>
      <c r="N17" s="47" t="inlineStr"/>
      <c r="O17" s="47" t="inlineStr"/>
      <c r="P17" s="47" t="inlineStr"/>
      <c r="Q17" s="47" t="inlineStr">
        <is>
          <t>可直接比较</t>
        </is>
      </c>
      <c r="R17" s="47" t="inlineStr">
        <is>
          <t>采用</t>
        </is>
      </c>
      <c r="S17" s="47" t="inlineStr">
        <is>
          <t>D01</t>
        </is>
      </c>
      <c r="T17" s="47" t="inlineStr"/>
    </row>
    <row r="18" ht="25" customHeight="1">
      <c r="A18" s="47" t="inlineStr">
        <is>
          <t>CAD-14</t>
        </is>
      </c>
      <c r="B18" s="47" t="inlineStr">
        <is>
          <t>参数</t>
        </is>
      </c>
      <c r="C18" s="47" t="inlineStr">
        <is>
          <t>P14</t>
        </is>
      </c>
      <c r="D18" s="47" t="inlineStr">
        <is>
          <t>SRC-XLS-OLD</t>
        </is>
      </c>
      <c r="E18" s="47" t="inlineStr">
        <is>
          <t>Defatting!D44</t>
        </is>
      </c>
      <c r="F18" s="47" t="inlineStr">
        <is>
          <t>Soybean oil</t>
        </is>
      </c>
      <c r="G18" s="47" t="n">
        <v>0.24</v>
      </c>
      <c r="H18" s="47" t="inlineStr">
        <is>
          <t>kg/kg</t>
        </is>
      </c>
      <c r="I18" s="47" t="inlineStr">
        <is>
          <t>白豆片</t>
        </is>
      </c>
      <c r="J18" s="47" t="inlineStr">
        <is>
          <t>多文献</t>
        </is>
      </c>
      <c r="K18" s="47" t="inlineStr">
        <is>
          <t>TRIANGLE</t>
        </is>
      </c>
      <c r="L18" s="47" t="inlineStr">
        <is>
          <t>min 0.191; max 0.26; mode 0.24</t>
        </is>
      </c>
      <c r="M18" s="47" t="inlineStr"/>
      <c r="N18" s="47" t="inlineStr"/>
      <c r="O18" s="47" t="inlineStr"/>
      <c r="P18" s="47" t="inlineStr"/>
      <c r="Q18" s="47" t="inlineStr">
        <is>
          <t>可直接比较</t>
        </is>
      </c>
      <c r="R18" s="47" t="inlineStr">
        <is>
          <t>采用</t>
        </is>
      </c>
      <c r="S18" s="47" t="inlineStr">
        <is>
          <t>D01</t>
        </is>
      </c>
      <c r="T18" s="47" t="inlineStr"/>
    </row>
    <row r="19" ht="25" customHeight="1">
      <c r="A19" s="47" t="inlineStr">
        <is>
          <t>CAD-15</t>
        </is>
      </c>
      <c r="B19" s="47" t="inlineStr">
        <is>
          <t>参数</t>
        </is>
      </c>
      <c r="C19" s="47" t="inlineStr">
        <is>
          <t>P15</t>
        </is>
      </c>
      <c r="D19" s="47" t="inlineStr">
        <is>
          <t>SRC-XLS-OLD</t>
        </is>
      </c>
      <c r="E19" s="47" t="inlineStr">
        <is>
          <t>Cleaning and dehulling!D23</t>
        </is>
      </c>
      <c r="F19" s="47" t="inlineStr">
        <is>
          <t>Hulls</t>
        </is>
      </c>
      <c r="G19" s="47" t="n">
        <v>0.08</v>
      </c>
      <c r="H19" s="47" t="inlineStr">
        <is>
          <t>kg/kg</t>
        </is>
      </c>
      <c r="I19" s="47" t="inlineStr">
        <is>
          <t>脱皮大豆</t>
        </is>
      </c>
      <c r="J19" s="47" t="inlineStr">
        <is>
          <t>Sheehan 1998</t>
        </is>
      </c>
      <c r="K19" s="47" t="inlineStr">
        <is>
          <t>FIXED</t>
        </is>
      </c>
      <c r="L19" s="47" t="inlineStr">
        <is>
          <t>0.08</t>
        </is>
      </c>
      <c r="M19" s="47" t="inlineStr"/>
      <c r="N19" s="47" t="inlineStr"/>
      <c r="O19" s="47" t="inlineStr"/>
      <c r="P19" s="47" t="inlineStr"/>
      <c r="Q19" s="47" t="inlineStr">
        <is>
          <t>可直接比较</t>
        </is>
      </c>
      <c r="R19" s="47" t="inlineStr">
        <is>
          <t>采用</t>
        </is>
      </c>
      <c r="S19" s="47" t="inlineStr">
        <is>
          <t>D01</t>
        </is>
      </c>
      <c r="T19" s="47" t="inlineStr"/>
    </row>
    <row r="20" ht="25" customHeight="1">
      <c r="A20" s="47" t="inlineStr">
        <is>
          <t>CAD-16</t>
        </is>
      </c>
      <c r="B20" s="47" t="inlineStr">
        <is>
          <t>参数</t>
        </is>
      </c>
      <c r="C20" s="47" t="inlineStr">
        <is>
          <t>P16</t>
        </is>
      </c>
      <c r="D20" s="47" t="inlineStr">
        <is>
          <t>SRC-XLS-OLD</t>
        </is>
      </c>
      <c r="E20" s="47" t="inlineStr">
        <is>
          <t>Cleaning and dehulling!B24:C24:D24</t>
        </is>
      </c>
      <c r="F20" s="47" t="inlineStr">
        <is>
          <t>Electricity dehulling</t>
        </is>
      </c>
      <c r="G20" s="47" t="n">
        <v>23.4</v>
      </c>
      <c r="H20" s="47" t="inlineStr">
        <is>
          <t>kJ/kg</t>
        </is>
      </c>
      <c r="I20" s="47" t="inlineStr">
        <is>
          <t>脱皮大豆</t>
        </is>
      </c>
      <c r="J20" s="47" t="inlineStr">
        <is>
          <t>Bühler 设备表/Sheehan</t>
        </is>
      </c>
      <c r="K20" s="47" t="inlineStr">
        <is>
          <t>TRIANGLE</t>
        </is>
      </c>
      <c r="L20" s="47" t="inlineStr">
        <is>
          <t>min 5; max 30; mode 23.4</t>
        </is>
      </c>
      <c r="M20" s="47" t="inlineStr"/>
      <c r="N20" s="47" t="inlineStr"/>
      <c r="O20" s="47" t="inlineStr"/>
      <c r="P20" s="47" t="inlineStr"/>
      <c r="Q20" s="47" t="inlineStr">
        <is>
          <t>可直接比较</t>
        </is>
      </c>
      <c r="R20" s="47" t="inlineStr">
        <is>
          <t>采用</t>
        </is>
      </c>
      <c r="S20" s="47" t="inlineStr">
        <is>
          <t>D01</t>
        </is>
      </c>
      <c r="T20" s="47" t="inlineStr"/>
    </row>
    <row r="21" ht="25" customHeight="1">
      <c r="A21" s="47" t="inlineStr">
        <is>
          <t>CAD-17</t>
        </is>
      </c>
      <c r="B21" s="47" t="inlineStr">
        <is>
          <t>参数</t>
        </is>
      </c>
      <c r="C21" s="47" t="inlineStr">
        <is>
          <t>P17</t>
        </is>
      </c>
      <c r="D21" s="47" t="inlineStr">
        <is>
          <t>SRC-XLS-OLD</t>
        </is>
      </c>
      <c r="E21" s="47" t="inlineStr">
        <is>
          <t>Energy consumption machinery!B14:C14:D14</t>
        </is>
      </c>
      <c r="F21" s="47" t="inlineStr">
        <is>
          <t>Electricity_centrifugal_decanter</t>
        </is>
      </c>
      <c r="G21" s="47" t="n">
        <v>3.42</v>
      </c>
      <c r="H21" s="47" t="inlineStr">
        <is>
          <t>MJ/m3</t>
        </is>
      </c>
      <c r="I21" s="47" t="inlineStr">
        <is>
          <t>离心处理体积</t>
        </is>
      </c>
      <c r="J21" s="47" t="inlineStr">
        <is>
          <t>Kessler/GEA/Szepessy</t>
        </is>
      </c>
      <c r="K21" s="47" t="inlineStr">
        <is>
          <t>TRIANGLE</t>
        </is>
      </c>
      <c r="L21" s="47" t="inlineStr">
        <is>
          <t>min 1.08; max 3.744; mode 3.42</t>
        </is>
      </c>
      <c r="M21" s="47" t="inlineStr"/>
      <c r="N21" s="47" t="inlineStr"/>
      <c r="O21" s="47" t="inlineStr"/>
      <c r="P21" s="47" t="inlineStr"/>
      <c r="Q21" s="47" t="inlineStr">
        <is>
          <t>可直接比较</t>
        </is>
      </c>
      <c r="R21" s="47" t="inlineStr">
        <is>
          <t>采用</t>
        </is>
      </c>
      <c r="S21" s="47" t="inlineStr">
        <is>
          <t>D01</t>
        </is>
      </c>
      <c r="T21" s="47" t="inlineStr">
        <is>
          <t>kg→L 经密度换算</t>
        </is>
      </c>
    </row>
    <row r="22" ht="25" customHeight="1">
      <c r="A22" s="47" t="inlineStr">
        <is>
          <t>CAD-18</t>
        </is>
      </c>
      <c r="B22" s="47" t="inlineStr">
        <is>
          <t>参数</t>
        </is>
      </c>
      <c r="C22" s="47" t="inlineStr">
        <is>
          <t>P18</t>
        </is>
      </c>
      <c r="D22" s="47" t="inlineStr">
        <is>
          <t>SRC-XLS-OLD</t>
        </is>
      </c>
      <c r="E22" s="47" t="inlineStr">
        <is>
          <t>Energy consumption machinery!B18:C18</t>
        </is>
      </c>
      <c r="F22" s="47" t="inlineStr">
        <is>
          <t>Electricity_pressing</t>
        </is>
      </c>
      <c r="G22" s="47" t="n">
        <v>1.14</v>
      </c>
      <c r="H22" s="47" t="inlineStr">
        <is>
          <t>kJ/kg</t>
        </is>
      </c>
      <c r="I22" s="47" t="inlineStr">
        <is>
          <t>压榨处理量</t>
        </is>
      </c>
      <c r="J22" s="47" t="inlineStr">
        <is>
          <t>Flottweg 设备表</t>
        </is>
      </c>
      <c r="K22" s="47" t="inlineStr">
        <is>
          <t>UNIFORM</t>
        </is>
      </c>
      <c r="L22" s="47" t="inlineStr">
        <is>
          <t>min 0.39; max 1.89</t>
        </is>
      </c>
      <c r="M22" s="47" t="inlineStr"/>
      <c r="N22" s="47" t="inlineStr"/>
      <c r="O22" s="47" t="inlineStr"/>
      <c r="P22" s="47" t="inlineStr"/>
      <c r="Q22" s="47" t="inlineStr">
        <is>
          <t>可直接比较</t>
        </is>
      </c>
      <c r="R22" s="47" t="inlineStr">
        <is>
          <t>采用</t>
        </is>
      </c>
      <c r="S22" s="47" t="inlineStr">
        <is>
          <t>D01</t>
        </is>
      </c>
      <c r="T22" s="47" t="inlineStr"/>
    </row>
    <row r="23" ht="25" customHeight="1">
      <c r="A23" s="47" t="inlineStr">
        <is>
          <t>CAD-19</t>
        </is>
      </c>
      <c r="B23" s="47" t="inlineStr">
        <is>
          <t>参数</t>
        </is>
      </c>
      <c r="C23" s="47" t="inlineStr">
        <is>
          <t>P19</t>
        </is>
      </c>
      <c r="D23" s="47" t="inlineStr">
        <is>
          <t>SRC-XLS-OLD</t>
        </is>
      </c>
      <c r="E23" s="47" t="inlineStr">
        <is>
          <t>Energy consumption machinery!B20:C20:D20</t>
        </is>
      </c>
      <c r="F23" s="47" t="inlineStr">
        <is>
          <t>Electricity_pumping</t>
        </is>
      </c>
      <c r="G23" s="47" t="n">
        <v>0.15</v>
      </c>
      <c r="H23" s="47" t="inlineStr">
        <is>
          <t>%</t>
        </is>
      </c>
      <c r="I23" s="47" t="inlineStr">
        <is>
          <t>占总电耗比例</t>
        </is>
      </c>
      <c r="J23" s="47" t="inlineStr">
        <is>
          <t>Galitsky 2003/行业专家</t>
        </is>
      </c>
      <c r="K23" s="47" t="inlineStr">
        <is>
          <t>TRIANGLE</t>
        </is>
      </c>
      <c r="L23" s="47" t="inlineStr">
        <is>
          <t>min 0.09; max 0.164; mode 0.15</t>
        </is>
      </c>
      <c r="M23" s="47" t="inlineStr"/>
      <c r="N23" s="47" t="inlineStr"/>
      <c r="O23" s="47" t="inlineStr"/>
      <c r="P23" s="47" t="inlineStr"/>
      <c r="Q23" s="47" t="inlineStr">
        <is>
          <t>可直接比较</t>
        </is>
      </c>
      <c r="R23" s="47" t="inlineStr">
        <is>
          <t>采用</t>
        </is>
      </c>
      <c r="S23" s="47" t="inlineStr">
        <is>
          <t>D01</t>
        </is>
      </c>
      <c r="T23" s="47" t="inlineStr">
        <is>
          <t>公式中按 15% fraction 使用</t>
        </is>
      </c>
    </row>
    <row r="24" ht="25" customHeight="1">
      <c r="A24" s="47" t="inlineStr">
        <is>
          <t>CAD-20</t>
        </is>
      </c>
      <c r="B24" s="47" t="inlineStr">
        <is>
          <t>参数</t>
        </is>
      </c>
      <c r="C24" s="47" t="inlineStr">
        <is>
          <t>P20</t>
        </is>
      </c>
      <c r="D24" s="47" t="inlineStr">
        <is>
          <t>SRC-XLS-OLD</t>
        </is>
      </c>
      <c r="E24" s="47" t="inlineStr">
        <is>
          <t>Energy consumption machinery!B22:C22:D22</t>
        </is>
      </c>
      <c r="F24" s="47" t="inlineStr">
        <is>
          <t>Heat_flash_drier</t>
        </is>
      </c>
      <c r="G24" s="47" t="n">
        <v>3600</v>
      </c>
      <c r="H24" s="47" t="inlineStr">
        <is>
          <t>kJ/kg</t>
        </is>
      </c>
      <c r="I24" s="47" t="inlineStr">
        <is>
          <t>蒸发水</t>
        </is>
      </c>
      <c r="J24" s="47" t="inlineStr">
        <is>
          <t>Prvulovic 2009/Hosokawa</t>
        </is>
      </c>
      <c r="K24" s="47" t="inlineStr">
        <is>
          <t>TRIANGLE</t>
        </is>
      </c>
      <c r="L24" s="47" t="inlineStr">
        <is>
          <t>min 3600; max 5040; mode 3600</t>
        </is>
      </c>
      <c r="M24" s="47" t="inlineStr"/>
      <c r="N24" s="47" t="inlineStr"/>
      <c r="O24" s="47" t="inlineStr"/>
      <c r="P24" s="47" t="inlineStr"/>
      <c r="Q24" s="47" t="inlineStr">
        <is>
          <t>可直接比较</t>
        </is>
      </c>
      <c r="R24" s="47" t="inlineStr">
        <is>
          <t>采用</t>
        </is>
      </c>
      <c r="S24" s="47" t="inlineStr">
        <is>
          <t>D01</t>
        </is>
      </c>
      <c r="T24" s="47" t="inlineStr"/>
    </row>
    <row r="25" ht="25" customHeight="1">
      <c r="A25" s="47" t="inlineStr">
        <is>
          <t>CAD-21</t>
        </is>
      </c>
      <c r="B25" s="47" t="inlineStr">
        <is>
          <t>参数</t>
        </is>
      </c>
      <c r="C25" s="47" t="inlineStr">
        <is>
          <t>P21</t>
        </is>
      </c>
      <c r="D25" s="47" t="inlineStr">
        <is>
          <t>SRC-XLS-OLD</t>
        </is>
      </c>
      <c r="E25" s="47" t="inlineStr">
        <is>
          <t>Energy consumption machinery!B25:C25</t>
        </is>
      </c>
      <c r="F25" s="47" t="inlineStr">
        <is>
          <t>Heat_spray_drier</t>
        </is>
      </c>
      <c r="G25" s="47" t="n">
        <v>4800.5</v>
      </c>
      <c r="H25" s="47" t="inlineStr">
        <is>
          <t>kJ/kg</t>
        </is>
      </c>
      <c r="I25" s="47" t="inlineStr">
        <is>
          <t>蒸发水</t>
        </is>
      </c>
      <c r="J25" s="47" t="inlineStr">
        <is>
          <t>Baker &amp; McKenzie 2005</t>
        </is>
      </c>
      <c r="K25" s="47" t="inlineStr">
        <is>
          <t>UNIFORM</t>
        </is>
      </c>
      <c r="L25" s="47" t="inlineStr">
        <is>
          <t>min 3268; max 6333</t>
        </is>
      </c>
      <c r="M25" s="47" t="inlineStr"/>
      <c r="N25" s="47" t="inlineStr"/>
      <c r="O25" s="47" t="inlineStr"/>
      <c r="P25" s="47" t="inlineStr"/>
      <c r="Q25" s="47" t="inlineStr">
        <is>
          <t>可直接比较</t>
        </is>
      </c>
      <c r="R25" s="47" t="inlineStr">
        <is>
          <t>采用</t>
        </is>
      </c>
      <c r="S25" s="47" t="inlineStr">
        <is>
          <t>D01</t>
        </is>
      </c>
      <c r="T25" s="47" t="inlineStr"/>
    </row>
    <row r="26" ht="25" customHeight="1">
      <c r="A26" s="47" t="inlineStr">
        <is>
          <t>CAD-22</t>
        </is>
      </c>
      <c r="B26" s="47" t="inlineStr">
        <is>
          <t>参数</t>
        </is>
      </c>
      <c r="C26" s="47" t="inlineStr">
        <is>
          <t>P22</t>
        </is>
      </c>
      <c r="D26" s="47" t="inlineStr">
        <is>
          <t>SRC-XLS-OLD</t>
        </is>
      </c>
      <c r="E26" s="47" t="inlineStr">
        <is>
          <t>Energy consumption machinery!B26:C26:D26</t>
        </is>
      </c>
      <c r="F26" s="47" t="inlineStr">
        <is>
          <t>dm_content_spray_drier</t>
        </is>
      </c>
      <c r="G26" s="47" t="n">
        <v>0.16</v>
      </c>
      <c r="H26" s="47" t="inlineStr">
        <is>
          <t>%</t>
        </is>
      </c>
      <c r="I26" s="47" t="inlineStr">
        <is>
          <t>喷雾进料</t>
        </is>
      </c>
      <c r="J26" s="47" t="inlineStr">
        <is>
          <t>行业专家</t>
        </is>
      </c>
      <c r="K26" s="47" t="inlineStr">
        <is>
          <t>TRIANGLE</t>
        </is>
      </c>
      <c r="L26" s="47" t="inlineStr">
        <is>
          <t>min 0.12; max 0.2; mode 0.16</t>
        </is>
      </c>
      <c r="M26" s="47" t="inlineStr"/>
      <c r="N26" s="47" t="inlineStr"/>
      <c r="O26" s="47" t="inlineStr"/>
      <c r="P26" s="47" t="inlineStr"/>
      <c r="Q26" s="47" t="inlineStr">
        <is>
          <t>可直接比较</t>
        </is>
      </c>
      <c r="R26" s="47" t="inlineStr">
        <is>
          <t>采用</t>
        </is>
      </c>
      <c r="S26" s="47" t="inlineStr">
        <is>
          <t>D01</t>
        </is>
      </c>
      <c r="T26" s="47" t="inlineStr">
        <is>
          <t>绿色参数表 row41 误引 ring drier，已绕开</t>
        </is>
      </c>
    </row>
    <row r="27" ht="25" customHeight="1">
      <c r="A27" s="47" t="inlineStr">
        <is>
          <t>CAD-23</t>
        </is>
      </c>
      <c r="B27" s="47" t="inlineStr">
        <is>
          <t>参数</t>
        </is>
      </c>
      <c r="C27" s="47" t="inlineStr">
        <is>
          <t>P24</t>
        </is>
      </c>
      <c r="D27" s="47" t="inlineStr">
        <is>
          <t>SRC-XLS-OLD</t>
        </is>
      </c>
      <c r="E27" s="47" t="inlineStr">
        <is>
          <t>SPI!F46</t>
        </is>
      </c>
      <c r="F27" s="47" t="inlineStr">
        <is>
          <t>Output spent flakes</t>
        </is>
      </c>
      <c r="G27" s="47" t="n">
        <v>0.2745015778</v>
      </c>
      <c r="H27" s="47" t="inlineStr">
        <is>
          <t>kg/kg</t>
        </is>
      </c>
      <c r="I27" s="47" t="inlineStr">
        <is>
          <t>白豆片</t>
        </is>
      </c>
      <c r="J27" s="47" t="inlineStr">
        <is>
          <t>质量平衡公式（含 0.93 链）</t>
        </is>
      </c>
      <c r="K27" s="47" t="inlineStr">
        <is>
          <t>FIXED</t>
        </is>
      </c>
      <c r="L27" s="47" t="inlineStr">
        <is>
          <t>0.2745015778</t>
        </is>
      </c>
      <c r="M27" s="47" t="inlineStr"/>
      <c r="N27" s="47" t="inlineStr"/>
      <c r="O27" s="47" t="inlineStr"/>
      <c r="P27" s="47" t="inlineStr"/>
      <c r="Q27" s="47" t="inlineStr">
        <is>
          <t>可直接比较</t>
        </is>
      </c>
      <c r="R27" s="47" t="inlineStr">
        <is>
          <t>采用</t>
        </is>
      </c>
      <c r="S27" s="47" t="inlineStr">
        <is>
          <t>D03</t>
        </is>
      </c>
      <c r="T27" s="47" t="inlineStr"/>
    </row>
    <row r="28" ht="25" customHeight="1">
      <c r="A28" s="47" t="inlineStr">
        <is>
          <t>CAD-24</t>
        </is>
      </c>
      <c r="B28" s="47" t="inlineStr">
        <is>
          <t>参数</t>
        </is>
      </c>
      <c r="C28" s="47" t="inlineStr">
        <is>
          <t>P25</t>
        </is>
      </c>
      <c r="D28" s="47" t="inlineStr">
        <is>
          <t>SRC-XLS-OLD</t>
        </is>
      </c>
      <c r="E28" s="47" t="inlineStr">
        <is>
          <t>SPI!F47</t>
        </is>
      </c>
      <c r="F28" s="47" t="inlineStr">
        <is>
          <t>Output whey</t>
        </is>
      </c>
      <c r="G28" s="47" t="n">
        <v>0.5787930225</v>
      </c>
      <c r="H28" s="47" t="inlineStr">
        <is>
          <t>kg/kg</t>
        </is>
      </c>
      <c r="I28" s="47" t="inlineStr">
        <is>
          <t>白豆片</t>
        </is>
      </c>
      <c r="J28" s="47" t="inlineStr">
        <is>
          <t>质量平衡公式（含 0.93 链，除以 0.03  whey DM）</t>
        </is>
      </c>
      <c r="K28" s="47" t="inlineStr">
        <is>
          <t>FIXED</t>
        </is>
      </c>
      <c r="L28" s="47" t="inlineStr">
        <is>
          <t>0.5787930225</t>
        </is>
      </c>
      <c r="M28" s="47" t="inlineStr"/>
      <c r="N28" s="47" t="inlineStr"/>
      <c r="O28" s="47" t="inlineStr"/>
      <c r="P28" s="47" t="inlineStr"/>
      <c r="Q28" s="47" t="inlineStr">
        <is>
          <t>可直接比较</t>
        </is>
      </c>
      <c r="R28" s="47" t="inlineStr">
        <is>
          <t>采用</t>
        </is>
      </c>
      <c r="S28" s="47" t="inlineStr">
        <is>
          <t>D03</t>
        </is>
      </c>
      <c r="T28" s="47" t="inlineStr">
        <is>
          <t>受 Q03 影响</t>
        </is>
      </c>
    </row>
    <row r="29" ht="25" customHeight="1">
      <c r="A29" s="47" t="inlineStr">
        <is>
          <t>CAD-25</t>
        </is>
      </c>
      <c r="B29" s="47" t="inlineStr">
        <is>
          <t>参数</t>
        </is>
      </c>
      <c r="C29" s="47" t="inlineStr">
        <is>
          <t>P26</t>
        </is>
      </c>
      <c r="D29" s="47" t="inlineStr">
        <is>
          <t>SRC-XLS-OLD</t>
        </is>
      </c>
      <c r="E29" s="47" t="inlineStr">
        <is>
          <t>SPI!F51</t>
        </is>
      </c>
      <c r="F29" s="47" t="inlineStr">
        <is>
          <t>NaOH (50%)</t>
        </is>
      </c>
      <c r="G29" s="47" t="n">
        <v>0.00125</v>
      </c>
      <c r="H29" s="47" t="inlineStr">
        <is>
          <t>l/kg</t>
        </is>
      </c>
      <c r="I29" s="47" t="inlineStr">
        <is>
          <t>浸提溶剂</t>
        </is>
      </c>
      <c r="J29" s="47" t="inlineStr">
        <is>
          <t>质量平衡假设</t>
        </is>
      </c>
      <c r="K29" s="47" t="inlineStr">
        <is>
          <t>FIXED</t>
        </is>
      </c>
      <c r="L29" s="47" t="inlineStr">
        <is>
          <t>0.00125</t>
        </is>
      </c>
      <c r="M29" s="47" t="inlineStr"/>
      <c r="N29" s="47" t="inlineStr"/>
      <c r="O29" s="47" t="inlineStr"/>
      <c r="P29" s="47" t="inlineStr"/>
      <c r="Q29" s="47" t="inlineStr">
        <is>
          <t>可直接比较</t>
        </is>
      </c>
      <c r="R29" s="47" t="inlineStr">
        <is>
          <t>采用</t>
        </is>
      </c>
      <c r="S29" s="47" t="inlineStr">
        <is>
          <t>D05</t>
        </is>
      </c>
      <c r="T29" s="47" t="inlineStr">
        <is>
          <t>×10 溶剂比=0.0125 L/kg 白豆片；10% 溶液 ×5</t>
        </is>
      </c>
    </row>
    <row r="30" ht="25" customHeight="1">
      <c r="A30" s="47" t="inlineStr">
        <is>
          <t>CAD-26</t>
        </is>
      </c>
      <c r="B30" s="47" t="inlineStr">
        <is>
          <t>参数</t>
        </is>
      </c>
      <c r="C30" s="47" t="inlineStr">
        <is>
          <t>P27</t>
        </is>
      </c>
      <c r="D30" s="47" t="inlineStr">
        <is>
          <t>SRC-XLS-OLD</t>
        </is>
      </c>
      <c r="E30" s="47" t="inlineStr">
        <is>
          <t>SPI!F50</t>
        </is>
      </c>
      <c r="F30" s="47" t="inlineStr">
        <is>
          <t>HCl (30%)</t>
        </is>
      </c>
      <c r="G30" s="47" t="n">
        <v>0.0029166667</v>
      </c>
      <c r="H30" s="47" t="inlineStr">
        <is>
          <t>l/kg</t>
        </is>
      </c>
      <c r="I30" s="47" t="inlineStr">
        <is>
          <t>浸提溶剂</t>
        </is>
      </c>
      <c r="J30" s="47" t="inlineStr">
        <is>
          <t>质量平衡假设</t>
        </is>
      </c>
      <c r="K30" s="47" t="inlineStr">
        <is>
          <t>FIXED</t>
        </is>
      </c>
      <c r="L30" s="47" t="inlineStr">
        <is>
          <t>0.0029167</t>
        </is>
      </c>
      <c r="M30" s="47" t="inlineStr"/>
      <c r="N30" s="47" t="inlineStr"/>
      <c r="O30" s="47" t="inlineStr"/>
      <c r="P30" s="47" t="inlineStr"/>
      <c r="Q30" s="47" t="inlineStr">
        <is>
          <t>可直接比较</t>
        </is>
      </c>
      <c r="R30" s="47" t="inlineStr">
        <is>
          <t>采用</t>
        </is>
      </c>
      <c r="S30" s="47" t="inlineStr">
        <is>
          <t>D05</t>
        </is>
      </c>
      <c r="T30" s="47" t="inlineStr">
        <is>
          <t>×10=0.029167 L/kg 白豆片；10% 溶液 ×3</t>
        </is>
      </c>
    </row>
    <row r="31" ht="25" customHeight="1">
      <c r="A31" s="47" t="inlineStr">
        <is>
          <t>CAD-27</t>
        </is>
      </c>
      <c r="B31" s="47" t="inlineStr">
        <is>
          <t>参数</t>
        </is>
      </c>
      <c r="C31" s="47" t="inlineStr">
        <is>
          <t>P23</t>
        </is>
      </c>
      <c r="D31" s="47" t="inlineStr">
        <is>
          <t>SRC-XLS-OLD</t>
        </is>
      </c>
      <c r="E31" s="47" t="inlineStr">
        <is>
          <t>SPI!F53:F56,F58,F60</t>
        </is>
      </c>
      <c r="F31" s="47" t="inlineStr">
        <is>
          <t>Mass flow factors (离心/加热/闪蒸)</t>
        </is>
      </c>
      <c r="G31" s="47" t="n">
        <v>1.0625</v>
      </c>
      <c r="H31" s="47" t="inlineStr">
        <is>
          <t>kg/kg</t>
        </is>
      </c>
      <c r="I31" s="47" t="inlineStr">
        <is>
          <t>白豆片</t>
        </is>
      </c>
      <c r="J31" s="47" t="inlineStr">
        <is>
          <t>SPI 质量平衡因子表</t>
        </is>
      </c>
      <c r="K31" s="47" t="inlineStr">
        <is>
          <t>FIXED</t>
        </is>
      </c>
      <c r="L31" s="47" t="inlineStr">
        <is>
          <t>多值见备注</t>
        </is>
      </c>
      <c r="M31" s="47" t="inlineStr"/>
      <c r="N31" s="47" t="inlineStr"/>
      <c r="O31" s="47" t="inlineStr"/>
      <c r="P31" s="47" t="inlineStr"/>
      <c r="Q31" s="47" t="inlineStr">
        <is>
          <t>可直接比较</t>
        </is>
      </c>
      <c r="R31" s="47" t="inlineStr">
        <is>
          <t>采用</t>
        </is>
      </c>
      <c r="S31" s="47" t="inlineStr">
        <is>
          <t>D03</t>
        </is>
      </c>
      <c r="T31" s="47" t="inlineStr">
        <is>
          <t>F53=1.0625; F54=0.0624; F55=-0.7772(符号为内部公式约定); F56=2.2452; F58=1.0625; F60=0.1056</t>
        </is>
      </c>
    </row>
    <row r="32" ht="25" customHeight="1">
      <c r="A32" s="47" t="inlineStr">
        <is>
          <t>CAD-28</t>
        </is>
      </c>
      <c r="B32" s="47" t="inlineStr">
        <is>
          <t>参数</t>
        </is>
      </c>
      <c r="C32" s="47" t="inlineStr">
        <is>
          <t>P28</t>
        </is>
      </c>
      <c r="D32" s="47" t="inlineStr">
        <is>
          <t>SRC-XLS-OLD</t>
        </is>
      </c>
      <c r="E32" s="47" t="inlineStr">
        <is>
          <t>SPI!F62:F65</t>
        </is>
      </c>
      <c r="F32" s="47" t="inlineStr">
        <is>
          <t>Density factors</t>
        </is>
      </c>
      <c r="G32" s="47" t="n">
        <v>1.0378</v>
      </c>
      <c r="H32" s="47" t="inlineStr">
        <is>
          <t>kg/L</t>
        </is>
      </c>
      <c r="I32" s="47" t="inlineStr">
        <is>
          <t>离心浆液</t>
        </is>
      </c>
      <c r="J32" s="47" t="inlineStr">
        <is>
          <t>SPI 密度因子表</t>
        </is>
      </c>
      <c r="K32" s="47" t="inlineStr">
        <is>
          <t>FIXED</t>
        </is>
      </c>
      <c r="L32" s="47" t="inlineStr">
        <is>
          <t>多值见备注</t>
        </is>
      </c>
      <c r="M32" s="47" t="inlineStr"/>
      <c r="N32" s="47" t="inlineStr"/>
      <c r="O32" s="47" t="inlineStr"/>
      <c r="P32" s="47" t="inlineStr"/>
      <c r="Q32" s="47" t="inlineStr">
        <is>
          <t>可直接比较</t>
        </is>
      </c>
      <c r="R32" s="47" t="inlineStr">
        <is>
          <t>采用</t>
        </is>
      </c>
      <c r="S32" s="47" t="inlineStr">
        <is>
          <t>D03</t>
        </is>
      </c>
      <c r="T32" s="47" t="inlineStr">
        <is>
          <t>F62=1.0378; F63=1.0358; F64=1.0285; F65=1.0286 kg/L</t>
        </is>
      </c>
    </row>
    <row r="33" ht="25" customHeight="1">
      <c r="A33" s="47" t="inlineStr">
        <is>
          <t>CAD-29</t>
        </is>
      </c>
      <c r="B33" s="47" t="inlineStr">
        <is>
          <t>参数</t>
        </is>
      </c>
      <c r="C33" s="47" t="inlineStr">
        <is>
          <t>P29</t>
        </is>
      </c>
      <c r="D33" s="47" t="inlineStr">
        <is>
          <t>SRC-CLCA-AUDIT</t>
        </is>
      </c>
      <c r="E33" s="47" t="inlineStr">
        <is>
          <t>官方SI2 SPI!I48 / runtime Selected_Foreground_LCI!L17</t>
        </is>
      </c>
      <c r="F33" s="47" t="inlineStr">
        <is>
          <t>SPI模块总电力（当前版/runtime）</t>
        </is>
      </c>
      <c r="G33" s="47" t="n">
        <v>0.06299951783</v>
      </c>
      <c r="H33" s="47" t="inlineStr">
        <is>
          <t>kWh/kg</t>
        </is>
      </c>
      <c r="I33" s="47" t="inlineStr">
        <is>
          <t>SPI</t>
        </is>
      </c>
      <c r="J33" s="47" t="inlineStr">
        <is>
          <t>(1)版 L6=J6/K6 与 ppplca runtime 一致</t>
        </is>
      </c>
      <c r="K33" s="47" t="inlineStr">
        <is>
          <t>FIXED</t>
        </is>
      </c>
      <c r="L33" s="47" t="inlineStr">
        <is>
          <t>0.06299951783</t>
        </is>
      </c>
      <c r="M33" s="47" t="inlineStr"/>
      <c r="N33" s="47" t="inlineStr"/>
      <c r="O33" s="47" t="inlineStr"/>
      <c r="P33" s="47" t="inlineStr"/>
      <c r="Q33" s="47" t="inlineStr">
        <is>
          <t>可直接比较</t>
        </is>
      </c>
      <c r="R33" s="47" t="inlineStr">
        <is>
          <t>采用</t>
        </is>
      </c>
      <c r="S33" s="47" t="inlineStr">
        <is>
          <t>D01</t>
        </is>
      </c>
      <c r="T33" s="47" t="inlineStr">
        <is>
          <t>旧版附件值 0.0463879 已排除（CAD-30）；官方 SI2 与 GitHub runtime 双源印证=0.0629995</t>
        </is>
      </c>
    </row>
    <row r="34" ht="25" customHeight="1">
      <c r="A34" s="47" t="inlineStr">
        <is>
          <t>CAD-30</t>
        </is>
      </c>
      <c r="B34" s="47" t="inlineStr">
        <is>
          <t>参数</t>
        </is>
      </c>
      <c r="C34" s="47" t="inlineStr">
        <is>
          <t>P29</t>
        </is>
      </c>
      <c r="D34" s="47" t="inlineStr">
        <is>
          <t>SRC-XLS-OLD</t>
        </is>
      </c>
      <c r="E34" s="47" t="inlineStr">
        <is>
          <t>SPI!I48</t>
        </is>
      </c>
      <c r="F34" s="47" t="inlineStr">
        <is>
          <t>SPI模块总电力（旧版）</t>
        </is>
      </c>
      <c r="G34" s="47" t="n">
        <v>0.04638789647</v>
      </c>
      <c r="H34" s="47" t="inlineStr">
        <is>
          <t>kWh/kg</t>
        </is>
      </c>
      <c r="I34" s="47" t="inlineStr">
        <is>
          <t>SPI</t>
        </is>
      </c>
      <c r="J34" s="47" t="inlineStr">
        <is>
          <t>旧版 L6=3 硬编码</t>
        </is>
      </c>
      <c r="K34" s="47" t="inlineStr">
        <is>
          <t>UNSPECIFIED</t>
        </is>
      </c>
      <c r="L34" s="47" t="inlineStr"/>
      <c r="M34" s="47" t="inlineStr"/>
      <c r="N34" s="47" t="inlineStr"/>
      <c r="O34" s="47" t="inlineStr"/>
      <c r="P34" s="47" t="inlineStr"/>
      <c r="Q34" s="47" t="inlineStr">
        <is>
          <t>不可直接比较</t>
        </is>
      </c>
      <c r="R34" s="47" t="inlineStr">
        <is>
          <t>已排除</t>
        </is>
      </c>
      <c r="S34" s="47" t="inlineStr">
        <is>
          <t>D01</t>
        </is>
      </c>
      <c r="T34" s="47" t="inlineStr">
        <is>
          <t>版本差异证据，不进入模型</t>
        </is>
      </c>
    </row>
    <row r="35" ht="25" customHeight="1">
      <c r="A35" s="47" t="inlineStr">
        <is>
          <t>CAD-31</t>
        </is>
      </c>
      <c r="B35" s="47" t="inlineStr">
        <is>
          <t>参数</t>
        </is>
      </c>
      <c r="C35" s="47" t="inlineStr">
        <is>
          <t>P30</t>
        </is>
      </c>
      <c r="D35" s="47" t="inlineStr">
        <is>
          <t>SRC-XLS-OLD</t>
        </is>
      </c>
      <c r="E35" s="47" t="inlineStr">
        <is>
          <t>SPI!I49</t>
        </is>
      </c>
      <c r="F35" s="47" t="inlineStr">
        <is>
          <t>SPI模块总热量</t>
        </is>
      </c>
      <c r="G35" s="47" t="n">
        <v>27.50083262</v>
      </c>
      <c r="H35" s="47" t="inlineStr">
        <is>
          <t>MJ/kg</t>
        </is>
      </c>
      <c r="I35" s="47" t="inlineStr">
        <is>
          <t>SPI</t>
        </is>
      </c>
      <c r="J35" s="47" t="inlineStr">
        <is>
          <t>加热+喷雾+闪蒸</t>
        </is>
      </c>
      <c r="K35" s="47" t="inlineStr">
        <is>
          <t>FIXED</t>
        </is>
      </c>
      <c r="L35" s="47" t="inlineStr">
        <is>
          <t>27.50083262</t>
        </is>
      </c>
      <c r="M35" s="47" t="inlineStr"/>
      <c r="N35" s="47" t="inlineStr"/>
      <c r="O35" s="47" t="inlineStr"/>
      <c r="P35" s="47" t="inlineStr"/>
      <c r="Q35" s="47" t="inlineStr">
        <is>
          <t>可直接比较</t>
        </is>
      </c>
      <c r="R35" s="47" t="inlineStr">
        <is>
          <t>采用</t>
        </is>
      </c>
      <c r="S35" s="47" t="inlineStr">
        <is>
          <t>D01</t>
        </is>
      </c>
      <c r="T35" s="47" t="inlineStr"/>
    </row>
    <row r="36" ht="25" customHeight="1">
      <c r="A36" s="47" t="inlineStr">
        <is>
          <t>CAD-32</t>
        </is>
      </c>
      <c r="B36" s="47" t="inlineStr">
        <is>
          <t>流</t>
        </is>
      </c>
      <c r="C36" s="47" t="inlineStr">
        <is>
          <t>F24</t>
        </is>
      </c>
      <c r="D36" s="47" t="inlineStr">
        <is>
          <t>SRC-XLS-OLD</t>
        </is>
      </c>
      <c r="E36" s="47" t="inlineStr">
        <is>
          <t>SPI!I50</t>
        </is>
      </c>
      <c r="F36" s="47" t="inlineStr">
        <is>
          <t>Tap water（Overview）</t>
        </is>
      </c>
      <c r="G36" s="47" t="n">
        <v>16.50355593</v>
      </c>
      <c r="H36" s="47" t="inlineStr">
        <is>
          <t>kg/kg</t>
        </is>
      </c>
      <c r="I36" s="47" t="inlineStr">
        <is>
          <t>SPI</t>
        </is>
      </c>
      <c r="J36" s="47" t="inlineStr">
        <is>
          <t>SPI Overview 公式</t>
        </is>
      </c>
      <c r="K36" s="47" t="inlineStr">
        <is>
          <t>UNSPECIFIED</t>
        </is>
      </c>
      <c r="L36" s="47" t="inlineStr"/>
      <c r="M36" s="47" t="inlineStr"/>
      <c r="N36" s="47" t="inlineStr"/>
      <c r="O36" s="47" t="inlineStr"/>
      <c r="P36" s="47" t="inlineStr"/>
      <c r="Q36" s="47" t="inlineStr">
        <is>
          <t>不可直接比较</t>
        </is>
      </c>
      <c r="R36" s="47" t="inlineStr">
        <is>
          <t>已排除</t>
        </is>
      </c>
      <c r="S36" s="47" t="inlineStr">
        <is>
          <t>D04</t>
        </is>
      </c>
      <c r="T36" s="47" t="inlineStr">
        <is>
          <t>与 Formulas_SPI 口径不一致且受 0.93 影响（Q04）</t>
        </is>
      </c>
    </row>
    <row r="37" ht="25" customHeight="1">
      <c r="A37" s="47" t="inlineStr">
        <is>
          <t>CAD-33</t>
        </is>
      </c>
      <c r="B37" s="47" t="inlineStr">
        <is>
          <t>流</t>
        </is>
      </c>
      <c r="C37" s="47" t="inlineStr">
        <is>
          <t>F27</t>
        </is>
      </c>
      <c r="D37" s="47" t="inlineStr">
        <is>
          <t>SRC-XLS-OLD</t>
        </is>
      </c>
      <c r="E37" s="47" t="inlineStr">
        <is>
          <t>SPI!H43</t>
        </is>
      </c>
      <c r="F37" s="47" t="inlineStr">
        <is>
          <t>Price ratio protein:spent flakes</t>
        </is>
      </c>
      <c r="G37" s="47" t="n">
        <v>23.4</v>
      </c>
      <c r="H37" s="47" t="inlineStr">
        <is>
          <t>-</t>
        </is>
      </c>
      <c r="I37" s="47" t="inlineStr">
        <is>
          <t>-</t>
        </is>
      </c>
      <c r="J37" s="47" t="inlineStr">
        <is>
          <t>Agrifootprint 适配质量平衡</t>
        </is>
      </c>
      <c r="K37" s="47" t="inlineStr">
        <is>
          <t>FIXED</t>
        </is>
      </c>
      <c r="L37" s="47" t="inlineStr">
        <is>
          <t>23.4</t>
        </is>
      </c>
      <c r="M37" s="47" t="inlineStr"/>
      <c r="N37" s="47" t="inlineStr"/>
      <c r="O37" s="47" t="inlineStr"/>
      <c r="P37" s="47" t="inlineStr"/>
      <c r="Q37" s="47" t="inlineStr">
        <is>
          <t>方法证据</t>
        </is>
      </c>
      <c r="R37" s="47" t="inlineStr">
        <is>
          <t>已排除</t>
        </is>
      </c>
      <c r="S37" s="47" t="inlineStr">
        <is>
          <t>D02</t>
        </is>
      </c>
      <c r="T37" s="47" t="inlineStr">
        <is>
          <t>economic allocation 参数，CLCA 不采用</t>
        </is>
      </c>
    </row>
    <row r="38" ht="25" customHeight="1">
      <c r="A38" s="47" t="inlineStr">
        <is>
          <t>CAD-34</t>
        </is>
      </c>
      <c r="B38" s="47" t="inlineStr">
        <is>
          <t>流</t>
        </is>
      </c>
      <c r="C38" s="47" t="inlineStr">
        <is>
          <t>F25</t>
        </is>
      </c>
      <c r="D38" s="47" t="inlineStr">
        <is>
          <t>SRC-XLS-OLD</t>
        </is>
      </c>
      <c r="E38" s="47" t="inlineStr">
        <is>
          <t>Cleaning and dehulling!D26</t>
        </is>
      </c>
      <c r="F38" s="47" t="inlineStr">
        <is>
          <t>Price ratio soy:hulls</t>
        </is>
      </c>
      <c r="G38" s="47" t="n">
        <v>1</v>
      </c>
      <c r="H38" s="47" t="inlineStr">
        <is>
          <t>-</t>
        </is>
      </c>
      <c r="I38" s="47" t="inlineStr">
        <is>
          <t>-</t>
        </is>
      </c>
      <c r="J38" s="47" t="inlineStr">
        <is>
          <t>无信息假设</t>
        </is>
      </c>
      <c r="K38" s="47" t="inlineStr">
        <is>
          <t>FIXED</t>
        </is>
      </c>
      <c r="L38" s="47" t="inlineStr">
        <is>
          <t>1</t>
        </is>
      </c>
      <c r="M38" s="47" t="inlineStr"/>
      <c r="N38" s="47" t="inlineStr"/>
      <c r="O38" s="47" t="inlineStr"/>
      <c r="P38" s="47" t="inlineStr"/>
      <c r="Q38" s="47" t="inlineStr">
        <is>
          <t>方法证据</t>
        </is>
      </c>
      <c r="R38" s="47" t="inlineStr">
        <is>
          <t>已排除</t>
        </is>
      </c>
      <c r="S38" s="47" t="inlineStr">
        <is>
          <t>D02</t>
        </is>
      </c>
      <c r="T38" s="47" t="inlineStr"/>
    </row>
    <row r="39" ht="25" customHeight="1">
      <c r="A39" s="47" t="inlineStr">
        <is>
          <t>CAD-35</t>
        </is>
      </c>
      <c r="B39" s="47" t="inlineStr">
        <is>
          <t>流</t>
        </is>
      </c>
      <c r="C39" s="47" t="inlineStr">
        <is>
          <t>F26</t>
        </is>
      </c>
      <c r="D39" s="47" t="inlineStr">
        <is>
          <t>SRC-XLS-OLD</t>
        </is>
      </c>
      <c r="E39" s="47" t="inlineStr">
        <is>
          <t>Defatting!D53</t>
        </is>
      </c>
      <c r="F39" s="47" t="inlineStr">
        <is>
          <t>Price ratio meal:oil</t>
        </is>
      </c>
      <c r="G39" s="47" t="n">
        <v>0.5154639175</v>
      </c>
      <c r="H39" s="47" t="inlineStr">
        <is>
          <t>-</t>
        </is>
      </c>
      <c r="I39" s="47" t="inlineStr">
        <is>
          <t>-</t>
        </is>
      </c>
      <c r="J39" s="47" t="inlineStr">
        <is>
          <t>Agrifootprint</t>
        </is>
      </c>
      <c r="K39" s="47" t="inlineStr">
        <is>
          <t>TRIANGLE</t>
        </is>
      </c>
      <c r="L39" s="47" t="inlineStr"/>
      <c r="M39" s="47" t="inlineStr"/>
      <c r="N39" s="47" t="inlineStr"/>
      <c r="O39" s="47" t="inlineStr"/>
      <c r="P39" s="47" t="inlineStr"/>
      <c r="Q39" s="47" t="inlineStr">
        <is>
          <t>方法证据</t>
        </is>
      </c>
      <c r="R39" s="47" t="inlineStr">
        <is>
          <t>已排除</t>
        </is>
      </c>
      <c r="S39" s="47" t="inlineStr">
        <is>
          <t>D02</t>
        </is>
      </c>
      <c r="T39" s="47" t="inlineStr"/>
    </row>
    <row r="40" ht="25" customHeight="1">
      <c r="A40" s="47" t="inlineStr">
        <is>
          <t>CAD-F17</t>
        </is>
      </c>
      <c r="B40" s="47" t="inlineStr">
        <is>
          <t>流</t>
        </is>
      </c>
      <c r="C40" s="47" t="inlineStr">
        <is>
          <t>F17</t>
        </is>
      </c>
      <c r="D40" s="47" t="inlineStr">
        <is>
          <t>SRC-CLCA-AUDIT</t>
        </is>
      </c>
      <c r="E40" s="47" t="inlineStr">
        <is>
          <t>Selected_Foreground_LCI!L17</t>
        </is>
      </c>
      <c r="F40" s="47" t="inlineStr">
        <is>
          <t>SPI 模块总电力（当前版/runtime）</t>
        </is>
      </c>
      <c r="G40" s="47" t="n">
        <v>0.06299951783</v>
      </c>
      <c r="H40" s="47" t="inlineStr">
        <is>
          <t>kWh/kg</t>
        </is>
      </c>
      <c r="I40" s="47" t="inlineStr">
        <is>
          <t>SPI</t>
        </is>
      </c>
      <c r="J40" s="47" t="inlineStr">
        <is>
          <t>(1)版 L6=J6/K6 与 runtime 一致</t>
        </is>
      </c>
      <c r="K40" s="47" t="inlineStr">
        <is>
          <t>FIXED</t>
        </is>
      </c>
      <c r="L40" s="47" t="inlineStr">
        <is>
          <t>0.06299951783</t>
        </is>
      </c>
      <c r="M40" s="47" t="inlineStr"/>
      <c r="N40" s="47" t="inlineStr"/>
      <c r="O40" s="47" t="inlineStr"/>
      <c r="P40" s="47" t="inlineStr"/>
      <c r="Q40" s="47" t="inlineStr">
        <is>
          <t>可直接比较</t>
        </is>
      </c>
      <c r="R40" s="47" t="inlineStr">
        <is>
          <t>采用</t>
        </is>
      </c>
      <c r="S40" s="47" t="inlineStr">
        <is>
          <t>D01</t>
        </is>
      </c>
      <c r="T40" s="47" t="inlineStr"/>
    </row>
    <row r="41">
      <c r="A41" t="inlineStr">
        <is>
          <t>CAD-F18</t>
        </is>
      </c>
      <c r="B41" t="inlineStr">
        <is>
          <t>流</t>
        </is>
      </c>
      <c r="C41" t="inlineStr">
        <is>
          <t>F18</t>
        </is>
      </c>
      <c r="D41" t="inlineStr">
        <is>
          <t>SRC-XLS-OLD</t>
        </is>
      </c>
      <c r="E41" t="inlineStr">
        <is>
          <t>SPI!I49</t>
        </is>
      </c>
      <c r="F41" t="inlineStr">
        <is>
          <t>SPI 模块总热量</t>
        </is>
      </c>
      <c r="G41" t="n">
        <v>27.50083262</v>
      </c>
      <c r="H41" t="inlineStr">
        <is>
          <t>MJ/kg</t>
        </is>
      </c>
      <c r="I41" t="inlineStr">
        <is>
          <t>SPI</t>
        </is>
      </c>
      <c r="J41" t="inlineStr">
        <is>
          <t>加热+喷雾+闪蒸</t>
        </is>
      </c>
      <c r="K41" t="inlineStr">
        <is>
          <t>FIXED</t>
        </is>
      </c>
      <c r="L41" t="inlineStr">
        <is>
          <t>27.50083262</t>
        </is>
      </c>
      <c r="Q41" t="inlineStr">
        <is>
          <t>可直接比较</t>
        </is>
      </c>
      <c r="R41" t="inlineStr">
        <is>
          <t>采用</t>
        </is>
      </c>
      <c r="S41" t="inlineStr">
        <is>
          <t>D01</t>
        </is>
      </c>
    </row>
    <row r="42">
      <c r="A42" t="inlineStr">
        <is>
          <t>CAD-F21</t>
        </is>
      </c>
      <c r="B42" t="inlineStr">
        <is>
          <t>流</t>
        </is>
      </c>
      <c r="C42" t="inlineStr">
        <is>
          <t>F21</t>
        </is>
      </c>
      <c r="D42" t="inlineStr">
        <is>
          <t>SRC-XLS-OLD</t>
        </is>
      </c>
      <c r="E42" t="inlineStr">
        <is>
          <t>Formulas_SPI!D22 wastewater</t>
        </is>
      </c>
      <c r="F42" t="inlineStr">
        <is>
          <t>whey/wastewater runtime exchange</t>
        </is>
      </c>
      <c r="G42" t="n">
        <v>11.490193</v>
      </c>
      <c r="H42" t="inlineStr">
        <is>
          <t>kg</t>
        </is>
      </c>
      <c r="I42" t="inlineStr">
        <is>
          <t>SPI</t>
        </is>
      </c>
      <c r="J42" t="inlineStr">
        <is>
          <t>WF×P25×P10；runtime=0.01149019 m³</t>
        </is>
      </c>
      <c r="K42" t="inlineStr">
        <is>
          <t>FIXED</t>
        </is>
      </c>
      <c r="L42" t="inlineStr">
        <is>
          <t>11.490193</t>
        </is>
      </c>
      <c r="Q42" t="inlineStr">
        <is>
          <t>可直接比较</t>
        </is>
      </c>
      <c r="R42" t="inlineStr">
        <is>
          <t>采用</t>
        </is>
      </c>
      <c r="S42" t="inlineStr">
        <is>
          <t>D03</t>
        </is>
      </c>
      <c r="T42" t="inlineStr">
        <is>
          <t>受 Q03/Q04 影响，图中加*</t>
        </is>
      </c>
    </row>
    <row r="43">
      <c r="A43" t="inlineStr">
        <is>
          <t>CAD-36</t>
        </is>
      </c>
      <c r="B43" t="inlineStr">
        <is>
          <t>参数</t>
        </is>
      </c>
      <c r="C43" t="inlineStr">
        <is>
          <t>P29</t>
        </is>
      </c>
      <c r="D43" t="inlineStr">
        <is>
          <t>SRC-CLCA-AUDIT</t>
        </is>
      </c>
      <c r="E43" t="inlineStr">
        <is>
          <t>Selected_Foreground_LCI!L17 备注</t>
        </is>
      </c>
      <c r="F43" t="inlineStr">
        <is>
          <t>SPI电力内部拆分（离心85.7%/泵13.0%/压榨1.2%）</t>
        </is>
      </c>
      <c r="G43" t="n">
        <v>0.857</v>
      </c>
      <c r="H43" t="inlineStr">
        <is>
          <t>fraction</t>
        </is>
      </c>
      <c r="I43" t="inlineStr">
        <is>
          <t>SPI 模块电耗</t>
        </is>
      </c>
      <c r="J43" t="inlineStr">
        <is>
          <t>原 Excel N 列公式拆分</t>
        </is>
      </c>
      <c r="K43" t="inlineStr">
        <is>
          <t>UNSPECIFIED</t>
        </is>
      </c>
      <c r="Q43" t="inlineStr">
        <is>
          <t>仅解释</t>
        </is>
      </c>
      <c r="R43" t="inlineStr">
        <is>
          <t>已排除</t>
        </is>
      </c>
      <c r="T43" t="inlineStr">
        <is>
          <t>模块内部热点说明，不作为独立 exchange</t>
        </is>
      </c>
    </row>
  </sheetData>
  <dataValidations count="2">
    <dataValidation sqref="Q5:Q200" showDropDown="0" showInputMessage="0" showErrorMessage="0" allowBlank="0" type="list">
      <formula1>"可比,条件可比,不可直接比较,待核实"</formula1>
    </dataValidation>
    <dataValidation sqref="R5:R200" showDropDown="0" showInputMessage="0" showErrorMessage="0" allowBlank="0" type="list">
      <formula1>"候选,采用,排除,待决"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5" customWidth="1" min="4" max="4"/>
    <col width="2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0" customWidth="1" min="11" max="11"/>
  </cols>
  <sheetData>
    <row r="1">
      <c r="A1" s="50" t="inlineStr">
        <is>
          <t>参数覆盖度矩阵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</row>
    <row r="3">
      <c r="A3" t="inlineStr">
        <is>
          <t>每行一项操作—参数/流需求；只记录证据与可用层级，不重复填写模型数值。</t>
        </is>
      </c>
    </row>
    <row r="4">
      <c r="A4" s="49" t="inlineStr">
        <is>
          <t>覆盖ID</t>
        </is>
      </c>
      <c r="B4" s="49" t="inlineStr">
        <is>
          <t>模块/过程ID</t>
        </is>
      </c>
      <c r="C4" s="49" t="inlineStr">
        <is>
          <t>操作ID</t>
        </is>
      </c>
      <c r="D4" s="49" t="inlineStr">
        <is>
          <t>操作名称</t>
        </is>
      </c>
      <c r="E4" s="49" t="inlineStr">
        <is>
          <t>所需参数/流ID</t>
        </is>
      </c>
      <c r="F4" s="49" t="inlineStr">
        <is>
          <t>数据层级</t>
        </is>
      </c>
      <c r="G4" s="49" t="inlineStr">
        <is>
          <t>证据来源ID</t>
        </is>
      </c>
      <c r="H4" s="49" t="inlineStr">
        <is>
          <t>覆盖状态</t>
        </is>
      </c>
      <c r="I4" s="49" t="inlineStr">
        <is>
          <t>关联问题ID</t>
        </is>
      </c>
      <c r="J4" s="49" t="inlineStr">
        <is>
          <t>绘图可用层级</t>
        </is>
      </c>
      <c r="K4" s="49" t="inlineStr">
        <is>
          <t>备注</t>
        </is>
      </c>
    </row>
    <row r="5">
      <c r="A5" t="inlineStr">
        <is>
          <t>CV-01</t>
        </is>
      </c>
      <c r="B5" t="inlineStr">
        <is>
          <t>M1</t>
        </is>
      </c>
      <c r="C5" t="inlineStr">
        <is>
          <t>M1-OP1</t>
        </is>
      </c>
      <c r="D5" t="inlineStr">
        <is>
          <t>清理、破碎与脱壳</t>
        </is>
      </c>
      <c r="E5" t="inlineStr">
        <is>
          <t>P15 豆皮系数</t>
        </is>
      </c>
      <c r="F5" t="inlineStr">
        <is>
          <t>操作级直接给出</t>
        </is>
      </c>
      <c r="G5" t="inlineStr">
        <is>
          <t>SRC-XLS-OLD</t>
        </is>
      </c>
      <c r="H5" t="inlineStr">
        <is>
          <t>已覆盖</t>
        </is>
      </c>
      <c r="J5" t="inlineStr">
        <is>
          <t>操作定量</t>
        </is>
      </c>
    </row>
    <row r="6">
      <c r="A6" t="inlineStr">
        <is>
          <t>CV-02</t>
        </is>
      </c>
      <c r="B6" t="inlineStr">
        <is>
          <t>M1</t>
        </is>
      </c>
      <c r="C6" t="inlineStr">
        <is>
          <t>M1-OP1</t>
        </is>
      </c>
      <c r="D6" t="inlineStr">
        <is>
          <t>清理、破碎与脱壳</t>
        </is>
      </c>
      <c r="E6" t="inlineStr">
        <is>
          <t>P16 脱皮电耗</t>
        </is>
      </c>
      <c r="F6" t="inlineStr">
        <is>
          <t>操作级直接给出</t>
        </is>
      </c>
      <c r="G6" t="inlineStr">
        <is>
          <t>SRC-XLS-OLD</t>
        </is>
      </c>
      <c r="H6" t="inlineStr">
        <is>
          <t>已覆盖</t>
        </is>
      </c>
      <c r="J6" t="inlineStr">
        <is>
          <t>操作定量</t>
        </is>
      </c>
      <c r="K6" t="inlineStr">
        <is>
          <t>23.4 kJ/kg 脱皮大豆</t>
        </is>
      </c>
    </row>
    <row r="7">
      <c r="A7" t="inlineStr">
        <is>
          <t>CV-03</t>
        </is>
      </c>
      <c r="B7" t="inlineStr">
        <is>
          <t>M1</t>
        </is>
      </c>
      <c r="C7" t="inlineStr">
        <is>
          <t>M1-OP1</t>
        </is>
      </c>
      <c r="D7" t="inlineStr">
        <is>
          <t>清理、破碎与脱壳</t>
        </is>
      </c>
      <c r="E7" t="inlineStr">
        <is>
          <t>F01 大豆原料/F02 脱皮大豆</t>
        </is>
      </c>
      <c r="F7" t="inlineStr">
        <is>
          <t>公式唯一拆出</t>
        </is>
      </c>
      <c r="G7" t="inlineStr">
        <is>
          <t>SRC-XLS-OLD;SRC-CLCA-AUDIT</t>
        </is>
      </c>
      <c r="H7" t="inlineStr">
        <is>
          <t>已覆盖</t>
        </is>
      </c>
      <c r="J7" t="inlineStr">
        <is>
          <t>操作定量</t>
        </is>
      </c>
      <c r="K7" t="inlineStr">
        <is>
          <t>逐级反推公式</t>
        </is>
      </c>
    </row>
    <row r="8">
      <c r="A8" t="inlineStr">
        <is>
          <t>CV-04</t>
        </is>
      </c>
      <c r="B8" t="inlineStr">
        <is>
          <t>M2</t>
        </is>
      </c>
      <c r="C8" t="inlineStr">
        <is>
          <t>M2-OP1</t>
        </is>
      </c>
      <c r="D8" t="inlineStr">
        <is>
          <t>调质</t>
        </is>
      </c>
      <c r="E8" t="inlineStr">
        <is>
          <t>电耗/热耗</t>
        </is>
      </c>
      <c r="F8" t="inlineStr">
        <is>
          <t>过程/模块总量</t>
        </is>
      </c>
      <c r="G8" t="inlineStr">
        <is>
          <t>SRC-XLS-OLD</t>
        </is>
      </c>
      <c r="H8" t="inlineStr">
        <is>
          <t>已覆盖</t>
        </is>
      </c>
      <c r="J8" t="inlineStr">
        <is>
          <t>模块总量</t>
        </is>
      </c>
      <c r="K8" t="inlineStr">
        <is>
          <t>Sheehan 占比 4.2%/22.6% 仅解释</t>
        </is>
      </c>
    </row>
    <row r="9">
      <c r="A9" t="inlineStr">
        <is>
          <t>CV-05</t>
        </is>
      </c>
      <c r="B9" t="inlineStr">
        <is>
          <t>M2</t>
        </is>
      </c>
      <c r="C9" t="inlineStr">
        <is>
          <t>M2-OP2</t>
        </is>
      </c>
      <c r="D9" t="inlineStr">
        <is>
          <t>压片</t>
        </is>
      </c>
      <c r="E9" t="inlineStr">
        <is>
          <t>电耗/热耗</t>
        </is>
      </c>
      <c r="F9" t="inlineStr">
        <is>
          <t>过程/模块总量</t>
        </is>
      </c>
      <c r="G9" t="inlineStr">
        <is>
          <t>SRC-XLS-OLD</t>
        </is>
      </c>
      <c r="H9" t="inlineStr">
        <is>
          <t>已覆盖</t>
        </is>
      </c>
      <c r="J9" t="inlineStr">
        <is>
          <t>模块总量</t>
        </is>
      </c>
      <c r="K9" t="inlineStr">
        <is>
          <t>Sheehan 占比 51.9% 仅解释</t>
        </is>
      </c>
    </row>
    <row r="10">
      <c r="A10" t="inlineStr">
        <is>
          <t>CV-06</t>
        </is>
      </c>
      <c r="B10" t="inlineStr">
        <is>
          <t>M2</t>
        </is>
      </c>
      <c r="C10" t="inlineStr">
        <is>
          <t>M2-OP3</t>
        </is>
      </c>
      <c r="D10" t="inlineStr">
        <is>
          <t>正己烷萃取</t>
        </is>
      </c>
      <c r="E10" t="inlineStr">
        <is>
          <t>P09–P14 物料与能耗参数</t>
        </is>
      </c>
      <c r="F10" t="inlineStr">
        <is>
          <t>操作级直接给出</t>
        </is>
      </c>
      <c r="G10" t="inlineStr">
        <is>
          <t>SRC-XLS-OLD</t>
        </is>
      </c>
      <c r="H10" t="inlineStr">
        <is>
          <t>已覆盖</t>
        </is>
      </c>
      <c r="J10" t="inlineStr">
        <is>
          <t>模块定量</t>
        </is>
      </c>
      <c r="K10" t="inlineStr">
        <is>
          <t>参数为模块级代表值</t>
        </is>
      </c>
    </row>
    <row r="11">
      <c r="A11" t="inlineStr">
        <is>
          <t>CV-07</t>
        </is>
      </c>
      <c r="B11" t="inlineStr">
        <is>
          <t>M2</t>
        </is>
      </c>
      <c r="C11" t="inlineStr">
        <is>
          <t>M2-OP3</t>
        </is>
      </c>
      <c r="D11" t="inlineStr">
        <is>
          <t>正己烷萃取</t>
        </is>
      </c>
      <c r="E11" t="inlineStr">
        <is>
          <t>F09 white flakes/F10 豆油</t>
        </is>
      </c>
      <c r="F11" t="inlineStr">
        <is>
          <t>公式唯一拆出</t>
        </is>
      </c>
      <c r="G11" t="inlineStr">
        <is>
          <t>SRC-XLS-OLD</t>
        </is>
      </c>
      <c r="H11" t="inlineStr">
        <is>
          <t>已覆盖</t>
        </is>
      </c>
      <c r="J11" t="inlineStr">
        <is>
          <t>操作定量</t>
        </is>
      </c>
    </row>
    <row r="12">
      <c r="A12" t="inlineStr">
        <is>
          <t>CV-08</t>
        </is>
      </c>
      <c r="B12" t="inlineStr">
        <is>
          <t>M2</t>
        </is>
      </c>
      <c r="C12" t="inlineStr">
        <is>
          <t>M2-OP3</t>
        </is>
      </c>
      <c r="D12" t="inlineStr">
        <is>
          <t>正己烷萃取</t>
        </is>
      </c>
      <c r="E12" t="inlineStr">
        <is>
          <t>质量闭合差额 0.03 kg/kg</t>
        </is>
      </c>
      <c r="F12" t="inlineStr">
        <is>
          <t>缺失</t>
        </is>
      </c>
      <c r="G12" t="inlineStr">
        <is>
          <t>SRC-MB</t>
        </is>
      </c>
      <c r="H12" t="inlineStr">
        <is>
          <t>缺口</t>
        </is>
      </c>
      <c r="I12" t="inlineStr">
        <is>
          <t>Q09</t>
        </is>
      </c>
      <c r="J12" t="inlineStr">
        <is>
          <t>仅拓扑</t>
        </is>
      </c>
      <c r="K12" t="inlineStr">
        <is>
          <t>成分/含水率/去向不明</t>
        </is>
      </c>
    </row>
    <row r="13">
      <c r="A13" t="inlineStr">
        <is>
          <t>CV-09</t>
        </is>
      </c>
      <c r="B13" t="inlineStr">
        <is>
          <t>M3</t>
        </is>
      </c>
      <c r="C13" t="inlineStr">
        <is>
          <t>M3-OP1</t>
        </is>
      </c>
      <c r="D13" t="inlineStr">
        <is>
          <t>浸泡 / 碱溶</t>
        </is>
      </c>
      <c r="E13" t="inlineStr">
        <is>
          <t>F13 步骤加水/P07 溶剂比</t>
        </is>
      </c>
      <c r="F13" t="inlineStr">
        <is>
          <t>操作级直接给出</t>
        </is>
      </c>
      <c r="G13" t="inlineStr">
        <is>
          <t>SRC-XLS-OLD</t>
        </is>
      </c>
      <c r="H13" t="inlineStr">
        <is>
          <t>已覆盖</t>
        </is>
      </c>
      <c r="J13" t="inlineStr">
        <is>
          <t>操作定量</t>
        </is>
      </c>
      <c r="K13" t="inlineStr">
        <is>
          <t>非外部新鲜水</t>
        </is>
      </c>
    </row>
    <row r="14">
      <c r="A14" t="inlineStr">
        <is>
          <t>CV-10</t>
        </is>
      </c>
      <c r="B14" t="inlineStr">
        <is>
          <t>M3</t>
        </is>
      </c>
      <c r="C14" t="inlineStr">
        <is>
          <t>M3-OP1</t>
        </is>
      </c>
      <c r="D14" t="inlineStr">
        <is>
          <t>浸泡 / 碱溶</t>
        </is>
      </c>
      <c r="E14" t="inlineStr">
        <is>
          <t>F15 NaOH 10%</t>
        </is>
      </c>
      <c r="F14" t="inlineStr">
        <is>
          <t>操作级直接给出</t>
        </is>
      </c>
      <c r="G14" t="inlineStr">
        <is>
          <t>SRC-XLS-OLD</t>
        </is>
      </c>
      <c r="H14" t="inlineStr">
        <is>
          <t>部分覆盖</t>
        </is>
      </c>
      <c r="I14" t="inlineStr">
        <is>
          <t>Q05</t>
        </is>
      </c>
      <c r="J14" t="inlineStr">
        <is>
          <t>操作定量（加*）</t>
        </is>
      </c>
      <c r="K14" t="inlineStr">
        <is>
          <t>最终 kg 映射待核</t>
        </is>
      </c>
    </row>
    <row r="15">
      <c r="A15" t="inlineStr">
        <is>
          <t>CV-11</t>
        </is>
      </c>
      <c r="B15" t="inlineStr">
        <is>
          <t>M3</t>
        </is>
      </c>
      <c r="C15" t="inlineStr">
        <is>
          <t>M3-OP2</t>
        </is>
      </c>
      <c r="D15" t="inlineStr">
        <is>
          <t>离心 1</t>
        </is>
      </c>
      <c r="E15" t="inlineStr">
        <is>
          <t>P17 离心电耗/P23 质量流/P28 密度</t>
        </is>
      </c>
      <c r="F15" t="inlineStr">
        <is>
          <t>公式唯一拆出</t>
        </is>
      </c>
      <c r="G15" t="inlineStr">
        <is>
          <t>SRC-XLS-OLD</t>
        </is>
      </c>
      <c r="H15" t="inlineStr">
        <is>
          <t>已覆盖</t>
        </is>
      </c>
      <c r="J15" t="inlineStr">
        <is>
          <t>模块定量</t>
        </is>
      </c>
      <c r="K15" t="inlineStr">
        <is>
          <t>含 0.93 链（Q03）</t>
        </is>
      </c>
    </row>
    <row r="16">
      <c r="A16" t="inlineStr">
        <is>
          <t>CV-12</t>
        </is>
      </c>
      <c r="B16" t="inlineStr">
        <is>
          <t>M3</t>
        </is>
      </c>
      <c r="C16" t="inlineStr">
        <is>
          <t>M3-OP2</t>
        </is>
      </c>
      <c r="D16" t="inlineStr">
        <is>
          <t>离心 1</t>
        </is>
      </c>
      <c r="E16" t="inlineStr">
        <is>
          <t>豆渣支线质量（压榨/闪蒸）</t>
        </is>
      </c>
      <c r="F16" t="inlineStr">
        <is>
          <t>公式唯一拆出</t>
        </is>
      </c>
      <c r="G16" t="inlineStr">
        <is>
          <t>SRC-XLS-OLD</t>
        </is>
      </c>
      <c r="H16" t="inlineStr">
        <is>
          <t>已覆盖</t>
        </is>
      </c>
      <c r="J16" t="inlineStr">
        <is>
          <t>操作定量</t>
        </is>
      </c>
      <c r="K16" t="inlineStr">
        <is>
          <t>spent flakes 0.5449</t>
        </is>
      </c>
    </row>
    <row r="17">
      <c r="A17" t="inlineStr">
        <is>
          <t>CV-13</t>
        </is>
      </c>
      <c r="B17" t="inlineStr">
        <is>
          <t>M3</t>
        </is>
      </c>
      <c r="C17" t="inlineStr">
        <is>
          <t>M3-OP3</t>
        </is>
      </c>
      <c r="D17" t="inlineStr">
        <is>
          <t>离心 3</t>
        </is>
      </c>
      <c r="E17" t="inlineStr">
        <is>
          <t>F16 HCl 10%</t>
        </is>
      </c>
      <c r="F17" t="inlineStr">
        <is>
          <t>操作级直接给出</t>
        </is>
      </c>
      <c r="G17" t="inlineStr">
        <is>
          <t>SRC-XLS-OLD</t>
        </is>
      </c>
      <c r="H17" t="inlineStr">
        <is>
          <t>部分覆盖</t>
        </is>
      </c>
      <c r="I17" t="inlineStr">
        <is>
          <t>Q05</t>
        </is>
      </c>
      <c r="J17" t="inlineStr">
        <is>
          <t>操作定量（加*）</t>
        </is>
      </c>
    </row>
    <row r="18">
      <c r="A18" t="inlineStr">
        <is>
          <t>CV-14</t>
        </is>
      </c>
      <c r="B18" t="inlineStr">
        <is>
          <t>M3</t>
        </is>
      </c>
      <c r="C18" t="inlineStr">
        <is>
          <t>M3-OP4</t>
        </is>
      </c>
      <c r="D18" t="inlineStr">
        <is>
          <t>离心 4</t>
        </is>
      </c>
      <c r="E18" t="inlineStr">
        <is>
          <t>F21 whey-rich 水相</t>
        </is>
      </c>
      <c r="F18" t="inlineStr">
        <is>
          <t>公式唯一拆出</t>
        </is>
      </c>
      <c r="G18" t="inlineStr">
        <is>
          <t>SRC-XLS-OLD</t>
        </is>
      </c>
      <c r="H18" t="inlineStr">
        <is>
          <t>部分覆盖</t>
        </is>
      </c>
      <c r="I18" t="inlineStr">
        <is>
          <t>Q03;Q04</t>
        </is>
      </c>
      <c r="J18" t="inlineStr">
        <is>
          <t>模块定量（加*）</t>
        </is>
      </c>
      <c r="K18" t="inlineStr">
        <is>
          <t>不称严格总废水</t>
        </is>
      </c>
    </row>
    <row r="19">
      <c r="A19" t="inlineStr">
        <is>
          <t>CV-15</t>
        </is>
      </c>
      <c r="B19" t="inlineStr">
        <is>
          <t>M3</t>
        </is>
      </c>
      <c r="C19" t="inlineStr">
        <is>
          <t>M3-OP5</t>
        </is>
      </c>
      <c r="D19" t="inlineStr">
        <is>
          <t>离心 2</t>
        </is>
      </c>
      <c r="E19" t="inlineStr">
        <is>
          <t>F14 洗涤加水</t>
        </is>
      </c>
      <c r="F19" t="inlineStr">
        <is>
          <t>操作级直接给出</t>
        </is>
      </c>
      <c r="G19" t="inlineStr">
        <is>
          <t>SRC-XLS-OLD</t>
        </is>
      </c>
      <c r="H19" t="inlineStr">
        <is>
          <t>已覆盖</t>
        </is>
      </c>
      <c r="J19" t="inlineStr">
        <is>
          <t>操作定量</t>
        </is>
      </c>
    </row>
    <row r="20">
      <c r="A20" t="inlineStr">
        <is>
          <t>CV-16</t>
        </is>
      </c>
      <c r="B20" t="inlineStr">
        <is>
          <t>M3</t>
        </is>
      </c>
      <c r="C20" t="inlineStr">
        <is>
          <t>M3-OP6</t>
        </is>
      </c>
      <c r="D20" t="inlineStr">
        <is>
          <t>压榨</t>
        </is>
      </c>
      <c r="E20" t="inlineStr">
        <is>
          <t>P18 压榨电耗</t>
        </is>
      </c>
      <c r="F20" t="inlineStr">
        <is>
          <t>公式唯一拆出</t>
        </is>
      </c>
      <c r="G20" t="inlineStr">
        <is>
          <t>SRC-XLS-OLD</t>
        </is>
      </c>
      <c r="H20" t="inlineStr">
        <is>
          <t>已覆盖</t>
        </is>
      </c>
      <c r="J20" t="inlineStr">
        <is>
          <t>模块定量</t>
        </is>
      </c>
      <c r="K20" t="inlineStr">
        <is>
          <t>约 1.2% 模块电耗</t>
        </is>
      </c>
    </row>
    <row r="21">
      <c r="A21" t="inlineStr">
        <is>
          <t>CV-17</t>
        </is>
      </c>
      <c r="B21" t="inlineStr">
        <is>
          <t>M3</t>
        </is>
      </c>
      <c r="C21" t="inlineStr">
        <is>
          <t>M3-OP7</t>
        </is>
      </c>
      <c r="D21" t="inlineStr">
        <is>
          <t>闪蒸干燥</t>
        </is>
      </c>
      <c r="E21" t="inlineStr">
        <is>
          <t>P20 闪蒸热耗/F23 水蒸气</t>
        </is>
      </c>
      <c r="F21" t="inlineStr">
        <is>
          <t>公式唯一拆出</t>
        </is>
      </c>
      <c r="G21" t="inlineStr">
        <is>
          <t>SRC-XLS-OLD</t>
        </is>
      </c>
      <c r="H21" t="inlineStr">
        <is>
          <t>已覆盖</t>
        </is>
      </c>
      <c r="J21" t="inlineStr">
        <is>
          <t>操作定量</t>
        </is>
      </c>
    </row>
    <row r="22">
      <c r="A22" t="inlineStr">
        <is>
          <t>CV-18</t>
        </is>
      </c>
      <c r="B22" t="inlineStr">
        <is>
          <t>M3</t>
        </is>
      </c>
      <c r="C22" t="inlineStr">
        <is>
          <t>M3-OP8</t>
        </is>
      </c>
      <c r="D22" t="inlineStr">
        <is>
          <t>喷雾干燥</t>
        </is>
      </c>
      <c r="E22" t="inlineStr">
        <is>
          <t>P21/P22 热耗与进料 DM/F22 水蒸气</t>
        </is>
      </c>
      <c r="F22" t="inlineStr">
        <is>
          <t>公式唯一拆出</t>
        </is>
      </c>
      <c r="G22" t="inlineStr">
        <is>
          <t>SRC-XLS-OLD</t>
        </is>
      </c>
      <c r="H22" t="inlineStr">
        <is>
          <t>已覆盖</t>
        </is>
      </c>
      <c r="J22" t="inlineStr">
        <is>
          <t>操作定量</t>
        </is>
      </c>
    </row>
    <row r="23">
      <c r="A23" t="inlineStr">
        <is>
          <t>CV-19</t>
        </is>
      </c>
      <c r="B23" t="inlineStr">
        <is>
          <t>M3</t>
        </is>
      </c>
      <c r="C23" t="inlineStr">
        <is>
          <t>M3-OP1~OP8</t>
        </is>
      </c>
      <c r="D23" t="inlineStr">
        <is>
          <t>模块级</t>
        </is>
      </c>
      <c r="E23" t="inlineStr">
        <is>
          <t>F17 电/F18 热</t>
        </is>
      </c>
      <c r="F23" t="inlineStr">
        <is>
          <t>过程/模块总量</t>
        </is>
      </c>
      <c r="G23" t="inlineStr">
        <is>
          <t>SRC-XLS-OLD;SRC-CLCA-AUDIT</t>
        </is>
      </c>
      <c r="H23" t="inlineStr">
        <is>
          <t>已覆盖</t>
        </is>
      </c>
      <c r="J23" t="inlineStr">
        <is>
          <t>模块总量</t>
        </is>
      </c>
      <c r="K23" t="inlineStr">
        <is>
          <t>0.0630 kWh/27.5008 MJ</t>
        </is>
      </c>
    </row>
    <row r="24">
      <c r="A24" t="inlineStr">
        <is>
          <t>CV-20</t>
        </is>
      </c>
      <c r="B24" t="inlineStr">
        <is>
          <t>M3</t>
        </is>
      </c>
      <c r="C24" t="inlineStr">
        <is>
          <t>M3-ALL</t>
        </is>
      </c>
      <c r="D24" t="inlineStr">
        <is>
          <t>外部新鲜水</t>
        </is>
      </c>
      <c r="E24" t="inlineStr">
        <is>
          <t>F24</t>
        </is>
      </c>
      <c r="F24" t="inlineStr">
        <is>
          <t>缺失</t>
        </is>
      </c>
      <c r="G24" t="inlineStr">
        <is>
          <t>SRC-XLS-OLD</t>
        </is>
      </c>
      <c r="H24" t="inlineStr">
        <is>
          <t>缺口</t>
        </is>
      </c>
      <c r="I24" t="inlineStr">
        <is>
          <t>Q04</t>
        </is>
      </c>
      <c r="J24" t="inlineStr">
        <is>
          <t>仅拓扑</t>
        </is>
      </c>
      <c r="K24" t="inlineStr">
        <is>
          <t>口径不一致，暂不锁定</t>
        </is>
      </c>
    </row>
    <row r="25">
      <c r="A25" t="inlineStr">
        <is>
          <t>CV-21</t>
        </is>
      </c>
      <c r="B25" t="inlineStr">
        <is>
          <t>PS-SPI</t>
        </is>
      </c>
      <c r="C25" t="inlineStr">
        <is>
          <t>PS-OP0</t>
        </is>
      </c>
      <c r="D25" t="inlineStr">
        <is>
          <t>cultivation/运输（背景）</t>
        </is>
      </c>
      <c r="E25" t="inlineStr">
        <is>
          <t>背景接口</t>
        </is>
      </c>
      <c r="F25" t="inlineStr">
        <is>
          <t>仅拓扑</t>
        </is>
      </c>
      <c r="G25" t="inlineStr">
        <is>
          <t>SRC-PDF;SRC-VC</t>
        </is>
      </c>
      <c r="H25" t="inlineStr">
        <is>
          <t>已覆盖</t>
        </is>
      </c>
      <c r="J25" t="inlineStr">
        <is>
          <t>仅拓扑</t>
        </is>
      </c>
      <c r="K25" t="inlineStr">
        <is>
          <t>Agrifootprint 背景，不属于前景</t>
        </is>
      </c>
    </row>
    <row r="26">
      <c r="A26" t="inlineStr">
        <is>
          <t>CV-22</t>
        </is>
      </c>
      <c r="B26" t="inlineStr">
        <is>
          <t>M2</t>
        </is>
      </c>
      <c r="C26" t="inlineStr">
        <is>
          <t>M2-OP4</t>
        </is>
      </c>
      <c r="D26" t="inlineStr">
        <is>
          <t>脱溶</t>
        </is>
      </c>
      <c r="E26" t="inlineStr">
        <is>
          <t>F09 白豆片输出</t>
        </is>
      </c>
      <c r="F26" t="inlineStr">
        <is>
          <t>仅拓扑</t>
        </is>
      </c>
      <c r="G26" t="inlineStr">
        <is>
          <t>SRC-PDF;SRC-DRAW-CONFIRM</t>
        </is>
      </c>
      <c r="H26" t="inlineStr">
        <is>
          <t>已覆盖</t>
        </is>
      </c>
      <c r="I26" t="inlineStr">
        <is>
          <t>仅拓扑</t>
        </is>
      </c>
      <c r="J26" t="inlineStr">
        <is>
          <t>仅拓扑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2" customWidth="1" min="4" max="4"/>
    <col width="32" customWidth="1" min="5" max="5"/>
    <col width="22" customWidth="1" min="6" max="6"/>
    <col width="32" customWidth="1" min="7" max="7"/>
    <col width="32" customWidth="1" min="8" max="8"/>
    <col width="22" customWidth="1" min="9" max="9"/>
  </cols>
  <sheetData>
    <row r="1">
      <c r="A1" s="50" t="inlineStr">
        <is>
          <t>待补参数清单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</row>
    <row r="3">
      <c r="A3" t="inlineStr">
        <is>
          <t>按操作索引未解决的参数缺口；与问题与决策表用问题ID关联，不作为新数值来源。</t>
        </is>
      </c>
    </row>
    <row r="4">
      <c r="A4" s="49" t="inlineStr">
        <is>
          <t>待补ID</t>
        </is>
      </c>
      <c r="B4" s="49" t="inlineStr">
        <is>
          <t>归属操作ID</t>
        </is>
      </c>
      <c r="C4" s="49" t="inlineStr">
        <is>
          <t>参数/流ID</t>
        </is>
      </c>
      <c r="D4" s="49" t="inlineStr">
        <is>
          <t>缺口原因</t>
        </is>
      </c>
      <c r="E4" s="49" t="inlineStr">
        <is>
          <t>影响范围</t>
        </is>
      </c>
      <c r="F4" s="49" t="inlineStr">
        <is>
          <t>关联问题ID</t>
        </is>
      </c>
      <c r="G4" s="49" t="inlineStr">
        <is>
          <t>建议补充行动</t>
        </is>
      </c>
      <c r="H4" s="49" t="inlineStr">
        <is>
          <t>用户决定</t>
        </is>
      </c>
      <c r="I4" s="49" t="inlineStr">
        <is>
          <t>状态</t>
        </is>
      </c>
    </row>
    <row r="5">
      <c r="A5" t="inlineStr">
        <is>
          <t>G-01</t>
        </is>
      </c>
      <c r="B5" t="inlineStr">
        <is>
          <t>M3-OP4</t>
        </is>
      </c>
      <c r="C5" t="inlineStr">
        <is>
          <t>F24</t>
        </is>
      </c>
      <c r="D5" t="inlineStr">
        <is>
          <t>Overview 与 Formulas_SPI 口径不一致，且受 0.93/0.88 影响</t>
        </is>
      </c>
      <c r="E5" t="inlineStr">
        <is>
          <t>M3 外部 fresh water exchange 无法锁定</t>
        </is>
      </c>
      <c r="F5" t="inlineStr">
        <is>
          <t>Q04</t>
        </is>
      </c>
      <c r="G5" t="inlineStr">
        <is>
          <t>重构完整水衡算（原料自带水—步骤加水—回用—水相输出—蒸发—产品含水）</t>
        </is>
      </c>
      <c r="H5" t="inlineStr">
        <is>
          <t>外部水 exchange 已锁定为 16.98（F24），图面同步完成</t>
        </is>
      </c>
      <c r="I5" t="inlineStr">
        <is>
          <t>已关闭</t>
        </is>
      </c>
    </row>
    <row r="6">
      <c r="A6" t="inlineStr">
        <is>
          <t>G-02</t>
        </is>
      </c>
      <c r="B6" t="inlineStr">
        <is>
          <t>M3-OP2</t>
        </is>
      </c>
      <c r="C6" t="inlineStr">
        <is>
          <t>P23;P24;P25;P28</t>
        </is>
      </c>
      <c r="D6" t="inlineStr">
        <is>
          <t>0.93 硬编码依赖链未重算</t>
        </is>
      </c>
      <c r="E6" t="inlineStr">
        <is>
          <t>whey、密度、离心电耗、干物质平衡</t>
        </is>
      </c>
      <c r="F6" t="inlineStr">
        <is>
          <t>Q03</t>
        </is>
      </c>
      <c r="G6" t="inlineStr">
        <is>
          <t>建立 0.88 统一情景对照并重算依赖链</t>
        </is>
      </c>
      <c r="H6" t="inlineStr">
        <is>
          <t>下一阶段做 0.88 统一情景对照并重算依赖链（同 Q03 用户决定）</t>
        </is>
      </c>
      <c r="I6" t="inlineStr">
        <is>
          <t>已决定-待执行</t>
        </is>
      </c>
    </row>
    <row r="7">
      <c r="A7" t="inlineStr">
        <is>
          <t>G-03</t>
        </is>
      </c>
      <c r="B7" t="inlineStr">
        <is>
          <t>M3-OP3</t>
        </is>
      </c>
      <c r="C7" t="inlineStr">
        <is>
          <t>F15;F16</t>
        </is>
      </c>
      <c r="D7" t="inlineStr">
        <is>
          <t>缺密度/浓度换算链</t>
        </is>
      </c>
      <c r="E7" t="inlineStr">
        <is>
          <t>NaOH/HCl 最终 kg exchange</t>
        </is>
      </c>
      <c r="F7" t="inlineStr">
        <is>
          <t>Q05</t>
        </is>
      </c>
      <c r="G7" t="inlineStr">
        <is>
          <t>核对背景数据库 reference product 并补齐换算</t>
        </is>
      </c>
      <c r="H7" t="inlineStr">
        <is>
          <t>背景数据库映射时补齐密度/浓度换算（同 Q05 用户决定）</t>
        </is>
      </c>
      <c r="I7" t="inlineStr">
        <is>
          <t>已决定-待执行</t>
        </is>
      </c>
    </row>
    <row r="8">
      <c r="A8" t="inlineStr">
        <is>
          <t>G-04</t>
        </is>
      </c>
      <c r="B8" t="inlineStr">
        <is>
          <t>M2-OP3</t>
        </is>
      </c>
      <c r="C8" t="inlineStr">
        <is>
          <t>F12</t>
        </is>
      </c>
      <c r="D8" t="inlineStr">
        <is>
          <t>排放介质未定</t>
        </is>
      </c>
      <c r="E8" t="inlineStr">
        <is>
          <t>hexane emission compartment</t>
        </is>
      </c>
      <c r="F8" t="inlineStr">
        <is>
          <t>Q06</t>
        </is>
      </c>
      <c r="G8" t="inlineStr">
        <is>
          <t>背景数据库映射时确定 compartment</t>
        </is>
      </c>
      <c r="H8" t="inlineStr">
        <is>
          <t>背景数据库映射时确定排放介质 compartment（同 Q06 用户决定）</t>
        </is>
      </c>
      <c r="I8" t="inlineStr">
        <is>
          <t>已决定-待执行</t>
        </is>
      </c>
    </row>
    <row r="9">
      <c r="A9" t="inlineStr">
        <is>
          <t>G-05</t>
        </is>
      </c>
      <c r="B9" t="inlineStr">
        <is>
          <t>M2-OP3</t>
        </is>
      </c>
      <c r="C9" t="inlineStr">
        <is>
          <t>P08;P14</t>
        </is>
      </c>
      <c r="D9" t="inlineStr">
        <is>
          <t>脱脂 0.03 kg/kg 差额成分不明</t>
        </is>
      </c>
      <c r="E9" t="inlineStr">
        <is>
          <t>M2 物理闭合</t>
        </is>
      </c>
      <c r="F9" t="inlineStr">
        <is>
          <t>Q09</t>
        </is>
      </c>
      <c r="G9" t="inlineStr">
        <is>
          <t>查文献/作者核实差额成分、含水基准或比率来源</t>
        </is>
      </c>
      <c r="H9" t="inlineStr">
        <is>
          <t>按作者代表清单采用并在方法中说明，差额成分留待核实（同 Q09 用户决定）</t>
        </is>
      </c>
      <c r="I9" t="inlineStr">
        <is>
          <t>已决定-待执行</t>
        </is>
      </c>
    </row>
    <row r="10">
      <c r="A10" t="inlineStr">
        <is>
          <t>G-06</t>
        </is>
      </c>
      <c r="B10" t="inlineStr">
        <is>
          <t>PS-OP0</t>
        </is>
      </c>
      <c r="C10" t="inlineStr">
        <is>
          <t>SRC-XLS-OLD</t>
        </is>
      </c>
      <c r="D10" t="inlineStr">
        <is>
          <t>缺 (1) 版工作簿与 runtime 文件</t>
        </is>
      </c>
      <c r="E10" t="inlineStr">
        <is>
          <t>证据链完整性</t>
        </is>
      </c>
      <c r="F10" t="inlineStr">
        <is>
          <t>Q10</t>
        </is>
      </c>
      <c r="G10" t="inlineStr">
        <is>
          <t>请用户补充 SPI-Siegrist2026(1).xlsx 与 ppplca/stubs/Processing_data.xlsx</t>
        </is>
      </c>
      <c r="H10" t="inlineStr">
        <is>
          <t>无需用户提供：GitHub runtime 与官方 mmc2 已补齐证据链（Q10 已解决）</t>
        </is>
      </c>
      <c r="I10" t="inlineStr">
        <is>
          <t>已关闭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2026-09-26T14:23:50Z</dcterms:created>
  <dcterms:modified xmlns:dcterms="http://purl.org/dc/terms/" xmlns:xsi="http://www.w3.org/2001/XMLSchema-instance" xsi:type="dcterms:W3CDTF">2026-09-27T13:33:25Z</dcterms:modified>
</cp:coreProperties>
</file>