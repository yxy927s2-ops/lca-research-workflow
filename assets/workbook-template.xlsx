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66197cfdb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工作流总控" sheetId="1" r:id="R30263512ee704b40"/>
    <x:sheet xmlns:r="http://schemas.openxmlformats.org/officeDocument/2006/relationships" name="项目说明" sheetId="2" r:id="Rc5ef758e418849e0"/>
    <x:sheet xmlns:r="http://schemas.openxmlformats.org/officeDocument/2006/relationships" name="数据来源" sheetId="3" r:id="R3104ec30f2464770"/>
    <x:sheet xmlns:r="http://schemas.openxmlformats.org/officeDocument/2006/relationships" name="模型过程" sheetId="4" r:id="R06a8ef726551431c"/>
    <x:sheet xmlns:r="http://schemas.openxmlformats.org/officeDocument/2006/relationships" name="模型参数" sheetId="5" r:id="R514cfd5c1f954854"/>
    <x:sheet xmlns:r="http://schemas.openxmlformats.org/officeDocument/2006/relationships" name="模型流与公式" sheetId="6" r:id="Rcd46ba60271f4509"/>
    <x:sheet xmlns:r="http://schemas.openxmlformats.org/officeDocument/2006/relationships" name="核算检查" sheetId="7" r:id="R94569736d9f04bd9"/>
    <x:sheet xmlns:r="http://schemas.openxmlformats.org/officeDocument/2006/relationships" name="问题与决策" sheetId="8" r:id="Rda81833e9fb74937"/>
    <x:sheet xmlns:r="http://schemas.openxmlformats.org/officeDocument/2006/relationships" name="绘图确认" sheetId="9" r:id="R5a0958bf8447443a"/>
    <x:sheet xmlns:r="http://schemas.openxmlformats.org/officeDocument/2006/relationships" name="候选数据" sheetId="10" r:id="Rbf452c0079d04f53"/>
    <x:sheet xmlns:r="http://schemas.openxmlformats.org/officeDocument/2006/relationships" name="参数覆盖度矩阵" sheetId="11" r:id="Ra40d2a5b8abc4802"/>
    <x:sheet xmlns:r="http://schemas.openxmlformats.org/officeDocument/2006/relationships" name="待补参数清单" sheetId="12" r:id="R28407803ca00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1">
    <x:font>
      <x:sz val="11"/>
      <x:name val="Carlito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name val="Arial"/>
    </x:font>
    <x:font>
      <x:b/>
      <x:sz val="10"/>
      <x:color rgb="FF17324D"/>
      <x:name val="Arial"/>
    </x:font>
    <x:font>
      <x:sz val="10"/>
      <x:color rgb="FF243B53"/>
      <x:name val="Arial"/>
    </x:font>
    <x:font>
      <x:sz val="10"/>
      <x:color rgb="FF52657A"/>
      <x:name val="Arial"/>
    </x:font>
    <x:font>
      <x:b/>
      <x:sz val="15"/>
      <x:color rgb="FF17324D"/>
      <x:name val="Arial"/>
    </x:font>
    <x:font>
      <x:b/>
      <x:sz val="14"/>
      <x:color rgb="FF244265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1EFFB"/>
      </x:patternFill>
    </x:fill>
    <x:fill>
      <x:patternFill patternType="solid">
        <x:fgColor rgb="FFFFF4D6"/>
      </x:patternFill>
    </x:fill>
    <x:fill>
      <x:patternFill patternType="solid">
        <x:fgColor rgb="FF285B8C"/>
      </x:patternFill>
    </x:fill>
    <x:fill>
      <x:patternFill patternType="solid">
        <x:fgColor rgb="FFE9F5EC"/>
      </x:patternFill>
    </x:fill>
    <x:fill>
      <x:patternFill patternType="solid">
        <x:fgColor rgb="FF244265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0" fillId="0" borderId="4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2" borderId="5" xfId="0" applyNumberFormat="1" applyFont="1" applyFill="1" applyBorder="1"/>
    <x:xf numFmtId="0" fontId="5" fillId="4" borderId="5" xfId="0" applyNumberFormat="1" applyFont="1" applyFill="1" applyBorder="1"/>
    <x:xf numFmtId="0" fontId="0" fillId="5" borderId="5" xfId="0" applyNumberFormat="1" applyFont="1" applyFill="1" applyBorder="1"/>
    <x:xf numFmtId="0" fontId="0" fillId="0" borderId="5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1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CE4D6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0d3086fd04c21" /><Relationship Type="http://schemas.openxmlformats.org/officeDocument/2006/relationships/theme" Target="/xl/theme/theme1.xml" Id="R35a1e76823fb46ec" /><Relationship Type="http://schemas.openxmlformats.org/officeDocument/2006/relationships/sharedStrings" Target="/xl/sharedStrings.xml" Id="R8f94db2945b74450" /><Relationship Type="http://schemas.openxmlformats.org/officeDocument/2006/relationships/worksheet" Target="/xl/worksheets/sheet1.xml" Id="R30263512ee704b40" /><Relationship Type="http://schemas.openxmlformats.org/officeDocument/2006/relationships/worksheet" Target="/xl/worksheets/sheet2.xml" Id="Rc5ef758e418849e0" /><Relationship Type="http://schemas.openxmlformats.org/officeDocument/2006/relationships/worksheet" Target="/xl/worksheets/sheet3.xml" Id="R3104ec30f2464770" /><Relationship Type="http://schemas.openxmlformats.org/officeDocument/2006/relationships/worksheet" Target="/xl/worksheets/sheet4.xml" Id="R06a8ef726551431c" /><Relationship Type="http://schemas.openxmlformats.org/officeDocument/2006/relationships/worksheet" Target="/xl/worksheets/sheet5.xml" Id="R514cfd5c1f954854" /><Relationship Type="http://schemas.openxmlformats.org/officeDocument/2006/relationships/worksheet" Target="/xl/worksheets/sheet6.xml" Id="Rcd46ba60271f4509" /><Relationship Type="http://schemas.openxmlformats.org/officeDocument/2006/relationships/worksheet" Target="/xl/worksheets/sheet7.xml" Id="R94569736d9f04bd9" /><Relationship Type="http://schemas.openxmlformats.org/officeDocument/2006/relationships/worksheet" Target="/xl/worksheets/sheet8.xml" Id="Rda81833e9fb74937" /><Relationship Type="http://schemas.openxmlformats.org/officeDocument/2006/relationships/worksheet" Target="/xl/worksheets/sheet9.xml" Id="R5a0958bf8447443a" /><Relationship Type="http://schemas.openxmlformats.org/officeDocument/2006/relationships/worksheet" Target="/xl/worksheets/sheet10.xml" Id="Rbf452c0079d04f53" /><Relationship Type="http://schemas.openxmlformats.org/officeDocument/2006/relationships/worksheet" Target="/xl/worksheets/sheet11.xml" Id="Ra40d2a5b8abc4802" /><Relationship Type="http://schemas.openxmlformats.org/officeDocument/2006/relationships/worksheet" Target="/xl/worksheets/sheet12.xml" Id="R28407803ca004e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24" hidden="0" customWidth="1"/>
    <x:col min="4" max="4" width="24" hidden="0" customWidth="1"/>
    <x:col min="5" max="5" width="36" hidden="0" customWidth="1"/>
    <x:col min="6" max="6" width="15" hidden="0" customWidth="1"/>
    <x:col min="7" max="7" width="18" hidden="0" customWidth="1"/>
    <x:col min="8" max="8" width="18" hidden="0" customWidth="1"/>
    <x:col min="9" max="9" width="32" hidden="0" customWidth="1"/>
    <x:col min="11" max="11" width="20" hidden="0" customWidth="1"/>
    <x:col min="12" max="12" width="16" hidden="0" customWidth="1"/>
  </x:cols>
  <x:sheetData>
    <x:row r="1" ht="24" customHeight="1">
      <x:c r="A1" s="1" t="str">
        <x:v>前景清单与绘图工作流</x:v>
      </x:c>
      <x:c r="K1" s="21" t="str">
        <x:v>实时检查</x:v>
      </x:c>
      <x:c r="L1" s="21" t="str">
        <x:v>结果</x:v>
      </x:c>
    </x:row>
    <x:row r="2" ht="24" customHeight="1">
      <x:c r="A2" s="2" t="str">
        <x:v>数据功能按用户确认的文献清单工作流推进；闸门 B 确认冻结范围后，绘图功能另行启动。</x:v>
      </x:c>
      <x:c r="K2" s="22" t="str">
        <x:v>未解决问题</x:v>
      </x:c>
      <x:c r="L2" s="22" t="n">
        <x:f>COUNTIF('问题与决策'!$I$5:$I$204,"未解决")</x:f>
        <x:v>0</x:v>
      </x:c>
    </x:row>
    <x:row r="3">
      <x:c r="K3" s="22" t="str">
        <x:v>BLOCKED 检查</x:v>
      </x:c>
      <x:c r="L3" s="22" t="n">
        <x:f>COUNTIF('核算检查'!$K$5:$K$204,"BLOCKED")</x:f>
        <x:v>0</x:v>
      </x:c>
    </x:row>
    <x:row r="4" ht="34" customHeight="1">
      <x:c r="A4" s="14" t="str">
        <x:v>阶段</x:v>
      </x:c>
      <x:c r="B4" s="15" t="str">
        <x:v>任务</x:v>
      </x:c>
      <x:c r="C4" s="15" t="str">
        <x:v>输入</x:v>
      </x:c>
      <x:c r="D4" s="15" t="str">
        <x:v>输出</x:v>
      </x:c>
      <x:c r="E4" s="15" t="str">
        <x:v>完成条件</x:v>
      </x:c>
      <x:c r="F4" s="15" t="str">
        <x:v>状态</x:v>
      </x:c>
      <x:c r="G4" s="15" t="str">
        <x:v>负责人/确认人</x:v>
      </x:c>
      <x:c r="H4" s="15" t="str">
        <x:v>版本/日期</x:v>
      </x:c>
      <x:c r="I4" s="16" t="str">
        <x:v>备注</x:v>
      </x:c>
      <x:c r="K4" s="22" t="str">
        <x:v>数据功能确认</x:v>
      </x:c>
      <x:c r="L4" s="22" t="n">
        <x:f>COUNTIF('绘图确认'!$P$5:$P$204,"已确认")</x:f>
        <x:v>0</x:v>
      </x:c>
    </x:row>
    <x:row r="5">
      <x:c r="A5" s="18" t="str">
        <x:v>S01</x:v>
      </x:c>
      <x:c r="B5" s="18" t="str">
        <x:v>S1.1–S1.3 课题、文献与原始清单</x:v>
      </x:c>
      <x:c r="C5" s="18" t="str">
        <x:v>研究课题与候选来源</x:v>
      </x:c>
      <x:c r="D5" s="18" t="str">
        <x:v>课题摘要和原始清单核验</x:v>
      </x:c>
      <x:c r="E5" s="18" t="str">
        <x:v>C1 的完整指完整生命周期清单；缺文件已报告</x:v>
      </x:c>
      <x:c r="F5" s="18" t="str">
        <x:v>未开始</x:v>
      </x:c>
      <x:c r="G5" s="18"/>
      <x:c r="H5" s="18"/>
      <x:c r="I5" s="18"/>
      <x:c r="K5" s="22" t="str">
        <x:v>绘图功能入口</x:v>
      </x:c>
      <x:c r="L5" s="22" t="str">
        <x:f>IF(AND(L2=0,L3=0,L4&gt;0),"可进入","暂不可进入")</x:f>
        <x:v>暂不可进入</x:v>
      </x:c>
    </x:row>
    <x:row r="6">
      <x:c r="A6" s="18" t="str">
        <x:v>S02</x:v>
      </x:c>
      <x:c r="B6" s="18" t="str">
        <x:v>S1.4 双文献池分类</x:v>
      </x:c>
      <x:c r="C6" s="18" t="str">
        <x:v>来源文件及依赖</x:v>
      </x:c>
      <x:c r="D6" s="18" t="str">
        <x:v>完整清单池、参数选取池</x:v>
      </x:c>
      <x:c r="E6" s="18" t="str">
        <x:v>C2 完整清单池非空；一篇来源可兼任两池</x:v>
      </x:c>
      <x:c r="F6" s="18" t="str">
        <x:v>未开始</x:v>
      </x:c>
      <x:c r="G6" s="18"/>
      <x:c r="H6" s="18"/>
      <x:c r="I6" s="18"/>
    </x:row>
    <x:row r="7">
      <x:c r="A7" s="18" t="str">
        <x:v>S03</x:v>
      </x:c>
      <x:c r="B7" s="18" t="str">
        <x:v>S2.1 分文献整理方案</x:v>
      </x:c>
      <x:c r="C7" s="18" t="str">
        <x:v>候选来源与课题</x:v>
      </x:c>
      <x:c r="D7" s="18" t="str">
        <x:v>方法、边界与取数方案</x:v>
      </x:c>
      <x:c r="E7" s="18" t="str">
        <x:v>目标口径及前景/背景接口已说明</x:v>
      </x:c>
      <x:c r="F7" s="18" t="str">
        <x:v>未开始</x:v>
      </x:c>
      <x:c r="G7" s="18"/>
      <x:c r="H7" s="18"/>
      <x:c r="I7" s="18"/>
    </x:row>
    <x:row r="8">
      <x:c r="A8" s="18" t="str">
        <x:v>S04</x:v>
      </x:c>
      <x:c r="B8" s="18" t="str">
        <x:v>S2.2–S2.3 框架选择与闸门A</x:v>
      </x:c>
      <x:c r="C8" s="18" t="str">
        <x:v>完整清单文献池</x:v>
      </x:c>
      <x:c r="D8" s="18" t="str">
        <x:v>框架文献及单元操作结构</x:v>
      </x:c>
      <x:c r="E8" s="18" t="str">
        <x:v>用户确认框架；否决理由及候选处理留痕</x:v>
      </x:c>
      <x:c r="F8" s="18" t="str">
        <x:v>未开始</x:v>
      </x:c>
      <x:c r="G8" s="18"/>
      <x:c r="H8" s="18"/>
      <x:c r="I8" s="18"/>
    </x:row>
    <x:row r="9">
      <x:c r="A9" s="18" t="str">
        <x:v>S05</x:v>
      </x:c>
      <x:c r="B9" s="18" t="str">
        <x:v>S3.1–S3.3 基准、最小黑箱与覆盖度</x:v>
      </x:c>
      <x:c r="C9" s="18" t="str">
        <x:v>框架文献与附件</x:v>
      </x:c>
      <x:c r="D9" s="18" t="str">
        <x:v>模块划分和参数覆盖度矩阵</x:v>
      </x:c>
      <x:c r="E9" s="18" t="str">
        <x:v>功能单位、边界、操作粒度及缺口已登记</x:v>
      </x:c>
      <x:c r="F9" s="18" t="str">
        <x:v>未开始</x:v>
      </x:c>
      <x:c r="G9" s="18"/>
      <x:c r="H9" s="18"/>
      <x:c r="I9" s="18"/>
    </x:row>
    <x:row r="10">
      <x:c r="A10" s="18" t="str">
        <x:v>S06</x:v>
      </x:c>
      <x:c r="B10" s="18" t="str">
        <x:v>S3.4 全部流识别</x:v>
      </x:c>
      <x:c r="C10" s="18" t="str">
        <x:v>模块与操作结构</x:v>
      </x:c>
      <x:c r="D10" s="18" t="str">
        <x:v>输入、输出、内部转移和循环流</x:v>
      </x:c>
      <x:c r="E10" s="18" t="str">
        <x:v>逐流端点、方向与边界已登记</x:v>
      </x:c>
      <x:c r="F10" s="18" t="str">
        <x:v>未开始</x:v>
      </x:c>
      <x:c r="G10" s="18"/>
      <x:c r="H10" s="18"/>
      <x:c r="I10" s="18"/>
    </x:row>
    <x:row r="11">
      <x:c r="A11" s="18" t="str">
        <x:v>S07</x:v>
      </x:c>
      <x:c r="B11" s="18" t="str">
        <x:v>D1、S3.5–S3.7 公式溯源与逐流卡</x:v>
      </x:c>
      <x:c r="C11" s="18" t="str">
        <x:v>来源参数、公式和流</x:v>
      </x:c>
      <x:c r="D11" s="18" t="str">
        <x:v>采用参数、流及公式依赖</x:v>
      </x:c>
      <x:c r="E11" s="18" t="str">
        <x:v>公式递归到输入参数；流卡有证据和稳定ID</x:v>
      </x:c>
      <x:c r="F11" s="18" t="str">
        <x:v>未开始</x:v>
      </x:c>
      <x:c r="G11" s="18"/>
      <x:c r="H11" s="18"/>
      <x:c r="I11" s="18"/>
    </x:row>
    <x:row r="12">
      <x:c r="A12" s="18" t="str">
        <x:v>S08</x:v>
      </x:c>
      <x:c r="B12" s="18" t="str">
        <x:v>QC 清单复核</x:v>
      </x:c>
      <x:c r="C12" s="18" t="str">
        <x:v>参数、公式、流与覆盖矩阵</x:v>
      </x:c>
      <x:c r="D12" s="18" t="str">
        <x:v>核算检查与问题标记</x:v>
      </x:c>
      <x:c r="E12" s="18" t="str">
        <x:v>复查仍有问题已及时向用户报告并记录决定</x:v>
      </x:c>
      <x:c r="F12" s="18" t="str">
        <x:v>未开始</x:v>
      </x:c>
      <x:c r="G12" s="18"/>
      <x:c r="H12" s="18"/>
      <x:c r="I12" s="18"/>
    </x:row>
    <x:row r="13">
      <x:c r="A13" s="18" t="str">
        <x:v>S09</x:v>
      </x:c>
      <x:c r="B13" s="18" t="str">
        <x:v>S4.1 汇报与闸门B</x:v>
      </x:c>
      <x:c r="C13" s="18" t="str">
        <x:v>模块化清单、覆盖度、问题</x:v>
      </x:c>
      <x:c r="D13" s="18" t="str">
        <x:v>Excel与待补参数清单</x:v>
      </x:c>
      <x:c r="E13" s="18" t="str">
        <x:v>用户确认清单、待补项及可冻结范围</x:v>
      </x:c>
      <x:c r="F13" s="18" t="str">
        <x:v>未开始</x:v>
      </x:c>
      <x:c r="G13" s="18"/>
      <x:c r="H13" s="18"/>
      <x:c r="I13" s="18"/>
    </x:row>
    <x:row r="14">
      <x:c r="A14" s="43" t="str">
        <x:v>S10</x:v>
      </x:c>
      <x:c r="B14" s="43" t="str">
        <x:v>绘图功能内容蓝图</x:v>
      </x:c>
      <x:c r="C14" s="43" t="str">
        <x:v>冻结 Excel</x:v>
      </x:c>
      <x:c r="D14" s="43" t="str">
        <x:v>绘图确认</x:v>
      </x:c>
      <x:c r="E14" s="43" t="str">
        <x:v>显示决定经用户另行确认</x:v>
      </x:c>
      <x:c r="F14" s="18" t="str">
        <x:v>未开始</x:v>
      </x:c>
      <x:c r="G14" s="18"/>
      <x:c r="H14" s="18"/>
      <x:c r="I14" s="18"/>
    </x:row>
    <x:row r="15">
      <x:c r="A15" s="43" t="str">
        <x:v>S11</x:v>
      </x:c>
      <x:c r="B15" s="43" t="str">
        <x:v>Draw.io 绘制复检</x:v>
      </x:c>
      <x:c r="C15" s="43" t="str">
        <x:v>已确认规格</x:v>
      </x:c>
      <x:c r="D15" s="43" t="str">
        <x:v>原生 .drawio</x:v>
      </x:c>
      <x:c r="E15" s="43" t="str">
        <x:v>结构、内容与渲染检查通过</x:v>
      </x:c>
      <x:c r="F15" s="18" t="str">
        <x:v>未开始</x:v>
      </x:c>
      <x:c r="G15" s="18"/>
      <x:c r="H15" s="18"/>
      <x:c r="I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</x:row>
  </x:sheetData>
  <x:dataValidations count="1">
    <x:dataValidation type="list" sqref="F5:F13">
      <x:formula1>"未开始,进行中,待确认,已完成,已回退"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8" hidden="0" customWidth="1"/>
  </x:cols>
  <x:sheetData>
    <x:row r="1">
      <x:c r="A1" s="1" t="str">
        <x:v>项目说明</x:v>
      </x:c>
    </x:row>
    <x:row r="3">
      <x:c r="A3" s="26" t="str">
        <x:v>字段</x:v>
      </x:c>
      <x:c r="B3" s="26" t="str">
        <x:v>填写值</x:v>
      </x:c>
      <x:c r="C3" s="26" t="str">
        <x:v>说明</x:v>
      </x:c>
    </x:row>
    <x:row r="4">
      <x:c r="A4" s="27" t="str">
        <x:v>项目编号</x:v>
      </x:c>
      <x:c r="B4" s="28"/>
      <x:c r="C4" s="29" t="str">
        <x:v>稳定工作编号</x:v>
      </x:c>
    </x:row>
    <x:row r="5">
      <x:c r="A5" s="27" t="str">
        <x:v>目标来源范围</x:v>
      </x:c>
      <x:c r="B5" s="28"/>
      <x:c r="C5" s="29" t="str">
        <x:v>从完整清单文献池选择框架；没有候选则补充审查，不自动纯建模</x:v>
      </x:c>
    </x:row>
    <x:row r="6">
      <x:c r="A6" s="27" t="str">
        <x:v>目标产品系统</x:v>
      </x:c>
      <x:c r="B6" s="28"/>
      <x:c r="C6" s="29"/>
    </x:row>
    <x:row r="7">
      <x:c r="A7" s="27" t="str">
        <x:v>产品名称</x:v>
      </x:c>
      <x:c r="B7" s="28"/>
      <x:c r="C7" s="29"/>
    </x:row>
    <x:row r="8">
      <x:c r="A8" s="27" t="str">
        <x:v>功能单位</x:v>
      </x:c>
      <x:c r="B8" s="28"/>
      <x:c r="C8" s="29"/>
    </x:row>
    <x:row r="9">
      <x:c r="A9" s="27" t="str">
        <x:v>系统边界</x:v>
      </x:c>
      <x:c r="B9" s="28"/>
      <x:c r="C9" s="29"/>
    </x:row>
    <x:row r="10">
      <x:c r="A10" s="27" t="str">
        <x:v>建模模式</x:v>
      </x:c>
      <x:c r="B10" s="28"/>
      <x:c r="C10" s="29" t="str">
        <x:v>用户确认目标 ALCA 或 CLCA；不得由来源自动代填</x:v>
      </x:c>
    </x:row>
    <x:row r="11">
      <x:c r="A11" s="27" t="str">
        <x:v>背景数据库类型</x:v>
      </x:c>
      <x:c r="B11" s="28"/>
      <x:c r="C11" s="29" t="str">
        <x:v>按目标研究记录背景数据库及版本</x:v>
      </x:c>
    </x:row>
    <x:row r="12">
      <x:c r="A12" s="27" t="str">
        <x:v>分配政策</x:v>
      </x:c>
      <x:c r="B12" s="28"/>
      <x:c r="C12" s="29" t="str">
        <x:v>物理流与 ALCA 分配或 CLCA 替代处理分开</x:v>
      </x:c>
    </x:row>
    <x:row r="13">
      <x:c r="A13" s="27" t="str">
        <x:v>副产品替代状态</x:v>
      </x:c>
      <x:c r="B13" s="28"/>
      <x:c r="C13" s="29" t="str">
        <x:v>副产品替代接口及供应商待目标研究确认</x:v>
      </x:c>
    </x:row>
    <x:row r="14">
      <x:c r="A14" s="27" t="str">
        <x:v>数值情景</x:v>
      </x:c>
      <x:c r="B14" s="28" t="str">
        <x:v>representative</x:v>
      </x:c>
      <x:c r="C14" s="29" t="str">
        <x:v>经确认的图示代表情景；不把全部代表值称为中位数</x:v>
      </x:c>
    </x:row>
    <x:row r="15">
      <x:c r="A15" s="27" t="str">
        <x:v>工作簿版本</x:v>
      </x:c>
      <x:c r="B15" s="28" t="str">
        <x:v>4.2</x:v>
      </x:c>
      <x:c r="C15" s="29"/>
    </x:row>
    <x:row r="16">
      <x:c r="A16" s="27" t="str">
        <x:v>数据功能状态</x:v>
      </x:c>
      <x:c r="B16" s="28" t="str">
        <x:v>draft</x:v>
      </x:c>
      <x:c r="C16" s="29"/>
    </x:row>
    <x:row r="17">
      <x:c r="A17" s="27" t="str">
        <x:v>冻结版本</x:v>
      </x:c>
      <x:c r="B17" s="28"/>
      <x:c r="C17" s="29" t="str">
        <x:v>数据功能确认后填写</x:v>
      </x:c>
    </x:row>
    <x:row r="18" ht="25" customHeight="1">
      <x:c r="A18" s="34" t="str">
        <x:v>工艺路线</x:v>
      </x:c>
      <x:c r="B18" s="36"/>
      <x:c r="C18" s="37" t="str">
        <x:v>当前工作流只允许经闸门A确认的主文献锚定路线</x:v>
      </x:c>
    </x:row>
    <x:row r="19" ht="25" customHeight="1">
      <x:c r="A19" s="34" t="str">
        <x:v>整链主来源体系ID</x:v>
      </x:c>
      <x:c r="B19" s="36"/>
      <x:c r="C19" s="37" t="str">
        <x:v>闸门A确认的框架来源体系ID</x:v>
      </x:c>
    </x:row>
    <x:row r="20" ht="25" customHeight="1">
      <x:c r="A20" s="34" t="str">
        <x:v>产品质量规格</x:v>
      </x:c>
      <x:c r="B20" s="36"/>
      <x:c r="C20" s="37" t="str">
        <x:v>纯度、湿干基或其他可比性条件</x:v>
      </x:c>
    </x:row>
    <x:row r="21" ht="25" customHeight="1">
      <x:c r="A21" s="34" t="str">
        <x:v>来源路线确认记录</x:v>
      </x:c>
      <x:c r="B21" s="36"/>
      <x:c r="C21" s="37" t="str">
        <x:v>关联问题与决策 ID 或确认日期</x:v>
      </x:c>
    </x:row>
    <x:row r="22" ht="25" customHeight="1">
      <x:c r="A22" s="34" t="str">
        <x:v>数据功能用户确认</x:v>
      </x:c>
      <x:c r="B22" s="36"/>
      <x:c r="C22" s="37" t="str">
        <x:v>未明确确认不得将工作簿标为冻结</x:v>
      </x:c>
    </x:row>
  </x:sheetData>
  <x:dataValidations count="2">
    <x:dataValidation type="list" sqref="B10:B11">
      <x:formula1>"consequential,attributional"</x:formula1>
    </x:dataValidation>
    <x:dataValidation type="list" sqref="B12">
      <x:formula1>"physical_unallocated,source_allocation,other"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8" hidden="0" customWidth="1"/>
    <x:col min="5" max="5" width="24" hidden="0" customWidth="1"/>
    <x:col min="6" max="6" width="42" hidden="0" customWidth="1"/>
    <x:col min="7" max="7" width="22" hidden="0" customWidth="1"/>
    <x:col min="8" max="8" width="18" hidden="0" customWidth="1"/>
    <x:col min="9" max="9" width="3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35" hidden="0" customWidth="1"/>
  </x:cols>
  <x:sheetData>
    <x:row r="1" ht="24" customHeight="1">
      <x:c r="A1" s="1" t="str">
        <x:v>数据来源</x:v>
      </x:c>
    </x:row>
    <x:row r="2" ht="24" customHeight="1">
      <x:c r="A2" s="2" t="str">
        <x:v>一行一个文件；候选值的页码/单元格见“候选数据”。同一研究的正文、附件和代码共用来源体系ID。</x:v>
      </x:c>
    </x:row>
    <x:row r="4" ht="28" customHeight="1">
      <x:c r="A4" s="14" t="str">
        <x:v>来源ID</x:v>
      </x:c>
      <x:c r="B4" s="15" t="str">
        <x:v>文件名</x:v>
      </x:c>
      <x:c r="C4" s="15" t="str">
        <x:v>来源类型</x:v>
      </x:c>
      <x:c r="D4" s="15" t="str">
        <x:v>页码/章节/工作表</x:v>
      </x:c>
      <x:c r="E4" s="15" t="str">
        <x:v>单元格/公式位置</x:v>
      </x:c>
      <x:c r="F4" s="15" t="str">
        <x:v>原始内容摘要</x:v>
      </x:c>
      <x:c r="G4" s="15" t="str">
        <x:v>适用对象ID</x:v>
      </x:c>
      <x:c r="H4" s="15" t="str">
        <x:v>证据状态</x:v>
      </x:c>
      <x:c r="I4" s="16" t="str">
        <x:v>备注</x:v>
      </x:c>
      <x:c r="J4" s="42" t="str">
        <x:v>来源体系ID</x:v>
      </x:c>
      <x:c r="K4" s="42" t="str">
        <x:v>文件角色</x:v>
      </x:c>
      <x:c r="L4" s="42" t="str">
        <x:v>来源独立性</x:v>
      </x:c>
      <x:c r="M4" s="42" t="str">
        <x:v>上游依赖</x:v>
      </x:c>
      <x:c r="N4" s="42" t="str">
        <x:v>原研究方法</x:v>
      </x:c>
      <x:c r="O4" s="42" t="str">
        <x:v>工艺覆盖</x:v>
      </x:c>
      <x:c r="P4" s="42" t="str">
        <x:v>原功能单位</x:v>
      </x:c>
      <x:c r="Q4" s="42" t="str">
        <x:v>详细提取状态</x:v>
      </x:c>
      <x:c r="R4" s="49" t="str">
        <x:v>文献池角色</x:v>
      </x:c>
      <x:c r="S4" s="49" t="str">
        <x:v>完整清单证据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</x:row>
  </x:sheetData>
  <x:dataValidations count="1">
    <x:dataValidation type="list" sqref="H5:H204">
      <x:formula1>"已读取,待核实,缺失,不适用"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12" hidden="0" customWidth="1"/>
    <x:col min="7" max="7" width="17" hidden="0" customWidth="1"/>
    <x:col min="8" max="8" width="48" hidden="0" customWidth="1"/>
    <x:col min="9" max="9" width="16" hidden="0" customWidth="1"/>
    <x:col min="10" max="10" width="20" hidden="0" customWidth="1"/>
    <x:col min="11" max="11" width="18" hidden="0" customWidth="1"/>
    <x:col min="12" max="12" width="20" hidden="0" customWidth="1"/>
    <x:col min="13" max="13" width="16" hidden="0" customWidth="1"/>
    <x:col min="14" max="14" width="34" hidden="0" customWidth="1"/>
    <x:col min="15" max="15" width="18" hidden="0" customWidth="1"/>
    <x:col min="16" max="16" width="18" hidden="0" customWidth="1"/>
  </x:cols>
  <x:sheetData>
    <x:row r="1" ht="24" customHeight="1">
      <x:c r="A1" s="1" t="str">
        <x:v>模型过程</x:v>
      </x:c>
    </x:row>
    <x:row r="2" ht="24" customHeight="1">
      <x:c r="A2" s="2" t="str">
        <x:v>以作者实际计算过程为主骨架；设备操作默认写入内部操作说明。</x:v>
      </x:c>
    </x:row>
    <x:row r="4" ht="28" customHeight="1">
      <x:c r="A4" s="14" t="str">
        <x:v>过程ID</x:v>
      </x:c>
      <x:c r="B4" s="15" t="str">
        <x:v>产品系统</x:v>
      </x:c>
      <x:c r="C4" s="15" t="str">
        <x:v>功能车间</x:v>
      </x:c>
      <x:c r="D4" s="15" t="str">
        <x:v>模型过程原名</x:v>
      </x:c>
      <x:c r="E4" s="15" t="str">
        <x:v>中文名称</x:v>
      </x:c>
      <x:c r="F4" s="15" t="str">
        <x:v>流程顺序</x:v>
      </x:c>
      <x:c r="G4" s="15" t="str">
        <x:v>模型粒度</x:v>
      </x:c>
      <x:c r="H4" s="15" t="str">
        <x:v>内部操作说明</x:v>
      </x:c>
      <x:c r="I4" s="15" t="str">
        <x:v>主支线角色</x:v>
      </x:c>
      <x:c r="J4" s="15" t="str">
        <x:v>来源ID</x:v>
      </x:c>
      <x:c r="K4" s="15" t="str">
        <x:v>模型采用状态</x:v>
      </x:c>
      <x:c r="L4" s="15" t="str">
        <x:v>图中展开方式</x:v>
      </x:c>
      <x:c r="M4" s="15" t="str">
        <x:v>确认状态</x:v>
      </x:c>
      <x:c r="N4" s="16" t="str">
        <x:v>备注</x:v>
      </x:c>
      <x:c r="O4" s="42" t="str">
        <x:v>工艺骨架依据</x:v>
      </x:c>
      <x:c r="P4" s="42" t="str">
        <x:v>骨架确认决策ID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</x:row>
  </x:sheetData>
  <x:dataValidations count="5">
    <x:dataValidation type="list" sqref="G5:G204">
      <x:formula1>"model_process,aggregate,subprocess,unknown"</x:formula1>
    </x:dataValidation>
    <x:dataValidation type="list" sqref="I5:I204">
      <x:formula1>"main,common,side,recycle,boundary,unknown"</x:formula1>
    </x:dataValidation>
    <x:dataValidation type="list" sqref="K5:K204">
      <x:formula1>"adopted,source_only,excluded,review"</x:formula1>
    </x:dataValidation>
    <x:dataValidation type="list" sqref="L5:L204">
      <x:formula1>"as_modelled,expand_confirmed,collapse_confirmed"</x:formula1>
    </x:dataValidation>
    <x:dataValidation type="list" sqref="M5:M204">
      <x:formula1>"待确认,已确认,不适用"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22" hidden="0" customWidth="1"/>
    <x:col min="5" max="5" width="3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20" hidden="0" customWidth="1"/>
    <x:col min="16" max="16" width="18" hidden="0" customWidth="1"/>
    <x:col min="17" max="17" width="24" hidden="0" customWidth="1"/>
    <x:col min="18" max="18" width="16" hidden="0" customWidth="1"/>
    <x:col min="19" max="19" width="34" hidden="0" customWidth="1"/>
    <x:col min="20" max="20" width="18" hidden="0" customWidth="1"/>
  </x:cols>
  <x:sheetData>
    <x:row r="1" ht="24" customHeight="1">
      <x:c r="A1" s="1" t="str">
        <x:v>模型参数</x:v>
      </x:c>
    </x:row>
    <x:row r="2" ht="24" customHeight="1">
      <x:c r="A2" s="2" t="str">
        <x:v>分布忠实来自原始数据；图示代表值与不确定性分布分开记录。</x:v>
      </x:c>
    </x:row>
    <x:row r="4" ht="28" customHeight="1">
      <x:c r="A4" s="14" t="str">
        <x:v>参数ID</x:v>
      </x:c>
      <x:c r="B4" s="15" t="str">
        <x:v>过程ID</x:v>
      </x:c>
      <x:c r="C4" s="15" t="str">
        <x:v>原始参数名</x:v>
      </x:c>
      <x:c r="D4" s="15" t="str">
        <x:v>中文名称</x:v>
      </x:c>
      <x:c r="E4" s="15" t="str">
        <x:v>物理意义</x:v>
      </x:c>
      <x:c r="F4" s="15" t="str">
        <x:v>单位</x:v>
      </x:c>
      <x:c r="G4" s="15" t="str">
        <x:v>分布类型</x:v>
      </x:c>
      <x:c r="H4" s="15" t="str">
        <x:v>最小值</x:v>
      </x:c>
      <x:c r="I4" s="15" t="str">
        <x:v>最大值</x:v>
      </x:c>
      <x:c r="J4" s="15" t="str">
        <x:v>中位数</x:v>
      </x:c>
      <x:c r="K4" s="15" t="str">
        <x:v>均值</x:v>
      </x:c>
      <x:c r="L4" s="15" t="str">
        <x:v>众数</x:v>
      </x:c>
      <x:c r="M4" s="15" t="str">
        <x:v>固定值</x:v>
      </x:c>
      <x:c r="N4" s="15" t="str">
        <x:v>图示代表值</x:v>
      </x:c>
      <x:c r="O4" s="15" t="str">
        <x:v>代表值规则</x:v>
      </x:c>
      <x:c r="P4" s="15" t="str">
        <x:v>来源ID</x:v>
      </x:c>
      <x:c r="Q4" s="15" t="str">
        <x:v>使用公式/流ID</x:v>
      </x:c>
      <x:c r="R4" s="15" t="str">
        <x:v>状态</x:v>
      </x:c>
      <x:c r="S4" s="16" t="str">
        <x:v>备注</x:v>
      </x:c>
      <x:c r="T4" s="42" t="str">
        <x:v>采用候选ID</x:v>
      </x:c>
    </x:row>
    <x:row r="5">
      <x:c r="A5" s="18"/>
      <x:c r="B5" s="18"/>
      <x:c r="C5" s="18"/>
      <x:c r="D5" s="18"/>
      <x:c r="E5" s="18"/>
      <x:c r="F5" s="18"/>
      <x:c r="G5" s="18"/>
      <x:c r="H5" s="30"/>
      <x:c r="I5" s="30"/>
      <x:c r="J5" s="30"/>
      <x:c r="K5" s="30"/>
      <x:c r="L5" s="30"/>
      <x:c r="M5" s="30"/>
      <x:c r="N5" s="31" t="str">
        <x:f>IF(A5="","",IF(G5="FIXED",M5,IF(G5="UNIFORM",IF(AND(ISNUMBER(H5),ISNUMBER(I5)),(H5+I5)/2,""),IF(G5="TRIANGLE",IF(ISNUMBER(L5),L5,IF(ISNUMBER(J5),J5,"")),IF(ISNUMBER(J5),J5,IF(ISNUMBER(K5),K5,""))))))</x:f>
      </x:c>
      <x:c r="O5" s="32" t="str">
        <x:f>IF(A5="","",IF(G5="FIXED","fixed",IF(G5="UNIFORM","midpoint_median",IF(G5="TRIANGLE",IF(ISNUMBER(L5),"mode",IF(ISNUMBER(J5),"source_median","missing")),IF(ISNUMBER(J5),"source_median",IF(ISNUMBER(K5),"source_mean","missing"))))))</x:f>
      </x:c>
      <x:c r="P5" s="18"/>
      <x:c r="Q5" s="18"/>
      <x:c r="R5" s="18"/>
      <x:c r="S5" s="18"/>
    </x:row>
    <x:row r="6">
      <x:c r="A6" s="18"/>
      <x:c r="B6" s="18"/>
      <x:c r="C6" s="18"/>
      <x:c r="D6" s="18"/>
      <x:c r="E6" s="18"/>
      <x:c r="F6" s="18"/>
      <x:c r="G6" s="18"/>
      <x:c r="H6" s="30"/>
      <x:c r="I6" s="30"/>
      <x:c r="J6" s="30"/>
      <x:c r="K6" s="30"/>
      <x:c r="L6" s="30"/>
      <x:c r="M6" s="30"/>
      <x:c r="N6" s="31" t="str">
        <x:f>IF(A6="","",IF(G6="FIXED",M6,IF(G6="UNIFORM",IF(AND(ISNUMBER(H6),ISNUMBER(I6)),(H6+I6)/2,""),IF(G6="TRIANGLE",IF(ISNUMBER(L6),L6,IF(ISNUMBER(J6),J6,"")),IF(ISNUMBER(J6),J6,IF(ISNUMBER(K6),K6,""))))))</x:f>
      </x:c>
      <x:c r="O6" s="32" t="str">
        <x:f>IF(A6="","",IF(G6="FIXED","fixed",IF(G6="UNIFORM","midpoint_median",IF(G6="TRIANGLE",IF(ISNUMBER(L6),"mode",IF(ISNUMBER(J6),"source_median","missing")),IF(ISNUMBER(J6),"source_median",IF(ISNUMBER(K6),"source_mean","missing"))))))</x:f>
      </x:c>
      <x:c r="P6" s="18"/>
      <x:c r="Q6" s="18"/>
      <x:c r="R6" s="18"/>
      <x:c r="S6" s="18"/>
    </x:row>
    <x:row r="7">
      <x:c r="A7" s="18"/>
      <x:c r="B7" s="18"/>
      <x:c r="C7" s="18"/>
      <x:c r="D7" s="18"/>
      <x:c r="E7" s="18"/>
      <x:c r="F7" s="18"/>
      <x:c r="G7" s="18"/>
      <x:c r="H7" s="30"/>
      <x:c r="I7" s="30"/>
      <x:c r="J7" s="30"/>
      <x:c r="K7" s="30"/>
      <x:c r="L7" s="30"/>
      <x:c r="M7" s="30"/>
      <x:c r="N7" s="31" t="str">
        <x:f>IF(A7="","",IF(G7="FIXED",M7,IF(G7="UNIFORM",IF(AND(ISNUMBER(H7),ISNUMBER(I7)),(H7+I7)/2,""),IF(G7="TRIANGLE",IF(ISNUMBER(L7),L7,IF(ISNUMBER(J7),J7,"")),IF(ISNUMBER(J7),J7,IF(ISNUMBER(K7),K7,""))))))</x:f>
      </x:c>
      <x:c r="O7" s="32" t="str">
        <x:f>IF(A7="","",IF(G7="FIXED","fixed",IF(G7="UNIFORM","midpoint_median",IF(G7="TRIANGLE",IF(ISNUMBER(L7),"mode",IF(ISNUMBER(J7),"source_median","missing")),IF(ISNUMBER(J7),"source_median",IF(ISNUMBER(K7),"source_mean","missing"))))))</x:f>
      </x:c>
      <x:c r="P7" s="18"/>
      <x:c r="Q7" s="18"/>
      <x:c r="R7" s="18"/>
      <x:c r="S7" s="18"/>
    </x:row>
    <x:row r="8">
      <x:c r="A8" s="18"/>
      <x:c r="B8" s="18"/>
      <x:c r="C8" s="18"/>
      <x:c r="D8" s="18"/>
      <x:c r="E8" s="18"/>
      <x:c r="F8" s="18"/>
      <x:c r="G8" s="18"/>
      <x:c r="H8" s="30"/>
      <x:c r="I8" s="30"/>
      <x:c r="J8" s="30"/>
      <x:c r="K8" s="30"/>
      <x:c r="L8" s="30"/>
      <x:c r="M8" s="30"/>
      <x:c r="N8" s="31" t="str">
        <x:f>IF(A8="","",IF(G8="FIXED",M8,IF(G8="UNIFORM",IF(AND(ISNUMBER(H8),ISNUMBER(I8)),(H8+I8)/2,""),IF(G8="TRIANGLE",IF(ISNUMBER(L8),L8,IF(ISNUMBER(J8),J8,"")),IF(ISNUMBER(J8),J8,IF(ISNUMBER(K8),K8,""))))))</x:f>
      </x:c>
      <x:c r="O8" s="32" t="str">
        <x:f>IF(A8="","",IF(G8="FIXED","fixed",IF(G8="UNIFORM","midpoint_median",IF(G8="TRIANGLE",IF(ISNUMBER(L8),"mode",IF(ISNUMBER(J8),"source_median","missing")),IF(ISNUMBER(J8),"source_median",IF(ISNUMBER(K8),"source_mean","missing"))))))</x:f>
      </x:c>
      <x:c r="P8" s="18"/>
      <x:c r="Q8" s="18"/>
      <x:c r="R8" s="18"/>
      <x:c r="S8" s="18"/>
    </x:row>
    <x:row r="9">
      <x:c r="A9" s="18"/>
      <x:c r="B9" s="18"/>
      <x:c r="C9" s="18"/>
      <x:c r="D9" s="18"/>
      <x:c r="E9" s="18"/>
      <x:c r="F9" s="18"/>
      <x:c r="G9" s="18"/>
      <x:c r="H9" s="30"/>
      <x:c r="I9" s="30"/>
      <x:c r="J9" s="30"/>
      <x:c r="K9" s="30"/>
      <x:c r="L9" s="30"/>
      <x:c r="M9" s="30"/>
      <x:c r="N9" s="31" t="str">
        <x:f>IF(A9="","",IF(G9="FIXED",M9,IF(G9="UNIFORM",IF(AND(ISNUMBER(H9),ISNUMBER(I9)),(H9+I9)/2,""),IF(G9="TRIANGLE",IF(ISNUMBER(L9),L9,IF(ISNUMBER(J9),J9,"")),IF(ISNUMBER(J9),J9,IF(ISNUMBER(K9),K9,""))))))</x:f>
      </x:c>
      <x:c r="O9" s="32" t="str">
        <x:f>IF(A9="","",IF(G9="FIXED","fixed",IF(G9="UNIFORM","midpoint_median",IF(G9="TRIANGLE",IF(ISNUMBER(L9),"mode",IF(ISNUMBER(J9),"source_median","missing")),IF(ISNUMBER(J9),"source_median",IF(ISNUMBER(K9),"source_mean","missing"))))))</x:f>
      </x:c>
      <x:c r="P9" s="18"/>
      <x:c r="Q9" s="18"/>
      <x:c r="R9" s="18"/>
      <x:c r="S9" s="18"/>
    </x:row>
    <x:row r="10">
      <x:c r="A10" s="18"/>
      <x:c r="B10" s="18"/>
      <x:c r="C10" s="18"/>
      <x:c r="D10" s="18"/>
      <x:c r="E10" s="18"/>
      <x:c r="F10" s="18"/>
      <x:c r="G10" s="18"/>
      <x:c r="H10" s="30"/>
      <x:c r="I10" s="30"/>
      <x:c r="J10" s="30"/>
      <x:c r="K10" s="30"/>
      <x:c r="L10" s="30"/>
      <x:c r="M10" s="30"/>
      <x:c r="N10" s="31" t="str">
        <x:f>IF(A10="","",IF(G10="FIXED",M10,IF(G10="UNIFORM",IF(AND(ISNUMBER(H10),ISNUMBER(I10)),(H10+I10)/2,""),IF(G10="TRIANGLE",IF(ISNUMBER(L10),L10,IF(ISNUMBER(J10),J10,"")),IF(ISNUMBER(J10),J10,IF(ISNUMBER(K10),K10,""))))))</x:f>
      </x:c>
      <x:c r="O10" s="32" t="str">
        <x:f>IF(A10="","",IF(G10="FIXED","fixed",IF(G10="UNIFORM","midpoint_median",IF(G10="TRIANGLE",IF(ISNUMBER(L10),"mode",IF(ISNUMBER(J10),"source_median","missing")),IF(ISNUMBER(J10),"source_median",IF(ISNUMBER(K10),"source_mean","missing"))))))</x:f>
      </x:c>
      <x:c r="P10" s="18"/>
      <x:c r="Q10" s="18"/>
      <x:c r="R10" s="18"/>
      <x:c r="S10" s="18"/>
    </x:row>
    <x:row r="11">
      <x:c r="A11" s="18"/>
      <x:c r="B11" s="18"/>
      <x:c r="C11" s="18"/>
      <x:c r="D11" s="18"/>
      <x:c r="E11" s="18"/>
      <x:c r="F11" s="18"/>
      <x:c r="G11" s="18"/>
      <x:c r="H11" s="30"/>
      <x:c r="I11" s="30"/>
      <x:c r="J11" s="30"/>
      <x:c r="K11" s="30"/>
      <x:c r="L11" s="30"/>
      <x:c r="M11" s="30"/>
      <x:c r="N11" s="31" t="str">
        <x:f>IF(A11="","",IF(G11="FIXED",M11,IF(G11="UNIFORM",IF(AND(ISNUMBER(H11),ISNUMBER(I11)),(H11+I11)/2,""),IF(G11="TRIANGLE",IF(ISNUMBER(L11),L11,IF(ISNUMBER(J11),J11,"")),IF(ISNUMBER(J11),J11,IF(ISNUMBER(K11),K11,""))))))</x:f>
      </x:c>
      <x:c r="O11" s="32" t="str">
        <x:f>IF(A11="","",IF(G11="FIXED","fixed",IF(G11="UNIFORM","midpoint_median",IF(G11="TRIANGLE",IF(ISNUMBER(L11),"mode",IF(ISNUMBER(J11),"source_median","missing")),IF(ISNUMBER(J11),"source_median",IF(ISNUMBER(K11),"source_mean","missing"))))))</x:f>
      </x:c>
      <x:c r="P11" s="18"/>
      <x:c r="Q11" s="18"/>
      <x:c r="R11" s="18"/>
      <x:c r="S11" s="18"/>
    </x:row>
    <x:row r="12">
      <x:c r="A12" s="18"/>
      <x:c r="B12" s="18"/>
      <x:c r="C12" s="18"/>
      <x:c r="D12" s="18"/>
      <x:c r="E12" s="18"/>
      <x:c r="F12" s="18"/>
      <x:c r="G12" s="18"/>
      <x:c r="H12" s="30"/>
      <x:c r="I12" s="30"/>
      <x:c r="J12" s="30"/>
      <x:c r="K12" s="30"/>
      <x:c r="L12" s="30"/>
      <x:c r="M12" s="30"/>
      <x:c r="N12" s="31" t="str">
        <x:f>IF(A12="","",IF(G12="FIXED",M12,IF(G12="UNIFORM",IF(AND(ISNUMBER(H12),ISNUMBER(I12)),(H12+I12)/2,""),IF(G12="TRIANGLE",IF(ISNUMBER(L12),L12,IF(ISNUMBER(J12),J12,"")),IF(ISNUMBER(J12),J12,IF(ISNUMBER(K12),K12,""))))))</x:f>
      </x:c>
      <x:c r="O12" s="32" t="str">
        <x:f>IF(A12="","",IF(G12="FIXED","fixed",IF(G12="UNIFORM","midpoint_median",IF(G12="TRIANGLE",IF(ISNUMBER(L12),"mode",IF(ISNUMBER(J12),"source_median","missing")),IF(ISNUMBER(J12),"source_median",IF(ISNUMBER(K12),"source_mean","missing"))))))</x:f>
      </x:c>
      <x:c r="P12" s="18"/>
      <x:c r="Q12" s="18"/>
      <x:c r="R12" s="18"/>
      <x:c r="S12" s="18"/>
    </x:row>
    <x:row r="13">
      <x:c r="A13" s="18"/>
      <x:c r="B13" s="18"/>
      <x:c r="C13" s="18"/>
      <x:c r="D13" s="18"/>
      <x:c r="E13" s="18"/>
      <x:c r="F13" s="18"/>
      <x:c r="G13" s="18"/>
      <x:c r="H13" s="30"/>
      <x:c r="I13" s="30"/>
      <x:c r="J13" s="30"/>
      <x:c r="K13" s="30"/>
      <x:c r="L13" s="30"/>
      <x:c r="M13" s="30"/>
      <x:c r="N13" s="31" t="str">
        <x:f>IF(A13="","",IF(G13="FIXED",M13,IF(G13="UNIFORM",IF(AND(ISNUMBER(H13),ISNUMBER(I13)),(H13+I13)/2,""),IF(G13="TRIANGLE",IF(ISNUMBER(L13),L13,IF(ISNUMBER(J13),J13,"")),IF(ISNUMBER(J13),J13,IF(ISNUMBER(K13),K13,""))))))</x:f>
      </x:c>
      <x:c r="O13" s="32" t="str">
        <x:f>IF(A13="","",IF(G13="FIXED","fixed",IF(G13="UNIFORM","midpoint_median",IF(G13="TRIANGLE",IF(ISNUMBER(L13),"mode",IF(ISNUMBER(J13),"source_median","missing")),IF(ISNUMBER(J13),"source_median",IF(ISNUMBER(K13),"source_mean","missing"))))))</x:f>
      </x:c>
      <x:c r="P13" s="18"/>
      <x:c r="Q13" s="18"/>
      <x:c r="R13" s="18"/>
      <x:c r="S13" s="18"/>
    </x:row>
    <x:row r="14">
      <x:c r="A14" s="18"/>
      <x:c r="B14" s="18"/>
      <x:c r="C14" s="18"/>
      <x:c r="D14" s="18"/>
      <x:c r="E14" s="18"/>
      <x:c r="F14" s="18"/>
      <x:c r="G14" s="18"/>
      <x:c r="H14" s="30"/>
      <x:c r="I14" s="30"/>
      <x:c r="J14" s="30"/>
      <x:c r="K14" s="30"/>
      <x:c r="L14" s="30"/>
      <x:c r="M14" s="30"/>
      <x:c r="N14" s="31" t="str">
        <x:f>IF(A14="","",IF(G14="FIXED",M14,IF(G14="UNIFORM",IF(AND(ISNUMBER(H14),ISNUMBER(I14)),(H14+I14)/2,""),IF(G14="TRIANGLE",IF(ISNUMBER(L14),L14,IF(ISNUMBER(J14),J14,"")),IF(ISNUMBER(J14),J14,IF(ISNUMBER(K14),K14,""))))))</x:f>
      </x:c>
      <x:c r="O14" s="32" t="str">
        <x:f>IF(A14="","",IF(G14="FIXED","fixed",IF(G14="UNIFORM","midpoint_median",IF(G14="TRIANGLE",IF(ISNUMBER(L14),"mode",IF(ISNUMBER(J14),"source_median","missing")),IF(ISNUMBER(J14),"source_median",IF(ISNUMBER(K14),"source_mean","missing"))))))</x:f>
      </x:c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30"/>
      <x:c r="I15" s="30"/>
      <x:c r="J15" s="30"/>
      <x:c r="K15" s="30"/>
      <x:c r="L15" s="30"/>
      <x:c r="M15" s="30"/>
      <x:c r="N15" s="31" t="str">
        <x:f>IF(A15="","",IF(G15="FIXED",M15,IF(G15="UNIFORM",IF(AND(ISNUMBER(H15),ISNUMBER(I15)),(H15+I15)/2,""),IF(G15="TRIANGLE",IF(ISNUMBER(L15),L15,IF(ISNUMBER(J15),J15,"")),IF(ISNUMBER(J15),J15,IF(ISNUMBER(K15),K15,""))))))</x:f>
      </x:c>
      <x:c r="O15" s="32" t="str">
        <x:f>IF(A15="","",IF(G15="FIXED","fixed",IF(G15="UNIFORM","midpoint_median",IF(G15="TRIANGLE",IF(ISNUMBER(L15),"mode",IF(ISNUMBER(J15),"source_median","missing")),IF(ISNUMBER(J15),"source_median",IF(ISNUMBER(K15),"source_mean","missing"))))))</x:f>
      </x:c>
      <x:c r="P15" s="18"/>
      <x:c r="Q15" s="18"/>
      <x:c r="R15" s="18"/>
      <x:c r="S15" s="18"/>
    </x:row>
    <x:row r="16">
      <x:c r="A16" s="18"/>
      <x:c r="B16" s="18"/>
      <x:c r="C16" s="18"/>
      <x:c r="D16" s="18"/>
      <x:c r="E16" s="18"/>
      <x:c r="F16" s="18"/>
      <x:c r="G16" s="18"/>
      <x:c r="H16" s="30"/>
      <x:c r="I16" s="30"/>
      <x:c r="J16" s="30"/>
      <x:c r="K16" s="30"/>
      <x:c r="L16" s="30"/>
      <x:c r="M16" s="30"/>
      <x:c r="N16" s="31" t="str">
        <x:f>IF(A16="","",IF(G16="FIXED",M16,IF(G16="UNIFORM",IF(AND(ISNUMBER(H16),ISNUMBER(I16)),(H16+I16)/2,""),IF(G16="TRIANGLE",IF(ISNUMBER(L16),L16,IF(ISNUMBER(J16),J16,"")),IF(ISNUMBER(J16),J16,IF(ISNUMBER(K16),K16,""))))))</x:f>
      </x:c>
      <x:c r="O16" s="32" t="str">
        <x:f>IF(A16="","",IF(G16="FIXED","fixed",IF(G16="UNIFORM","midpoint_median",IF(G16="TRIANGLE",IF(ISNUMBER(L16),"mode",IF(ISNUMBER(J16),"source_median","missing")),IF(ISNUMBER(J16),"source_median",IF(ISNUMBER(K16),"source_mean","missing"))))))</x:f>
      </x:c>
      <x:c r="P16" s="18"/>
      <x:c r="Q16" s="18"/>
      <x:c r="R16" s="18"/>
      <x:c r="S16" s="18"/>
    </x:row>
    <x:row r="17">
      <x:c r="A17" s="18"/>
      <x:c r="B17" s="18"/>
      <x:c r="C17" s="18"/>
      <x:c r="D17" s="18"/>
      <x:c r="E17" s="18"/>
      <x:c r="F17" s="18"/>
      <x:c r="G17" s="18"/>
      <x:c r="H17" s="30"/>
      <x:c r="I17" s="30"/>
      <x:c r="J17" s="30"/>
      <x:c r="K17" s="30"/>
      <x:c r="L17" s="30"/>
      <x:c r="M17" s="30"/>
      <x:c r="N17" s="31" t="str">
        <x:f>IF(A17="","",IF(G17="FIXED",M17,IF(G17="UNIFORM",IF(AND(ISNUMBER(H17),ISNUMBER(I17)),(H17+I17)/2,""),IF(G17="TRIANGLE",IF(ISNUMBER(L17),L17,IF(ISNUMBER(J17),J17,"")),IF(ISNUMBER(J17),J17,IF(ISNUMBER(K17),K17,""))))))</x:f>
      </x:c>
      <x:c r="O17" s="32" t="str">
        <x:f>IF(A17="","",IF(G17="FIXED","fixed",IF(G17="UNIFORM","midpoint_median",IF(G17="TRIANGLE",IF(ISNUMBER(L17),"mode",IF(ISNUMBER(J17),"source_median","missing")),IF(ISNUMBER(J17),"source_median",IF(ISNUMBER(K17),"source_mean","missing"))))))</x:f>
      </x:c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30"/>
      <x:c r="I18" s="30"/>
      <x:c r="J18" s="30"/>
      <x:c r="K18" s="30"/>
      <x:c r="L18" s="30"/>
      <x:c r="M18" s="30"/>
      <x:c r="N18" s="31" t="str">
        <x:f>IF(A18="","",IF(G18="FIXED",M18,IF(G18="UNIFORM",IF(AND(ISNUMBER(H18),ISNUMBER(I18)),(H18+I18)/2,""),IF(G18="TRIANGLE",IF(ISNUMBER(L18),L18,IF(ISNUMBER(J18),J18,"")),IF(ISNUMBER(J18),J18,IF(ISNUMBER(K18),K18,""))))))</x:f>
      </x:c>
      <x:c r="O18" s="32" t="str">
        <x:f>IF(A18="","",IF(G18="FIXED","fixed",IF(G18="UNIFORM","midpoint_median",IF(G18="TRIANGLE",IF(ISNUMBER(L18),"mode",IF(ISNUMBER(J18),"source_median","missing")),IF(ISNUMBER(J18),"source_median",IF(ISNUMBER(K18),"source_mean","missing"))))))</x:f>
      </x:c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30"/>
      <x:c r="I19" s="30"/>
      <x:c r="J19" s="30"/>
      <x:c r="K19" s="30"/>
      <x:c r="L19" s="30"/>
      <x:c r="M19" s="30"/>
      <x:c r="N19" s="31" t="str">
        <x:f>IF(A19="","",IF(G19="FIXED",M19,IF(G19="UNIFORM",IF(AND(ISNUMBER(H19),ISNUMBER(I19)),(H19+I19)/2,""),IF(G19="TRIANGLE",IF(ISNUMBER(L19),L19,IF(ISNUMBER(J19),J19,"")),IF(ISNUMBER(J19),J19,IF(ISNUMBER(K19),K19,""))))))</x:f>
      </x:c>
      <x:c r="O19" s="32" t="str">
        <x:f>IF(A19="","",IF(G19="FIXED","fixed",IF(G19="UNIFORM","midpoint_median",IF(G19="TRIANGLE",IF(ISNUMBER(L19),"mode",IF(ISNUMBER(J19),"source_median","missing")),IF(ISNUMBER(J19),"source_median",IF(ISNUMBER(K19),"source_mean","missing"))))))</x:f>
      </x:c>
      <x:c r="P19" s="18"/>
      <x:c r="Q19" s="18"/>
      <x:c r="R19" s="18"/>
      <x:c r="S19" s="18"/>
    </x:row>
    <x:row r="20">
      <x:c r="A20" s="18"/>
      <x:c r="B20" s="18"/>
      <x:c r="C20" s="18"/>
      <x:c r="D20" s="18"/>
      <x:c r="E20" s="18"/>
      <x:c r="F20" s="18"/>
      <x:c r="G20" s="18"/>
      <x:c r="H20" s="30"/>
      <x:c r="I20" s="30"/>
      <x:c r="J20" s="30"/>
      <x:c r="K20" s="30"/>
      <x:c r="L20" s="30"/>
      <x:c r="M20" s="30"/>
      <x:c r="N20" s="31" t="str">
        <x:f>IF(A20="","",IF(G20="FIXED",M20,IF(G20="UNIFORM",IF(AND(ISNUMBER(H20),ISNUMBER(I20)),(H20+I20)/2,""),IF(G20="TRIANGLE",IF(ISNUMBER(L20),L20,IF(ISNUMBER(J20),J20,"")),IF(ISNUMBER(J20),J20,IF(ISNUMBER(K20),K20,""))))))</x:f>
      </x:c>
      <x:c r="O20" s="32" t="str">
        <x:f>IF(A20="","",IF(G20="FIXED","fixed",IF(G20="UNIFORM","midpoint_median",IF(G20="TRIANGLE",IF(ISNUMBER(L20),"mode",IF(ISNUMBER(J20),"source_median","missing")),IF(ISNUMBER(J20),"source_median",IF(ISNUMBER(K20),"source_mean","missing"))))))</x:f>
      </x:c>
      <x:c r="P20" s="18"/>
      <x:c r="Q20" s="18"/>
      <x:c r="R20" s="18"/>
      <x:c r="S20" s="18"/>
    </x:row>
    <x:row r="21">
      <x:c r="A21" s="18"/>
      <x:c r="B21" s="18"/>
      <x:c r="C21" s="18"/>
      <x:c r="D21" s="18"/>
      <x:c r="E21" s="18"/>
      <x:c r="F21" s="18"/>
      <x:c r="G21" s="18"/>
      <x:c r="H21" s="30"/>
      <x:c r="I21" s="30"/>
      <x:c r="J21" s="30"/>
      <x:c r="K21" s="30"/>
      <x:c r="L21" s="30"/>
      <x:c r="M21" s="30"/>
      <x:c r="N21" s="31" t="str">
        <x:f>IF(A21="","",IF(G21="FIXED",M21,IF(G21="UNIFORM",IF(AND(ISNUMBER(H21),ISNUMBER(I21)),(H21+I21)/2,""),IF(G21="TRIANGLE",IF(ISNUMBER(L21),L21,IF(ISNUMBER(J21),J21,"")),IF(ISNUMBER(J21),J21,IF(ISNUMBER(K21),K21,""))))))</x:f>
      </x:c>
      <x:c r="O21" s="32" t="str">
        <x:f>IF(A21="","",IF(G21="FIXED","fixed",IF(G21="UNIFORM","midpoint_median",IF(G21="TRIANGLE",IF(ISNUMBER(L21),"mode",IF(ISNUMBER(J21),"source_median","missing")),IF(ISNUMBER(J21),"source_median",IF(ISNUMBER(K21),"source_mean","missing"))))))</x:f>
      </x:c>
      <x:c r="P21" s="18"/>
      <x:c r="Q21" s="18"/>
      <x:c r="R21" s="18"/>
      <x:c r="S21" s="18"/>
    </x:row>
    <x:row r="22">
      <x:c r="A22" s="18"/>
      <x:c r="B22" s="18"/>
      <x:c r="C22" s="18"/>
      <x:c r="D22" s="18"/>
      <x:c r="E22" s="18"/>
      <x:c r="F22" s="18"/>
      <x:c r="G22" s="18"/>
      <x:c r="H22" s="30"/>
      <x:c r="I22" s="30"/>
      <x:c r="J22" s="30"/>
      <x:c r="K22" s="30"/>
      <x:c r="L22" s="30"/>
      <x:c r="M22" s="30"/>
      <x:c r="N22" s="31" t="str">
        <x:f>IF(A22="","",IF(G22="FIXED",M22,IF(G22="UNIFORM",IF(AND(ISNUMBER(H22),ISNUMBER(I22)),(H22+I22)/2,""),IF(G22="TRIANGLE",IF(ISNUMBER(L22),L22,IF(ISNUMBER(J22),J22,"")),IF(ISNUMBER(J22),J22,IF(ISNUMBER(K22),K22,""))))))</x:f>
      </x:c>
      <x:c r="O22" s="32" t="str">
        <x:f>IF(A22="","",IF(G22="FIXED","fixed",IF(G22="UNIFORM","midpoint_median",IF(G22="TRIANGLE",IF(ISNUMBER(L22),"mode",IF(ISNUMBER(J22),"source_median","missing")),IF(ISNUMBER(J22),"source_median",IF(ISNUMBER(K22),"source_mean","missing"))))))</x:f>
      </x:c>
      <x:c r="P22" s="18"/>
      <x:c r="Q22" s="18"/>
      <x:c r="R22" s="18"/>
      <x:c r="S22" s="18"/>
    </x:row>
    <x:row r="23">
      <x:c r="A23" s="18"/>
      <x:c r="B23" s="18"/>
      <x:c r="C23" s="18"/>
      <x:c r="D23" s="18"/>
      <x:c r="E23" s="18"/>
      <x:c r="F23" s="18"/>
      <x:c r="G23" s="18"/>
      <x:c r="H23" s="30"/>
      <x:c r="I23" s="30"/>
      <x:c r="J23" s="30"/>
      <x:c r="K23" s="30"/>
      <x:c r="L23" s="30"/>
      <x:c r="M23" s="30"/>
      <x:c r="N23" s="31" t="str">
        <x:f>IF(A23="","",IF(G23="FIXED",M23,IF(G23="UNIFORM",IF(AND(ISNUMBER(H23),ISNUMBER(I23)),(H23+I23)/2,""),IF(G23="TRIANGLE",IF(ISNUMBER(L23),L23,IF(ISNUMBER(J23),J23,"")),IF(ISNUMBER(J23),J23,IF(ISNUMBER(K23),K23,""))))))</x:f>
      </x:c>
      <x:c r="O23" s="32" t="str">
        <x:f>IF(A23="","",IF(G23="FIXED","fixed",IF(G23="UNIFORM","midpoint_median",IF(G23="TRIANGLE",IF(ISNUMBER(L23),"mode",IF(ISNUMBER(J23),"source_median","missing")),IF(ISNUMBER(J23),"source_median",IF(ISNUMBER(K23),"source_mean","missing"))))))</x:f>
      </x:c>
      <x:c r="P23" s="18"/>
      <x:c r="Q23" s="18"/>
      <x:c r="R23" s="18"/>
      <x:c r="S23" s="18"/>
    </x:row>
    <x:row r="24">
      <x:c r="A24" s="18"/>
      <x:c r="B24" s="18"/>
      <x:c r="C24" s="18"/>
      <x:c r="D24" s="18"/>
      <x:c r="E24" s="18"/>
      <x:c r="F24" s="18"/>
      <x:c r="G24" s="18"/>
      <x:c r="H24" s="30"/>
      <x:c r="I24" s="30"/>
      <x:c r="J24" s="30"/>
      <x:c r="K24" s="30"/>
      <x:c r="L24" s="30"/>
      <x:c r="M24" s="30"/>
      <x:c r="N24" s="31" t="str">
        <x:f>IF(A24="","",IF(G24="FIXED",M24,IF(G24="UNIFORM",IF(AND(ISNUMBER(H24),ISNUMBER(I24)),(H24+I24)/2,""),IF(G24="TRIANGLE",IF(ISNUMBER(L24),L24,IF(ISNUMBER(J24),J24,"")),IF(ISNUMBER(J24),J24,IF(ISNUMBER(K24),K24,""))))))</x:f>
      </x:c>
      <x:c r="O24" s="32" t="str">
        <x:f>IF(A24="","",IF(G24="FIXED","fixed",IF(G24="UNIFORM","midpoint_median",IF(G24="TRIANGLE",IF(ISNUMBER(L24),"mode",IF(ISNUMBER(J24),"source_median","missing")),IF(ISNUMBER(J24),"source_median",IF(ISNUMBER(K24),"source_mean","missing"))))))</x:f>
      </x:c>
      <x:c r="P24" s="18"/>
      <x:c r="Q24" s="18"/>
      <x:c r="R24" s="18"/>
      <x:c r="S24" s="18"/>
    </x:row>
    <x:row r="25">
      <x:c r="A25" s="18"/>
      <x:c r="B25" s="18"/>
      <x:c r="C25" s="18"/>
      <x:c r="D25" s="18"/>
      <x:c r="E25" s="18"/>
      <x:c r="F25" s="18"/>
      <x:c r="G25" s="18"/>
      <x:c r="H25" s="30"/>
      <x:c r="I25" s="30"/>
      <x:c r="J25" s="30"/>
      <x:c r="K25" s="30"/>
      <x:c r="L25" s="30"/>
      <x:c r="M25" s="30"/>
      <x:c r="N25" s="31" t="str">
        <x:f>IF(A25="","",IF(G25="FIXED",M25,IF(G25="UNIFORM",IF(AND(ISNUMBER(H25),ISNUMBER(I25)),(H25+I25)/2,""),IF(G25="TRIANGLE",IF(ISNUMBER(L25),L25,IF(ISNUMBER(J25),J25,"")),IF(ISNUMBER(J25),J25,IF(ISNUMBER(K25),K25,""))))))</x:f>
      </x:c>
      <x:c r="O25" s="32" t="str">
        <x:f>IF(A25="","",IF(G25="FIXED","fixed",IF(G25="UNIFORM","midpoint_median",IF(G25="TRIANGLE",IF(ISNUMBER(L25),"mode",IF(ISNUMBER(J25),"source_median","missing")),IF(ISNUMBER(J25),"source_median",IF(ISNUMBER(K25),"source_mean","missing"))))))</x:f>
      </x:c>
      <x:c r="P25" s="18"/>
      <x:c r="Q25" s="18"/>
      <x:c r="R25" s="18"/>
      <x:c r="S25" s="18"/>
    </x:row>
    <x:row r="26">
      <x:c r="A26" s="18"/>
      <x:c r="B26" s="18"/>
      <x:c r="C26" s="18"/>
      <x:c r="D26" s="18"/>
      <x:c r="E26" s="18"/>
      <x:c r="F26" s="18"/>
      <x:c r="G26" s="18"/>
      <x:c r="H26" s="30"/>
      <x:c r="I26" s="30"/>
      <x:c r="J26" s="30"/>
      <x:c r="K26" s="30"/>
      <x:c r="L26" s="30"/>
      <x:c r="M26" s="30"/>
      <x:c r="N26" s="31" t="str">
        <x:f>IF(A26="","",IF(G26="FIXED",M26,IF(G26="UNIFORM",IF(AND(ISNUMBER(H26),ISNUMBER(I26)),(H26+I26)/2,""),IF(G26="TRIANGLE",IF(ISNUMBER(L26),L26,IF(ISNUMBER(J26),J26,"")),IF(ISNUMBER(J26),J26,IF(ISNUMBER(K26),K26,""))))))</x:f>
      </x:c>
      <x:c r="O26" s="32" t="str">
        <x:f>IF(A26="","",IF(G26="FIXED","fixed",IF(G26="UNIFORM","midpoint_median",IF(G26="TRIANGLE",IF(ISNUMBER(L26),"mode",IF(ISNUMBER(J26),"source_median","missing")),IF(ISNUMBER(J26),"source_median",IF(ISNUMBER(K26),"source_mean","missing"))))))</x:f>
      </x:c>
      <x:c r="P26" s="18"/>
      <x:c r="Q26" s="18"/>
      <x:c r="R26" s="18"/>
      <x:c r="S26" s="18"/>
    </x:row>
    <x:row r="27">
      <x:c r="A27" s="18"/>
      <x:c r="B27" s="18"/>
      <x:c r="C27" s="18"/>
      <x:c r="D27" s="18"/>
      <x:c r="E27" s="18"/>
      <x:c r="F27" s="18"/>
      <x:c r="G27" s="18"/>
      <x:c r="H27" s="30"/>
      <x:c r="I27" s="30"/>
      <x:c r="J27" s="30"/>
      <x:c r="K27" s="30"/>
      <x:c r="L27" s="30"/>
      <x:c r="M27" s="30"/>
      <x:c r="N27" s="31" t="str">
        <x:f>IF(A27="","",IF(G27="FIXED",M27,IF(G27="UNIFORM",IF(AND(ISNUMBER(H27),ISNUMBER(I27)),(H27+I27)/2,""),IF(G27="TRIANGLE",IF(ISNUMBER(L27),L27,IF(ISNUMBER(J27),J27,"")),IF(ISNUMBER(J27),J27,IF(ISNUMBER(K27),K27,""))))))</x:f>
      </x:c>
      <x:c r="O27" s="32" t="str">
        <x:f>IF(A27="","",IF(G27="FIXED","fixed",IF(G27="UNIFORM","midpoint_median",IF(G27="TRIANGLE",IF(ISNUMBER(L27),"mode",IF(ISNUMBER(J27),"source_median","missing")),IF(ISNUMBER(J27),"source_median",IF(ISNUMBER(K27),"source_mean","missing"))))))</x:f>
      </x:c>
      <x:c r="P27" s="18"/>
      <x:c r="Q27" s="18"/>
      <x:c r="R27" s="18"/>
      <x:c r="S27" s="18"/>
    </x:row>
    <x:row r="28">
      <x:c r="A28" s="18"/>
      <x:c r="B28" s="18"/>
      <x:c r="C28" s="18"/>
      <x:c r="D28" s="18"/>
      <x:c r="E28" s="18"/>
      <x:c r="F28" s="18"/>
      <x:c r="G28" s="18"/>
      <x:c r="H28" s="30"/>
      <x:c r="I28" s="30"/>
      <x:c r="J28" s="30"/>
      <x:c r="K28" s="30"/>
      <x:c r="L28" s="30"/>
      <x:c r="M28" s="30"/>
      <x:c r="N28" s="31" t="str">
        <x:f>IF(A28="","",IF(G28="FIXED",M28,IF(G28="UNIFORM",IF(AND(ISNUMBER(H28),ISNUMBER(I28)),(H28+I28)/2,""),IF(G28="TRIANGLE",IF(ISNUMBER(L28),L28,IF(ISNUMBER(J28),J28,"")),IF(ISNUMBER(J28),J28,IF(ISNUMBER(K28),K28,""))))))</x:f>
      </x:c>
      <x:c r="O28" s="32" t="str">
        <x:f>IF(A28="","",IF(G28="FIXED","fixed",IF(G28="UNIFORM","midpoint_median",IF(G28="TRIANGLE",IF(ISNUMBER(L28),"mode",IF(ISNUMBER(J28),"source_median","missing")),IF(ISNUMBER(J28),"source_median",IF(ISNUMBER(K28),"source_mean","missing"))))))</x:f>
      </x:c>
      <x:c r="P28" s="18"/>
      <x:c r="Q28" s="18"/>
      <x:c r="R28" s="18"/>
      <x:c r="S28" s="18"/>
    </x:row>
    <x:row r="29">
      <x:c r="A29" s="18"/>
      <x:c r="B29" s="18"/>
      <x:c r="C29" s="18"/>
      <x:c r="D29" s="18"/>
      <x:c r="E29" s="18"/>
      <x:c r="F29" s="18"/>
      <x:c r="G29" s="18"/>
      <x:c r="H29" s="30"/>
      <x:c r="I29" s="30"/>
      <x:c r="J29" s="30"/>
      <x:c r="K29" s="30"/>
      <x:c r="L29" s="30"/>
      <x:c r="M29" s="30"/>
      <x:c r="N29" s="31" t="str">
        <x:f>IF(A29="","",IF(G29="FIXED",M29,IF(G29="UNIFORM",IF(AND(ISNUMBER(H29),ISNUMBER(I29)),(H29+I29)/2,""),IF(G29="TRIANGLE",IF(ISNUMBER(L29),L29,IF(ISNUMBER(J29),J29,"")),IF(ISNUMBER(J29),J29,IF(ISNUMBER(K29),K29,""))))))</x:f>
      </x:c>
      <x:c r="O29" s="32" t="str">
        <x:f>IF(A29="","",IF(G29="FIXED","fixed",IF(G29="UNIFORM","midpoint_median",IF(G29="TRIANGLE",IF(ISNUMBER(L29),"mode",IF(ISNUMBER(J29),"source_median","missing")),IF(ISNUMBER(J29),"source_median",IF(ISNUMBER(K29),"source_mean","missing"))))))</x:f>
      </x:c>
      <x:c r="P29" s="18"/>
      <x:c r="Q29" s="18"/>
      <x:c r="R29" s="18"/>
      <x:c r="S29" s="18"/>
    </x:row>
    <x:row r="30">
      <x:c r="A30" s="18"/>
      <x:c r="B30" s="18"/>
      <x:c r="C30" s="18"/>
      <x:c r="D30" s="18"/>
      <x:c r="E30" s="18"/>
      <x:c r="F30" s="18"/>
      <x:c r="G30" s="18"/>
      <x:c r="H30" s="30"/>
      <x:c r="I30" s="30"/>
      <x:c r="J30" s="30"/>
      <x:c r="K30" s="30"/>
      <x:c r="L30" s="30"/>
      <x:c r="M30" s="30"/>
      <x:c r="N30" s="31" t="str">
        <x:f>IF(A30="","",IF(G30="FIXED",M30,IF(G30="UNIFORM",IF(AND(ISNUMBER(H30),ISNUMBER(I30)),(H30+I30)/2,""),IF(G30="TRIANGLE",IF(ISNUMBER(L30),L30,IF(ISNUMBER(J30),J30,"")),IF(ISNUMBER(J30),J30,IF(ISNUMBER(K30),K30,""))))))</x:f>
      </x:c>
      <x:c r="O30" s="32" t="str">
        <x:f>IF(A30="","",IF(G30="FIXED","fixed",IF(G30="UNIFORM","midpoint_median",IF(G30="TRIANGLE",IF(ISNUMBER(L30),"mode",IF(ISNUMBER(J30),"source_median","missing")),IF(ISNUMBER(J30),"source_median",IF(ISNUMBER(K30),"source_mean","missing"))))))</x:f>
      </x:c>
      <x:c r="P30" s="18"/>
      <x:c r="Q30" s="18"/>
      <x:c r="R30" s="18"/>
      <x:c r="S30" s="18"/>
    </x:row>
    <x:row r="31">
      <x:c r="A31" s="18"/>
      <x:c r="B31" s="18"/>
      <x:c r="C31" s="18"/>
      <x:c r="D31" s="18"/>
      <x:c r="E31" s="18"/>
      <x:c r="F31" s="18"/>
      <x:c r="G31" s="18"/>
      <x:c r="H31" s="30"/>
      <x:c r="I31" s="30"/>
      <x:c r="J31" s="30"/>
      <x:c r="K31" s="30"/>
      <x:c r="L31" s="30"/>
      <x:c r="M31" s="30"/>
      <x:c r="N31" s="31" t="str">
        <x:f>IF(A31="","",IF(G31="FIXED",M31,IF(G31="UNIFORM",IF(AND(ISNUMBER(H31),ISNUMBER(I31)),(H31+I31)/2,""),IF(G31="TRIANGLE",IF(ISNUMBER(L31),L31,IF(ISNUMBER(J31),J31,"")),IF(ISNUMBER(J31),J31,IF(ISNUMBER(K31),K31,""))))))</x:f>
      </x:c>
      <x:c r="O31" s="32" t="str">
        <x:f>IF(A31="","",IF(G31="FIXED","fixed",IF(G31="UNIFORM","midpoint_median",IF(G31="TRIANGLE",IF(ISNUMBER(L31),"mode",IF(ISNUMBER(J31),"source_median","missing")),IF(ISNUMBER(J31),"source_median",IF(ISNUMBER(K31),"source_mean","missing"))))))</x:f>
      </x:c>
      <x:c r="P31" s="18"/>
      <x:c r="Q31" s="18"/>
      <x:c r="R31" s="18"/>
      <x:c r="S31" s="18"/>
    </x:row>
    <x:row r="32">
      <x:c r="A32" s="18"/>
      <x:c r="B32" s="18"/>
      <x:c r="C32" s="18"/>
      <x:c r="D32" s="18"/>
      <x:c r="E32" s="18"/>
      <x:c r="F32" s="18"/>
      <x:c r="G32" s="18"/>
      <x:c r="H32" s="30"/>
      <x:c r="I32" s="30"/>
      <x:c r="J32" s="30"/>
      <x:c r="K32" s="30"/>
      <x:c r="L32" s="30"/>
      <x:c r="M32" s="30"/>
      <x:c r="N32" s="31" t="str">
        <x:f>IF(A32="","",IF(G32="FIXED",M32,IF(G32="UNIFORM",IF(AND(ISNUMBER(H32),ISNUMBER(I32)),(H32+I32)/2,""),IF(G32="TRIANGLE",IF(ISNUMBER(L32),L32,IF(ISNUMBER(J32),J32,"")),IF(ISNUMBER(J32),J32,IF(ISNUMBER(K32),K32,""))))))</x:f>
      </x:c>
      <x:c r="O32" s="32" t="str">
        <x:f>IF(A32="","",IF(G32="FIXED","fixed",IF(G32="UNIFORM","midpoint_median",IF(G32="TRIANGLE",IF(ISNUMBER(L32),"mode",IF(ISNUMBER(J32),"source_median","missing")),IF(ISNUMBER(J32),"source_median",IF(ISNUMBER(K32),"source_mean","missing"))))))</x:f>
      </x:c>
      <x:c r="P32" s="18"/>
      <x:c r="Q32" s="18"/>
      <x:c r="R32" s="18"/>
      <x:c r="S32" s="18"/>
    </x:row>
    <x:row r="33">
      <x:c r="A33" s="18"/>
      <x:c r="B33" s="18"/>
      <x:c r="C33" s="18"/>
      <x:c r="D33" s="18"/>
      <x:c r="E33" s="18"/>
      <x:c r="F33" s="18"/>
      <x:c r="G33" s="18"/>
      <x:c r="H33" s="30"/>
      <x:c r="I33" s="30"/>
      <x:c r="J33" s="30"/>
      <x:c r="K33" s="30"/>
      <x:c r="L33" s="30"/>
      <x:c r="M33" s="30"/>
      <x:c r="N33" s="31" t="str">
        <x:f>IF(A33="","",IF(G33="FIXED",M33,IF(G33="UNIFORM",IF(AND(ISNUMBER(H33),ISNUMBER(I33)),(H33+I33)/2,""),IF(G33="TRIANGLE",IF(ISNUMBER(L33),L33,IF(ISNUMBER(J33),J33,"")),IF(ISNUMBER(J33),J33,IF(ISNUMBER(K33),K33,""))))))</x:f>
      </x:c>
      <x:c r="O33" s="32" t="str">
        <x:f>IF(A33="","",IF(G33="FIXED","fixed",IF(G33="UNIFORM","midpoint_median",IF(G33="TRIANGLE",IF(ISNUMBER(L33),"mode",IF(ISNUMBER(J33),"source_median","missing")),IF(ISNUMBER(J33),"source_median",IF(ISNUMBER(K33),"source_mean","missing"))))))</x:f>
      </x:c>
      <x:c r="P33" s="18"/>
      <x:c r="Q33" s="18"/>
      <x:c r="R33" s="18"/>
      <x:c r="S33" s="18"/>
    </x:row>
    <x:row r="34">
      <x:c r="A34" s="18"/>
      <x:c r="B34" s="18"/>
      <x:c r="C34" s="18"/>
      <x:c r="D34" s="18"/>
      <x:c r="E34" s="18"/>
      <x:c r="F34" s="18"/>
      <x:c r="G34" s="18"/>
      <x:c r="H34" s="30"/>
      <x:c r="I34" s="30"/>
      <x:c r="J34" s="30"/>
      <x:c r="K34" s="30"/>
      <x:c r="L34" s="30"/>
      <x:c r="M34" s="30"/>
      <x:c r="N34" s="31" t="str">
        <x:f>IF(A34="","",IF(G34="FIXED",M34,IF(G34="UNIFORM",IF(AND(ISNUMBER(H34),ISNUMBER(I34)),(H34+I34)/2,""),IF(G34="TRIANGLE",IF(ISNUMBER(L34),L34,IF(ISNUMBER(J34),J34,"")),IF(ISNUMBER(J34),J34,IF(ISNUMBER(K34),K34,""))))))</x:f>
      </x:c>
      <x:c r="O34" s="32" t="str">
        <x:f>IF(A34="","",IF(G34="FIXED","fixed",IF(G34="UNIFORM","midpoint_median",IF(G34="TRIANGLE",IF(ISNUMBER(L34),"mode",IF(ISNUMBER(J34),"source_median","missing")),IF(ISNUMBER(J34),"source_median",IF(ISNUMBER(K34),"source_mean","missing"))))))</x:f>
      </x:c>
      <x:c r="P34" s="18"/>
      <x:c r="Q34" s="18"/>
      <x:c r="R34" s="18"/>
      <x:c r="S34" s="18"/>
    </x:row>
    <x:row r="35">
      <x:c r="A35" s="18"/>
      <x:c r="B35" s="18"/>
      <x:c r="C35" s="18"/>
      <x:c r="D35" s="18"/>
      <x:c r="E35" s="18"/>
      <x:c r="F35" s="18"/>
      <x:c r="G35" s="18"/>
      <x:c r="H35" s="30"/>
      <x:c r="I35" s="30"/>
      <x:c r="J35" s="30"/>
      <x:c r="K35" s="30"/>
      <x:c r="L35" s="30"/>
      <x:c r="M35" s="30"/>
      <x:c r="N35" s="31" t="str">
        <x:f>IF(A35="","",IF(G35="FIXED",M35,IF(G35="UNIFORM",IF(AND(ISNUMBER(H35),ISNUMBER(I35)),(H35+I35)/2,""),IF(G35="TRIANGLE",IF(ISNUMBER(L35),L35,IF(ISNUMBER(J35),J35,"")),IF(ISNUMBER(J35),J35,IF(ISNUMBER(K35),K35,""))))))</x:f>
      </x:c>
      <x:c r="O35" s="32" t="str">
        <x:f>IF(A35="","",IF(G35="FIXED","fixed",IF(G35="UNIFORM","midpoint_median",IF(G35="TRIANGLE",IF(ISNUMBER(L35),"mode",IF(ISNUMBER(J35),"source_median","missing")),IF(ISNUMBER(J35),"source_median",IF(ISNUMBER(K35),"source_mean","missing"))))))</x:f>
      </x:c>
      <x:c r="P35" s="18"/>
      <x:c r="Q35" s="18"/>
      <x:c r="R35" s="18"/>
      <x:c r="S35" s="18"/>
    </x:row>
    <x:row r="36">
      <x:c r="A36" s="18"/>
      <x:c r="B36" s="18"/>
      <x:c r="C36" s="18"/>
      <x:c r="D36" s="18"/>
      <x:c r="E36" s="18"/>
      <x:c r="F36" s="18"/>
      <x:c r="G36" s="18"/>
      <x:c r="H36" s="30"/>
      <x:c r="I36" s="30"/>
      <x:c r="J36" s="30"/>
      <x:c r="K36" s="30"/>
      <x:c r="L36" s="30"/>
      <x:c r="M36" s="30"/>
      <x:c r="N36" s="31" t="str">
        <x:f>IF(A36="","",IF(G36="FIXED",M36,IF(G36="UNIFORM",IF(AND(ISNUMBER(H36),ISNUMBER(I36)),(H36+I36)/2,""),IF(G36="TRIANGLE",IF(ISNUMBER(L36),L36,IF(ISNUMBER(J36),J36,"")),IF(ISNUMBER(J36),J36,IF(ISNUMBER(K36),K36,""))))))</x:f>
      </x:c>
      <x:c r="O36" s="32" t="str">
        <x:f>IF(A36="","",IF(G36="FIXED","fixed",IF(G36="UNIFORM","midpoint_median",IF(G36="TRIANGLE",IF(ISNUMBER(L36),"mode",IF(ISNUMBER(J36),"source_median","missing")),IF(ISNUMBER(J36),"source_median",IF(ISNUMBER(K36),"source_mean","missing"))))))</x:f>
      </x:c>
      <x:c r="P36" s="18"/>
      <x:c r="Q36" s="18"/>
      <x:c r="R36" s="18"/>
      <x:c r="S36" s="18"/>
    </x:row>
    <x:row r="37">
      <x:c r="A37" s="18"/>
      <x:c r="B37" s="18"/>
      <x:c r="C37" s="18"/>
      <x:c r="D37" s="18"/>
      <x:c r="E37" s="18"/>
      <x:c r="F37" s="18"/>
      <x:c r="G37" s="18"/>
      <x:c r="H37" s="30"/>
      <x:c r="I37" s="30"/>
      <x:c r="J37" s="30"/>
      <x:c r="K37" s="30"/>
      <x:c r="L37" s="30"/>
      <x:c r="M37" s="30"/>
      <x:c r="N37" s="31" t="str">
        <x:f>IF(A37="","",IF(G37="FIXED",M37,IF(G37="UNIFORM",IF(AND(ISNUMBER(H37),ISNUMBER(I37)),(H37+I37)/2,""),IF(G37="TRIANGLE",IF(ISNUMBER(L37),L37,IF(ISNUMBER(J37),J37,"")),IF(ISNUMBER(J37),J37,IF(ISNUMBER(K37),K37,""))))))</x:f>
      </x:c>
      <x:c r="O37" s="32" t="str">
        <x:f>IF(A37="","",IF(G37="FIXED","fixed",IF(G37="UNIFORM","midpoint_median",IF(G37="TRIANGLE",IF(ISNUMBER(L37),"mode",IF(ISNUMBER(J37),"source_median","missing")),IF(ISNUMBER(J37),"source_median",IF(ISNUMBER(K37),"source_mean","missing"))))))</x:f>
      </x:c>
      <x:c r="P37" s="18"/>
      <x:c r="Q37" s="18"/>
      <x:c r="R37" s="18"/>
      <x:c r="S37" s="18"/>
    </x:row>
    <x:row r="38">
      <x:c r="A38" s="18"/>
      <x:c r="B38" s="18"/>
      <x:c r="C38" s="18"/>
      <x:c r="D38" s="18"/>
      <x:c r="E38" s="18"/>
      <x:c r="F38" s="18"/>
      <x:c r="G38" s="18"/>
      <x:c r="H38" s="30"/>
      <x:c r="I38" s="30"/>
      <x:c r="J38" s="30"/>
      <x:c r="K38" s="30"/>
      <x:c r="L38" s="30"/>
      <x:c r="M38" s="30"/>
      <x:c r="N38" s="31" t="str">
        <x:f>IF(A38="","",IF(G38="FIXED",M38,IF(G38="UNIFORM",IF(AND(ISNUMBER(H38),ISNUMBER(I38)),(H38+I38)/2,""),IF(G38="TRIANGLE",IF(ISNUMBER(L38),L38,IF(ISNUMBER(J38),J38,"")),IF(ISNUMBER(J38),J38,IF(ISNUMBER(K38),K38,""))))))</x:f>
      </x:c>
      <x:c r="O38" s="32" t="str">
        <x:f>IF(A38="","",IF(G38="FIXED","fixed",IF(G38="UNIFORM","midpoint_median",IF(G38="TRIANGLE",IF(ISNUMBER(L38),"mode",IF(ISNUMBER(J38),"source_median","missing")),IF(ISNUMBER(J38),"source_median",IF(ISNUMBER(K38),"source_mean","missing"))))))</x:f>
      </x:c>
      <x:c r="P38" s="18"/>
      <x:c r="Q38" s="18"/>
      <x:c r="R38" s="18"/>
      <x:c r="S38" s="18"/>
    </x:row>
    <x:row r="39">
      <x:c r="A39" s="18"/>
      <x:c r="B39" s="18"/>
      <x:c r="C39" s="18"/>
      <x:c r="D39" s="18"/>
      <x:c r="E39" s="18"/>
      <x:c r="F39" s="18"/>
      <x:c r="G39" s="18"/>
      <x:c r="H39" s="30"/>
      <x:c r="I39" s="30"/>
      <x:c r="J39" s="30"/>
      <x:c r="K39" s="30"/>
      <x:c r="L39" s="30"/>
      <x:c r="M39" s="30"/>
      <x:c r="N39" s="31" t="str">
        <x:f>IF(A39="","",IF(G39="FIXED",M39,IF(G39="UNIFORM",IF(AND(ISNUMBER(H39),ISNUMBER(I39)),(H39+I39)/2,""),IF(G39="TRIANGLE",IF(ISNUMBER(L39),L39,IF(ISNUMBER(J39),J39,"")),IF(ISNUMBER(J39),J39,IF(ISNUMBER(K39),K39,""))))))</x:f>
      </x:c>
      <x:c r="O39" s="32" t="str">
        <x:f>IF(A39="","",IF(G39="FIXED","fixed",IF(G39="UNIFORM","midpoint_median",IF(G39="TRIANGLE",IF(ISNUMBER(L39),"mode",IF(ISNUMBER(J39),"source_median","missing")),IF(ISNUMBER(J39),"source_median",IF(ISNUMBER(K39),"source_mean","missing"))))))</x:f>
      </x:c>
      <x:c r="P39" s="18"/>
      <x:c r="Q39" s="18"/>
      <x:c r="R39" s="18"/>
      <x:c r="S39" s="18"/>
    </x:row>
    <x:row r="40">
      <x:c r="A40" s="18"/>
      <x:c r="B40" s="18"/>
      <x:c r="C40" s="18"/>
      <x:c r="D40" s="18"/>
      <x:c r="E40" s="18"/>
      <x:c r="F40" s="18"/>
      <x:c r="G40" s="18"/>
      <x:c r="H40" s="30"/>
      <x:c r="I40" s="30"/>
      <x:c r="J40" s="30"/>
      <x:c r="K40" s="30"/>
      <x:c r="L40" s="30"/>
      <x:c r="M40" s="30"/>
      <x:c r="N40" s="31" t="str">
        <x:f>IF(A40="","",IF(G40="FIXED",M40,IF(G40="UNIFORM",IF(AND(ISNUMBER(H40),ISNUMBER(I40)),(H40+I40)/2,""),IF(G40="TRIANGLE",IF(ISNUMBER(L40),L40,IF(ISNUMBER(J40),J40,"")),IF(ISNUMBER(J40),J40,IF(ISNUMBER(K40),K40,""))))))</x:f>
      </x:c>
      <x:c r="O40" s="32" t="str">
        <x:f>IF(A40="","",IF(G40="FIXED","fixed",IF(G40="UNIFORM","midpoint_median",IF(G40="TRIANGLE",IF(ISNUMBER(L40),"mode",IF(ISNUMBER(J40),"source_median","missing")),IF(ISNUMBER(J40),"source_median",IF(ISNUMBER(K40),"source_mean","missing"))))))</x:f>
      </x:c>
      <x:c r="P40" s="18"/>
      <x:c r="Q40" s="18"/>
      <x:c r="R40" s="18"/>
      <x:c r="S40" s="18"/>
    </x:row>
    <x:row r="41">
      <x:c r="A41" s="18"/>
      <x:c r="B41" s="18"/>
      <x:c r="C41" s="18"/>
      <x:c r="D41" s="18"/>
      <x:c r="E41" s="18"/>
      <x:c r="F41" s="18"/>
      <x:c r="G41" s="18"/>
      <x:c r="H41" s="30"/>
      <x:c r="I41" s="30"/>
      <x:c r="J41" s="30"/>
      <x:c r="K41" s="30"/>
      <x:c r="L41" s="30"/>
      <x:c r="M41" s="30"/>
      <x:c r="N41" s="31" t="str">
        <x:f>IF(A41="","",IF(G41="FIXED",M41,IF(G41="UNIFORM",IF(AND(ISNUMBER(H41),ISNUMBER(I41)),(H41+I41)/2,""),IF(G41="TRIANGLE",IF(ISNUMBER(L41),L41,IF(ISNUMBER(J41),J41,"")),IF(ISNUMBER(J41),J41,IF(ISNUMBER(K41),K41,""))))))</x:f>
      </x:c>
      <x:c r="O41" s="32" t="str">
        <x:f>IF(A41="","",IF(G41="FIXED","fixed",IF(G41="UNIFORM","midpoint_median",IF(G41="TRIANGLE",IF(ISNUMBER(L41),"mode",IF(ISNUMBER(J41),"source_median","missing")),IF(ISNUMBER(J41),"source_median",IF(ISNUMBER(K41),"source_mean","missing"))))))</x:f>
      </x:c>
      <x:c r="P41" s="18"/>
      <x:c r="Q41" s="18"/>
      <x:c r="R41" s="18"/>
      <x:c r="S41" s="18"/>
    </x:row>
    <x:row r="42">
      <x:c r="A42" s="18"/>
      <x:c r="B42" s="18"/>
      <x:c r="C42" s="18"/>
      <x:c r="D42" s="18"/>
      <x:c r="E42" s="18"/>
      <x:c r="F42" s="18"/>
      <x:c r="G42" s="18"/>
      <x:c r="H42" s="30"/>
      <x:c r="I42" s="30"/>
      <x:c r="J42" s="30"/>
      <x:c r="K42" s="30"/>
      <x:c r="L42" s="30"/>
      <x:c r="M42" s="30"/>
      <x:c r="N42" s="31" t="str">
        <x:f>IF(A42="","",IF(G42="FIXED",M42,IF(G42="UNIFORM",IF(AND(ISNUMBER(H42),ISNUMBER(I42)),(H42+I42)/2,""),IF(G42="TRIANGLE",IF(ISNUMBER(L42),L42,IF(ISNUMBER(J42),J42,"")),IF(ISNUMBER(J42),J42,IF(ISNUMBER(K42),K42,""))))))</x:f>
      </x:c>
      <x:c r="O42" s="32" t="str">
        <x:f>IF(A42="","",IF(G42="FIXED","fixed",IF(G42="UNIFORM","midpoint_median",IF(G42="TRIANGLE",IF(ISNUMBER(L42),"mode",IF(ISNUMBER(J42),"source_median","missing")),IF(ISNUMBER(J42),"source_median",IF(ISNUMBER(K42),"source_mean","missing"))))))</x:f>
      </x:c>
      <x:c r="P42" s="18"/>
      <x:c r="Q42" s="18"/>
      <x:c r="R42" s="18"/>
      <x:c r="S42" s="18"/>
    </x:row>
    <x:row r="43">
      <x:c r="A43" s="18"/>
      <x:c r="B43" s="18"/>
      <x:c r="C43" s="18"/>
      <x:c r="D43" s="18"/>
      <x:c r="E43" s="18"/>
      <x:c r="F43" s="18"/>
      <x:c r="G43" s="18"/>
      <x:c r="H43" s="30"/>
      <x:c r="I43" s="30"/>
      <x:c r="J43" s="30"/>
      <x:c r="K43" s="30"/>
      <x:c r="L43" s="30"/>
      <x:c r="M43" s="30"/>
      <x:c r="N43" s="31" t="str">
        <x:f>IF(A43="","",IF(G43="FIXED",M43,IF(G43="UNIFORM",IF(AND(ISNUMBER(H43),ISNUMBER(I43)),(H43+I43)/2,""),IF(G43="TRIANGLE",IF(ISNUMBER(L43),L43,IF(ISNUMBER(J43),J43,"")),IF(ISNUMBER(J43),J43,IF(ISNUMBER(K43),K43,""))))))</x:f>
      </x:c>
      <x:c r="O43" s="32" t="str">
        <x:f>IF(A43="","",IF(G43="FIXED","fixed",IF(G43="UNIFORM","midpoint_median",IF(G43="TRIANGLE",IF(ISNUMBER(L43),"mode",IF(ISNUMBER(J43),"source_median","missing")),IF(ISNUMBER(J43),"source_median",IF(ISNUMBER(K43),"source_mean","missing"))))))</x:f>
      </x:c>
      <x:c r="P43" s="18"/>
      <x:c r="Q43" s="18"/>
      <x:c r="R43" s="18"/>
      <x:c r="S43" s="18"/>
    </x:row>
    <x:row r="44">
      <x:c r="A44" s="18"/>
      <x:c r="B44" s="18"/>
      <x:c r="C44" s="18"/>
      <x:c r="D44" s="18"/>
      <x:c r="E44" s="18"/>
      <x:c r="F44" s="18"/>
      <x:c r="G44" s="18"/>
      <x:c r="H44" s="30"/>
      <x:c r="I44" s="30"/>
      <x:c r="J44" s="30"/>
      <x:c r="K44" s="30"/>
      <x:c r="L44" s="30"/>
      <x:c r="M44" s="30"/>
      <x:c r="N44" s="31" t="str">
        <x:f>IF(A44="","",IF(G44="FIXED",M44,IF(G44="UNIFORM",IF(AND(ISNUMBER(H44),ISNUMBER(I44)),(H44+I44)/2,""),IF(G44="TRIANGLE",IF(ISNUMBER(L44),L44,IF(ISNUMBER(J44),J44,"")),IF(ISNUMBER(J44),J44,IF(ISNUMBER(K44),K44,""))))))</x:f>
      </x:c>
      <x:c r="O44" s="32" t="str">
        <x:f>IF(A44="","",IF(G44="FIXED","fixed",IF(G44="UNIFORM","midpoint_median",IF(G44="TRIANGLE",IF(ISNUMBER(L44),"mode",IF(ISNUMBER(J44),"source_median","missing")),IF(ISNUMBER(J44),"source_median",IF(ISNUMBER(K44),"source_mean","missing"))))))</x:f>
      </x:c>
      <x:c r="P44" s="18"/>
      <x:c r="Q44" s="18"/>
      <x:c r="R44" s="18"/>
      <x:c r="S44" s="18"/>
    </x:row>
    <x:row r="45">
      <x:c r="A45" s="18"/>
      <x:c r="B45" s="18"/>
      <x:c r="C45" s="18"/>
      <x:c r="D45" s="18"/>
      <x:c r="E45" s="18"/>
      <x:c r="F45" s="18"/>
      <x:c r="G45" s="18"/>
      <x:c r="H45" s="30"/>
      <x:c r="I45" s="30"/>
      <x:c r="J45" s="30"/>
      <x:c r="K45" s="30"/>
      <x:c r="L45" s="30"/>
      <x:c r="M45" s="30"/>
      <x:c r="N45" s="31" t="str">
        <x:f>IF(A45="","",IF(G45="FIXED",M45,IF(G45="UNIFORM",IF(AND(ISNUMBER(H45),ISNUMBER(I45)),(H45+I45)/2,""),IF(G45="TRIANGLE",IF(ISNUMBER(L45),L45,IF(ISNUMBER(J45),J45,"")),IF(ISNUMBER(J45),J45,IF(ISNUMBER(K45),K45,""))))))</x:f>
      </x:c>
      <x:c r="O45" s="32" t="str">
        <x:f>IF(A45="","",IF(G45="FIXED","fixed",IF(G45="UNIFORM","midpoint_median",IF(G45="TRIANGLE",IF(ISNUMBER(L45),"mode",IF(ISNUMBER(J45),"source_median","missing")),IF(ISNUMBER(J45),"source_median",IF(ISNUMBER(K45),"source_mean","missing"))))))</x:f>
      </x:c>
      <x:c r="P45" s="18"/>
      <x:c r="Q45" s="18"/>
      <x:c r="R45" s="18"/>
      <x:c r="S45" s="18"/>
    </x:row>
    <x:row r="46">
      <x:c r="A46" s="18"/>
      <x:c r="B46" s="18"/>
      <x:c r="C46" s="18"/>
      <x:c r="D46" s="18"/>
      <x:c r="E46" s="18"/>
      <x:c r="F46" s="18"/>
      <x:c r="G46" s="18"/>
      <x:c r="H46" s="30"/>
      <x:c r="I46" s="30"/>
      <x:c r="J46" s="30"/>
      <x:c r="K46" s="30"/>
      <x:c r="L46" s="30"/>
      <x:c r="M46" s="30"/>
      <x:c r="N46" s="31" t="str">
        <x:f>IF(A46="","",IF(G46="FIXED",M46,IF(G46="UNIFORM",IF(AND(ISNUMBER(H46),ISNUMBER(I46)),(H46+I46)/2,""),IF(G46="TRIANGLE",IF(ISNUMBER(L46),L46,IF(ISNUMBER(J46),J46,"")),IF(ISNUMBER(J46),J46,IF(ISNUMBER(K46),K46,""))))))</x:f>
      </x:c>
      <x:c r="O46" s="32" t="str">
        <x:f>IF(A46="","",IF(G46="FIXED","fixed",IF(G46="UNIFORM","midpoint_median",IF(G46="TRIANGLE",IF(ISNUMBER(L46),"mode",IF(ISNUMBER(J46),"source_median","missing")),IF(ISNUMBER(J46),"source_median",IF(ISNUMBER(K46),"source_mean","missing"))))))</x:f>
      </x:c>
      <x:c r="P46" s="18"/>
      <x:c r="Q46" s="18"/>
      <x:c r="R46" s="18"/>
      <x:c r="S46" s="18"/>
    </x:row>
    <x:row r="47">
      <x:c r="A47" s="18"/>
      <x:c r="B47" s="18"/>
      <x:c r="C47" s="18"/>
      <x:c r="D47" s="18"/>
      <x:c r="E47" s="18"/>
      <x:c r="F47" s="18"/>
      <x:c r="G47" s="18"/>
      <x:c r="H47" s="30"/>
      <x:c r="I47" s="30"/>
      <x:c r="J47" s="30"/>
      <x:c r="K47" s="30"/>
      <x:c r="L47" s="30"/>
      <x:c r="M47" s="30"/>
      <x:c r="N47" s="31" t="str">
        <x:f>IF(A47="","",IF(G47="FIXED",M47,IF(G47="UNIFORM",IF(AND(ISNUMBER(H47),ISNUMBER(I47)),(H47+I47)/2,""),IF(G47="TRIANGLE",IF(ISNUMBER(L47),L47,IF(ISNUMBER(J47),J47,"")),IF(ISNUMBER(J47),J47,IF(ISNUMBER(K47),K47,""))))))</x:f>
      </x:c>
      <x:c r="O47" s="32" t="str">
        <x:f>IF(A47="","",IF(G47="FIXED","fixed",IF(G47="UNIFORM","midpoint_median",IF(G47="TRIANGLE",IF(ISNUMBER(L47),"mode",IF(ISNUMBER(J47),"source_median","missing")),IF(ISNUMBER(J47),"source_median",IF(ISNUMBER(K47),"source_mean","missing"))))))</x:f>
      </x:c>
      <x:c r="P47" s="18"/>
      <x:c r="Q47" s="18"/>
      <x:c r="R47" s="18"/>
      <x:c r="S47" s="18"/>
    </x:row>
    <x:row r="48">
      <x:c r="A48" s="18"/>
      <x:c r="B48" s="18"/>
      <x:c r="C48" s="18"/>
      <x:c r="D48" s="18"/>
      <x:c r="E48" s="18"/>
      <x:c r="F48" s="18"/>
      <x:c r="G48" s="18"/>
      <x:c r="H48" s="30"/>
      <x:c r="I48" s="30"/>
      <x:c r="J48" s="30"/>
      <x:c r="K48" s="30"/>
      <x:c r="L48" s="30"/>
      <x:c r="M48" s="30"/>
      <x:c r="N48" s="31" t="str">
        <x:f>IF(A48="","",IF(G48="FIXED",M48,IF(G48="UNIFORM",IF(AND(ISNUMBER(H48),ISNUMBER(I48)),(H48+I48)/2,""),IF(G48="TRIANGLE",IF(ISNUMBER(L48),L48,IF(ISNUMBER(J48),J48,"")),IF(ISNUMBER(J48),J48,IF(ISNUMBER(K48),K48,""))))))</x:f>
      </x:c>
      <x:c r="O48" s="32" t="str">
        <x:f>IF(A48="","",IF(G48="FIXED","fixed",IF(G48="UNIFORM","midpoint_median",IF(G48="TRIANGLE",IF(ISNUMBER(L48),"mode",IF(ISNUMBER(J48),"source_median","missing")),IF(ISNUMBER(J48),"source_median",IF(ISNUMBER(K48),"source_mean","missing"))))))</x:f>
      </x:c>
      <x:c r="P48" s="18"/>
      <x:c r="Q48" s="18"/>
      <x:c r="R48" s="18"/>
      <x:c r="S48" s="18"/>
    </x:row>
    <x:row r="49">
      <x:c r="A49" s="18"/>
      <x:c r="B49" s="18"/>
      <x:c r="C49" s="18"/>
      <x:c r="D49" s="18"/>
      <x:c r="E49" s="18"/>
      <x:c r="F49" s="18"/>
      <x:c r="G49" s="18"/>
      <x:c r="H49" s="30"/>
      <x:c r="I49" s="30"/>
      <x:c r="J49" s="30"/>
      <x:c r="K49" s="30"/>
      <x:c r="L49" s="30"/>
      <x:c r="M49" s="30"/>
      <x:c r="N49" s="31" t="str">
        <x:f>IF(A49="","",IF(G49="FIXED",M49,IF(G49="UNIFORM",IF(AND(ISNUMBER(H49),ISNUMBER(I49)),(H49+I49)/2,""),IF(G49="TRIANGLE",IF(ISNUMBER(L49),L49,IF(ISNUMBER(J49),J49,"")),IF(ISNUMBER(J49),J49,IF(ISNUMBER(K49),K49,""))))))</x:f>
      </x:c>
      <x:c r="O49" s="32" t="str">
        <x:f>IF(A49="","",IF(G49="FIXED","fixed",IF(G49="UNIFORM","midpoint_median",IF(G49="TRIANGLE",IF(ISNUMBER(L49),"mode",IF(ISNUMBER(J49),"source_median","missing")),IF(ISNUMBER(J49),"source_median",IF(ISNUMBER(K49),"source_mean","missing"))))))</x:f>
      </x:c>
      <x:c r="P49" s="18"/>
      <x:c r="Q49" s="18"/>
      <x:c r="R49" s="18"/>
      <x:c r="S49" s="18"/>
    </x:row>
    <x:row r="50">
      <x:c r="A50" s="18"/>
      <x:c r="B50" s="18"/>
      <x:c r="C50" s="18"/>
      <x:c r="D50" s="18"/>
      <x:c r="E50" s="18"/>
      <x:c r="F50" s="18"/>
      <x:c r="G50" s="18"/>
      <x:c r="H50" s="30"/>
      <x:c r="I50" s="30"/>
      <x:c r="J50" s="30"/>
      <x:c r="K50" s="30"/>
      <x:c r="L50" s="30"/>
      <x:c r="M50" s="30"/>
      <x:c r="N50" s="31" t="str">
        <x:f>IF(A50="","",IF(G50="FIXED",M50,IF(G50="UNIFORM",IF(AND(ISNUMBER(H50),ISNUMBER(I50)),(H50+I50)/2,""),IF(G50="TRIANGLE",IF(ISNUMBER(L50),L50,IF(ISNUMBER(J50),J50,"")),IF(ISNUMBER(J50),J50,IF(ISNUMBER(K50),K50,""))))))</x:f>
      </x:c>
      <x:c r="O50" s="32" t="str">
        <x:f>IF(A50="","",IF(G50="FIXED","fixed",IF(G50="UNIFORM","midpoint_median",IF(G50="TRIANGLE",IF(ISNUMBER(L50),"mode",IF(ISNUMBER(J50),"source_median","missing")),IF(ISNUMBER(J50),"source_median",IF(ISNUMBER(K50),"source_mean","missing"))))))</x:f>
      </x:c>
      <x:c r="P50" s="18"/>
      <x:c r="Q50" s="18"/>
      <x:c r="R50" s="18"/>
      <x:c r="S50" s="18"/>
    </x:row>
    <x:row r="51">
      <x:c r="A51" s="18"/>
      <x:c r="B51" s="18"/>
      <x:c r="C51" s="18"/>
      <x:c r="D51" s="18"/>
      <x:c r="E51" s="18"/>
      <x:c r="F51" s="18"/>
      <x:c r="G51" s="18"/>
      <x:c r="H51" s="30"/>
      <x:c r="I51" s="30"/>
      <x:c r="J51" s="30"/>
      <x:c r="K51" s="30"/>
      <x:c r="L51" s="30"/>
      <x:c r="M51" s="30"/>
      <x:c r="N51" s="31" t="str">
        <x:f>IF(A51="","",IF(G51="FIXED",M51,IF(G51="UNIFORM",IF(AND(ISNUMBER(H51),ISNUMBER(I51)),(H51+I51)/2,""),IF(G51="TRIANGLE",IF(ISNUMBER(L51),L51,IF(ISNUMBER(J51),J51,"")),IF(ISNUMBER(J51),J51,IF(ISNUMBER(K51),K51,""))))))</x:f>
      </x:c>
      <x:c r="O51" s="32" t="str">
        <x:f>IF(A51="","",IF(G51="FIXED","fixed",IF(G51="UNIFORM","midpoint_median",IF(G51="TRIANGLE",IF(ISNUMBER(L51),"mode",IF(ISNUMBER(J51),"source_median","missing")),IF(ISNUMBER(J51),"source_median",IF(ISNUMBER(K51),"source_mean","missing"))))))</x:f>
      </x:c>
      <x:c r="P51" s="18"/>
      <x:c r="Q51" s="18"/>
      <x:c r="R51" s="18"/>
      <x:c r="S51" s="18"/>
    </x:row>
    <x:row r="52">
      <x:c r="A52" s="18"/>
      <x:c r="B52" s="18"/>
      <x:c r="C52" s="18"/>
      <x:c r="D52" s="18"/>
      <x:c r="E52" s="18"/>
      <x:c r="F52" s="18"/>
      <x:c r="G52" s="18"/>
      <x:c r="H52" s="30"/>
      <x:c r="I52" s="30"/>
      <x:c r="J52" s="30"/>
      <x:c r="K52" s="30"/>
      <x:c r="L52" s="30"/>
      <x:c r="M52" s="30"/>
      <x:c r="N52" s="31" t="str">
        <x:f>IF(A52="","",IF(G52="FIXED",M52,IF(G52="UNIFORM",IF(AND(ISNUMBER(H52),ISNUMBER(I52)),(H52+I52)/2,""),IF(G52="TRIANGLE",IF(ISNUMBER(L52),L52,IF(ISNUMBER(J52),J52,"")),IF(ISNUMBER(J52),J52,IF(ISNUMBER(K52),K52,""))))))</x:f>
      </x:c>
      <x:c r="O52" s="32" t="str">
        <x:f>IF(A52="","",IF(G52="FIXED","fixed",IF(G52="UNIFORM","midpoint_median",IF(G52="TRIANGLE",IF(ISNUMBER(L52),"mode",IF(ISNUMBER(J52),"source_median","missing")),IF(ISNUMBER(J52),"source_median",IF(ISNUMBER(K52),"source_mean","missing"))))))</x:f>
      </x:c>
      <x:c r="P52" s="18"/>
      <x:c r="Q52" s="18"/>
      <x:c r="R52" s="18"/>
      <x:c r="S52" s="18"/>
    </x:row>
    <x:row r="53">
      <x:c r="A53" s="18"/>
      <x:c r="B53" s="18"/>
      <x:c r="C53" s="18"/>
      <x:c r="D53" s="18"/>
      <x:c r="E53" s="18"/>
      <x:c r="F53" s="18"/>
      <x:c r="G53" s="18"/>
      <x:c r="H53" s="30"/>
      <x:c r="I53" s="30"/>
      <x:c r="J53" s="30"/>
      <x:c r="K53" s="30"/>
      <x:c r="L53" s="30"/>
      <x:c r="M53" s="30"/>
      <x:c r="N53" s="31" t="str">
        <x:f>IF(A53="","",IF(G53="FIXED",M53,IF(G53="UNIFORM",IF(AND(ISNUMBER(H53),ISNUMBER(I53)),(H53+I53)/2,""),IF(G53="TRIANGLE",IF(ISNUMBER(L53),L53,IF(ISNUMBER(J53),J53,"")),IF(ISNUMBER(J53),J53,IF(ISNUMBER(K53),K53,""))))))</x:f>
      </x:c>
      <x:c r="O53" s="32" t="str">
        <x:f>IF(A53="","",IF(G53="FIXED","fixed",IF(G53="UNIFORM","midpoint_median",IF(G53="TRIANGLE",IF(ISNUMBER(L53),"mode",IF(ISNUMBER(J53),"source_median","missing")),IF(ISNUMBER(J53),"source_median",IF(ISNUMBER(K53),"source_mean","missing"))))))</x:f>
      </x:c>
      <x:c r="P53" s="18"/>
      <x:c r="Q53" s="18"/>
      <x:c r="R53" s="18"/>
      <x:c r="S53" s="18"/>
    </x:row>
    <x:row r="54">
      <x:c r="A54" s="18"/>
      <x:c r="B54" s="18"/>
      <x:c r="C54" s="18"/>
      <x:c r="D54" s="18"/>
      <x:c r="E54" s="18"/>
      <x:c r="F54" s="18"/>
      <x:c r="G54" s="18"/>
      <x:c r="H54" s="30"/>
      <x:c r="I54" s="30"/>
      <x:c r="J54" s="30"/>
      <x:c r="K54" s="30"/>
      <x:c r="L54" s="30"/>
      <x:c r="M54" s="30"/>
      <x:c r="N54" s="31" t="str">
        <x:f>IF(A54="","",IF(G54="FIXED",M54,IF(G54="UNIFORM",IF(AND(ISNUMBER(H54),ISNUMBER(I54)),(H54+I54)/2,""),IF(G54="TRIANGLE",IF(ISNUMBER(L54),L54,IF(ISNUMBER(J54),J54,"")),IF(ISNUMBER(J54),J54,IF(ISNUMBER(K54),K54,""))))))</x:f>
      </x:c>
      <x:c r="O54" s="32" t="str">
        <x:f>IF(A54="","",IF(G54="FIXED","fixed",IF(G54="UNIFORM","midpoint_median",IF(G54="TRIANGLE",IF(ISNUMBER(L54),"mode",IF(ISNUMBER(J54),"source_median","missing")),IF(ISNUMBER(J54),"source_median",IF(ISNUMBER(K54),"source_mean","missing"))))))</x:f>
      </x:c>
      <x:c r="P54" s="18"/>
      <x:c r="Q54" s="18"/>
      <x:c r="R54" s="18"/>
      <x:c r="S54" s="18"/>
    </x:row>
    <x:row r="55">
      <x:c r="A55" s="18"/>
      <x:c r="B55" s="18"/>
      <x:c r="C55" s="18"/>
      <x:c r="D55" s="18"/>
      <x:c r="E55" s="18"/>
      <x:c r="F55" s="18"/>
      <x:c r="G55" s="18"/>
      <x:c r="H55" s="30"/>
      <x:c r="I55" s="30"/>
      <x:c r="J55" s="30"/>
      <x:c r="K55" s="30"/>
      <x:c r="L55" s="30"/>
      <x:c r="M55" s="30"/>
      <x:c r="N55" s="31" t="str">
        <x:f>IF(A55="","",IF(G55="FIXED",M55,IF(G55="UNIFORM",IF(AND(ISNUMBER(H55),ISNUMBER(I55)),(H55+I55)/2,""),IF(G55="TRIANGLE",IF(ISNUMBER(L55),L55,IF(ISNUMBER(J55),J55,"")),IF(ISNUMBER(J55),J55,IF(ISNUMBER(K55),K55,""))))))</x:f>
      </x:c>
      <x:c r="O55" s="32" t="str">
        <x:f>IF(A55="","",IF(G55="FIXED","fixed",IF(G55="UNIFORM","midpoint_median",IF(G55="TRIANGLE",IF(ISNUMBER(L55),"mode",IF(ISNUMBER(J55),"source_median","missing")),IF(ISNUMBER(J55),"source_median",IF(ISNUMBER(K55),"source_mean","missing"))))))</x:f>
      </x:c>
      <x:c r="P55" s="18"/>
      <x:c r="Q55" s="18"/>
      <x:c r="R55" s="18"/>
      <x:c r="S55" s="18"/>
    </x:row>
    <x:row r="56">
      <x:c r="A56" s="18"/>
      <x:c r="B56" s="18"/>
      <x:c r="C56" s="18"/>
      <x:c r="D56" s="18"/>
      <x:c r="E56" s="18"/>
      <x:c r="F56" s="18"/>
      <x:c r="G56" s="18"/>
      <x:c r="H56" s="30"/>
      <x:c r="I56" s="30"/>
      <x:c r="J56" s="30"/>
      <x:c r="K56" s="30"/>
      <x:c r="L56" s="30"/>
      <x:c r="M56" s="30"/>
      <x:c r="N56" s="31" t="str">
        <x:f>IF(A56="","",IF(G56="FIXED",M56,IF(G56="UNIFORM",IF(AND(ISNUMBER(H56),ISNUMBER(I56)),(H56+I56)/2,""),IF(G56="TRIANGLE",IF(ISNUMBER(L56),L56,IF(ISNUMBER(J56),J56,"")),IF(ISNUMBER(J56),J56,IF(ISNUMBER(K56),K56,""))))))</x:f>
      </x:c>
      <x:c r="O56" s="32" t="str">
        <x:f>IF(A56="","",IF(G56="FIXED","fixed",IF(G56="UNIFORM","midpoint_median",IF(G56="TRIANGLE",IF(ISNUMBER(L56),"mode",IF(ISNUMBER(J56),"source_median","missing")),IF(ISNUMBER(J56),"source_median",IF(ISNUMBER(K56),"source_mean","missing"))))))</x:f>
      </x:c>
      <x:c r="P56" s="18"/>
      <x:c r="Q56" s="18"/>
      <x:c r="R56" s="18"/>
      <x:c r="S56" s="18"/>
    </x:row>
    <x:row r="57">
      <x:c r="A57" s="18"/>
      <x:c r="B57" s="18"/>
      <x:c r="C57" s="18"/>
      <x:c r="D57" s="18"/>
      <x:c r="E57" s="18"/>
      <x:c r="F57" s="18"/>
      <x:c r="G57" s="18"/>
      <x:c r="H57" s="30"/>
      <x:c r="I57" s="30"/>
      <x:c r="J57" s="30"/>
      <x:c r="K57" s="30"/>
      <x:c r="L57" s="30"/>
      <x:c r="M57" s="30"/>
      <x:c r="N57" s="31" t="str">
        <x:f>IF(A57="","",IF(G57="FIXED",M57,IF(G57="UNIFORM",IF(AND(ISNUMBER(H57),ISNUMBER(I57)),(H57+I57)/2,""),IF(G57="TRIANGLE",IF(ISNUMBER(L57),L57,IF(ISNUMBER(J57),J57,"")),IF(ISNUMBER(J57),J57,IF(ISNUMBER(K57),K57,""))))))</x:f>
      </x:c>
      <x:c r="O57" s="32" t="str">
        <x:f>IF(A57="","",IF(G57="FIXED","fixed",IF(G57="UNIFORM","midpoint_median",IF(G57="TRIANGLE",IF(ISNUMBER(L57),"mode",IF(ISNUMBER(J57),"source_median","missing")),IF(ISNUMBER(J57),"source_median",IF(ISNUMBER(K57),"source_mean","missing"))))))</x:f>
      </x:c>
      <x:c r="P57" s="18"/>
      <x:c r="Q57" s="18"/>
      <x:c r="R57" s="18"/>
      <x:c r="S57" s="18"/>
    </x:row>
    <x:row r="58">
      <x:c r="A58" s="18"/>
      <x:c r="B58" s="18"/>
      <x:c r="C58" s="18"/>
      <x:c r="D58" s="18"/>
      <x:c r="E58" s="18"/>
      <x:c r="F58" s="18"/>
      <x:c r="G58" s="18"/>
      <x:c r="H58" s="30"/>
      <x:c r="I58" s="30"/>
      <x:c r="J58" s="30"/>
      <x:c r="K58" s="30"/>
      <x:c r="L58" s="30"/>
      <x:c r="M58" s="30"/>
      <x:c r="N58" s="31" t="str">
        <x:f>IF(A58="","",IF(G58="FIXED",M58,IF(G58="UNIFORM",IF(AND(ISNUMBER(H58),ISNUMBER(I58)),(H58+I58)/2,""),IF(G58="TRIANGLE",IF(ISNUMBER(L58),L58,IF(ISNUMBER(J58),J58,"")),IF(ISNUMBER(J58),J58,IF(ISNUMBER(K58),K58,""))))))</x:f>
      </x:c>
      <x:c r="O58" s="32" t="str">
        <x:f>IF(A58="","",IF(G58="FIXED","fixed",IF(G58="UNIFORM","midpoint_median",IF(G58="TRIANGLE",IF(ISNUMBER(L58),"mode",IF(ISNUMBER(J58),"source_median","missing")),IF(ISNUMBER(J58),"source_median",IF(ISNUMBER(K58),"source_mean","missing"))))))</x:f>
      </x:c>
      <x:c r="P58" s="18"/>
      <x:c r="Q58" s="18"/>
      <x:c r="R58" s="18"/>
      <x:c r="S58" s="18"/>
    </x:row>
    <x:row r="59">
      <x:c r="A59" s="18"/>
      <x:c r="B59" s="18"/>
      <x:c r="C59" s="18"/>
      <x:c r="D59" s="18"/>
      <x:c r="E59" s="18"/>
      <x:c r="F59" s="18"/>
      <x:c r="G59" s="18"/>
      <x:c r="H59" s="30"/>
      <x:c r="I59" s="30"/>
      <x:c r="J59" s="30"/>
      <x:c r="K59" s="30"/>
      <x:c r="L59" s="30"/>
      <x:c r="M59" s="30"/>
      <x:c r="N59" s="31" t="str">
        <x:f>IF(A59="","",IF(G59="FIXED",M59,IF(G59="UNIFORM",IF(AND(ISNUMBER(H59),ISNUMBER(I59)),(H59+I59)/2,""),IF(G59="TRIANGLE",IF(ISNUMBER(L59),L59,IF(ISNUMBER(J59),J59,"")),IF(ISNUMBER(J59),J59,IF(ISNUMBER(K59),K59,""))))))</x:f>
      </x:c>
      <x:c r="O59" s="32" t="str">
        <x:f>IF(A59="","",IF(G59="FIXED","fixed",IF(G59="UNIFORM","midpoint_median",IF(G59="TRIANGLE",IF(ISNUMBER(L59),"mode",IF(ISNUMBER(J59),"source_median","missing")),IF(ISNUMBER(J59),"source_median",IF(ISNUMBER(K59),"source_mean","missing"))))))</x:f>
      </x:c>
      <x:c r="P59" s="18"/>
      <x:c r="Q59" s="18"/>
      <x:c r="R59" s="18"/>
      <x:c r="S59" s="18"/>
    </x:row>
    <x:row r="60">
      <x:c r="A60" s="18"/>
      <x:c r="B60" s="18"/>
      <x:c r="C60" s="18"/>
      <x:c r="D60" s="18"/>
      <x:c r="E60" s="18"/>
      <x:c r="F60" s="18"/>
      <x:c r="G60" s="18"/>
      <x:c r="H60" s="30"/>
      <x:c r="I60" s="30"/>
      <x:c r="J60" s="30"/>
      <x:c r="K60" s="30"/>
      <x:c r="L60" s="30"/>
      <x:c r="M60" s="30"/>
      <x:c r="N60" s="31" t="str">
        <x:f>IF(A60="","",IF(G60="FIXED",M60,IF(G60="UNIFORM",IF(AND(ISNUMBER(H60),ISNUMBER(I60)),(H60+I60)/2,""),IF(G60="TRIANGLE",IF(ISNUMBER(L60),L60,IF(ISNUMBER(J60),J60,"")),IF(ISNUMBER(J60),J60,IF(ISNUMBER(K60),K60,""))))))</x:f>
      </x:c>
      <x:c r="O60" s="32" t="str">
        <x:f>IF(A60="","",IF(G60="FIXED","fixed",IF(G60="UNIFORM","midpoint_median",IF(G60="TRIANGLE",IF(ISNUMBER(L60),"mode",IF(ISNUMBER(J60),"source_median","missing")),IF(ISNUMBER(J60),"source_median",IF(ISNUMBER(K60),"source_mean","missing"))))))</x:f>
      </x:c>
      <x:c r="P60" s="18"/>
      <x:c r="Q60" s="18"/>
      <x:c r="R60" s="18"/>
      <x:c r="S60" s="18"/>
    </x:row>
    <x:row r="61">
      <x:c r="A61" s="18"/>
      <x:c r="B61" s="18"/>
      <x:c r="C61" s="18"/>
      <x:c r="D61" s="18"/>
      <x:c r="E61" s="18"/>
      <x:c r="F61" s="18"/>
      <x:c r="G61" s="18"/>
      <x:c r="H61" s="30"/>
      <x:c r="I61" s="30"/>
      <x:c r="J61" s="30"/>
      <x:c r="K61" s="30"/>
      <x:c r="L61" s="30"/>
      <x:c r="M61" s="30"/>
      <x:c r="N61" s="31" t="str">
        <x:f>IF(A61="","",IF(G61="FIXED",M61,IF(G61="UNIFORM",IF(AND(ISNUMBER(H61),ISNUMBER(I61)),(H61+I61)/2,""),IF(G61="TRIANGLE",IF(ISNUMBER(L61),L61,IF(ISNUMBER(J61),J61,"")),IF(ISNUMBER(J61),J61,IF(ISNUMBER(K61),K61,""))))))</x:f>
      </x:c>
      <x:c r="O61" s="32" t="str">
        <x:f>IF(A61="","",IF(G61="FIXED","fixed",IF(G61="UNIFORM","midpoint_median",IF(G61="TRIANGLE",IF(ISNUMBER(L61),"mode",IF(ISNUMBER(J61),"source_median","missing")),IF(ISNUMBER(J61),"source_median",IF(ISNUMBER(K61),"source_mean","missing"))))))</x:f>
      </x:c>
      <x:c r="P61" s="18"/>
      <x:c r="Q61" s="18"/>
      <x:c r="R61" s="18"/>
      <x:c r="S61" s="18"/>
    </x:row>
    <x:row r="62">
      <x:c r="A62" s="18"/>
      <x:c r="B62" s="18"/>
      <x:c r="C62" s="18"/>
      <x:c r="D62" s="18"/>
      <x:c r="E62" s="18"/>
      <x:c r="F62" s="18"/>
      <x:c r="G62" s="18"/>
      <x:c r="H62" s="30"/>
      <x:c r="I62" s="30"/>
      <x:c r="J62" s="30"/>
      <x:c r="K62" s="30"/>
      <x:c r="L62" s="30"/>
      <x:c r="M62" s="30"/>
      <x:c r="N62" s="31" t="str">
        <x:f>IF(A62="","",IF(G62="FIXED",M62,IF(G62="UNIFORM",IF(AND(ISNUMBER(H62),ISNUMBER(I62)),(H62+I62)/2,""),IF(G62="TRIANGLE",IF(ISNUMBER(L62),L62,IF(ISNUMBER(J62),J62,"")),IF(ISNUMBER(J62),J62,IF(ISNUMBER(K62),K62,""))))))</x:f>
      </x:c>
      <x:c r="O62" s="32" t="str">
        <x:f>IF(A62="","",IF(G62="FIXED","fixed",IF(G62="UNIFORM","midpoint_median",IF(G62="TRIANGLE",IF(ISNUMBER(L62),"mode",IF(ISNUMBER(J62),"source_median","missing")),IF(ISNUMBER(J62),"source_median",IF(ISNUMBER(K62),"source_mean","missing"))))))</x:f>
      </x:c>
      <x:c r="P62" s="18"/>
      <x:c r="Q62" s="18"/>
      <x:c r="R62" s="18"/>
      <x:c r="S62" s="18"/>
    </x:row>
    <x:row r="63">
      <x:c r="A63" s="18"/>
      <x:c r="B63" s="18"/>
      <x:c r="C63" s="18"/>
      <x:c r="D63" s="18"/>
      <x:c r="E63" s="18"/>
      <x:c r="F63" s="18"/>
      <x:c r="G63" s="18"/>
      <x:c r="H63" s="30"/>
      <x:c r="I63" s="30"/>
      <x:c r="J63" s="30"/>
      <x:c r="K63" s="30"/>
      <x:c r="L63" s="30"/>
      <x:c r="M63" s="30"/>
      <x:c r="N63" s="31" t="str">
        <x:f>IF(A63="","",IF(G63="FIXED",M63,IF(G63="UNIFORM",IF(AND(ISNUMBER(H63),ISNUMBER(I63)),(H63+I63)/2,""),IF(G63="TRIANGLE",IF(ISNUMBER(L63),L63,IF(ISNUMBER(J63),J63,"")),IF(ISNUMBER(J63),J63,IF(ISNUMBER(K63),K63,""))))))</x:f>
      </x:c>
      <x:c r="O63" s="32" t="str">
        <x:f>IF(A63="","",IF(G63="FIXED","fixed",IF(G63="UNIFORM","midpoint_median",IF(G63="TRIANGLE",IF(ISNUMBER(L63),"mode",IF(ISNUMBER(J63),"source_median","missing")),IF(ISNUMBER(J63),"source_median",IF(ISNUMBER(K63),"source_mean","missing"))))))</x:f>
      </x:c>
      <x:c r="P63" s="18"/>
      <x:c r="Q63" s="18"/>
      <x:c r="R63" s="18"/>
      <x:c r="S63" s="18"/>
    </x:row>
    <x:row r="64">
      <x:c r="A64" s="18"/>
      <x:c r="B64" s="18"/>
      <x:c r="C64" s="18"/>
      <x:c r="D64" s="18"/>
      <x:c r="E64" s="18"/>
      <x:c r="F64" s="18"/>
      <x:c r="G64" s="18"/>
      <x:c r="H64" s="30"/>
      <x:c r="I64" s="30"/>
      <x:c r="J64" s="30"/>
      <x:c r="K64" s="30"/>
      <x:c r="L64" s="30"/>
      <x:c r="M64" s="30"/>
      <x:c r="N64" s="31" t="str">
        <x:f>IF(A64="","",IF(G64="FIXED",M64,IF(G64="UNIFORM",IF(AND(ISNUMBER(H64),ISNUMBER(I64)),(H64+I64)/2,""),IF(G64="TRIANGLE",IF(ISNUMBER(L64),L64,IF(ISNUMBER(J64),J64,"")),IF(ISNUMBER(J64),J64,IF(ISNUMBER(K64),K64,""))))))</x:f>
      </x:c>
      <x:c r="O64" s="32" t="str">
        <x:f>IF(A64="","",IF(G64="FIXED","fixed",IF(G64="UNIFORM","midpoint_median",IF(G64="TRIANGLE",IF(ISNUMBER(L64),"mode",IF(ISNUMBER(J64),"source_median","missing")),IF(ISNUMBER(J64),"source_median",IF(ISNUMBER(K64),"source_mean","missing"))))))</x:f>
      </x:c>
      <x:c r="P64" s="18"/>
      <x:c r="Q64" s="18"/>
      <x:c r="R64" s="18"/>
      <x:c r="S64" s="18"/>
    </x:row>
    <x:row r="65">
      <x:c r="A65" s="18"/>
      <x:c r="B65" s="18"/>
      <x:c r="C65" s="18"/>
      <x:c r="D65" s="18"/>
      <x:c r="E65" s="18"/>
      <x:c r="F65" s="18"/>
      <x:c r="G65" s="18"/>
      <x:c r="H65" s="30"/>
      <x:c r="I65" s="30"/>
      <x:c r="J65" s="30"/>
      <x:c r="K65" s="30"/>
      <x:c r="L65" s="30"/>
      <x:c r="M65" s="30"/>
      <x:c r="N65" s="31" t="str">
        <x:f>IF(A65="","",IF(G65="FIXED",M65,IF(G65="UNIFORM",IF(AND(ISNUMBER(H65),ISNUMBER(I65)),(H65+I65)/2,""),IF(G65="TRIANGLE",IF(ISNUMBER(L65),L65,IF(ISNUMBER(J65),J65,"")),IF(ISNUMBER(J65),J65,IF(ISNUMBER(K65),K65,""))))))</x:f>
      </x:c>
      <x:c r="O65" s="32" t="str">
        <x:f>IF(A65="","",IF(G65="FIXED","fixed",IF(G65="UNIFORM","midpoint_median",IF(G65="TRIANGLE",IF(ISNUMBER(L65),"mode",IF(ISNUMBER(J65),"source_median","missing")),IF(ISNUMBER(J65),"source_median",IF(ISNUMBER(K65),"source_mean","missing"))))))</x:f>
      </x:c>
      <x:c r="P65" s="18"/>
      <x:c r="Q65" s="18"/>
      <x:c r="R65" s="18"/>
      <x:c r="S65" s="18"/>
    </x:row>
    <x:row r="66">
      <x:c r="A66" s="18"/>
      <x:c r="B66" s="18"/>
      <x:c r="C66" s="18"/>
      <x:c r="D66" s="18"/>
      <x:c r="E66" s="18"/>
      <x:c r="F66" s="18"/>
      <x:c r="G66" s="18"/>
      <x:c r="H66" s="30"/>
      <x:c r="I66" s="30"/>
      <x:c r="J66" s="30"/>
      <x:c r="K66" s="30"/>
      <x:c r="L66" s="30"/>
      <x:c r="M66" s="30"/>
      <x:c r="N66" s="31" t="str">
        <x:f>IF(A66="","",IF(G66="FIXED",M66,IF(G66="UNIFORM",IF(AND(ISNUMBER(H66),ISNUMBER(I66)),(H66+I66)/2,""),IF(G66="TRIANGLE",IF(ISNUMBER(L66),L66,IF(ISNUMBER(J66),J66,"")),IF(ISNUMBER(J66),J66,IF(ISNUMBER(K66),K66,""))))))</x:f>
      </x:c>
      <x:c r="O66" s="32" t="str">
        <x:f>IF(A66="","",IF(G66="FIXED","fixed",IF(G66="UNIFORM","midpoint_median",IF(G66="TRIANGLE",IF(ISNUMBER(L66),"mode",IF(ISNUMBER(J66),"source_median","missing")),IF(ISNUMBER(J66),"source_median",IF(ISNUMBER(K66),"source_mean","missing"))))))</x:f>
      </x:c>
      <x:c r="P66" s="18"/>
      <x:c r="Q66" s="18"/>
      <x:c r="R66" s="18"/>
      <x:c r="S66" s="18"/>
    </x:row>
    <x:row r="67">
      <x:c r="A67" s="18"/>
      <x:c r="B67" s="18"/>
      <x:c r="C67" s="18"/>
      <x:c r="D67" s="18"/>
      <x:c r="E67" s="18"/>
      <x:c r="F67" s="18"/>
      <x:c r="G67" s="18"/>
      <x:c r="H67" s="30"/>
      <x:c r="I67" s="30"/>
      <x:c r="J67" s="30"/>
      <x:c r="K67" s="30"/>
      <x:c r="L67" s="30"/>
      <x:c r="M67" s="30"/>
      <x:c r="N67" s="31" t="str">
        <x:f>IF(A67="","",IF(G67="FIXED",M67,IF(G67="UNIFORM",IF(AND(ISNUMBER(H67),ISNUMBER(I67)),(H67+I67)/2,""),IF(G67="TRIANGLE",IF(ISNUMBER(L67),L67,IF(ISNUMBER(J67),J67,"")),IF(ISNUMBER(J67),J67,IF(ISNUMBER(K67),K67,""))))))</x:f>
      </x:c>
      <x:c r="O67" s="32" t="str">
        <x:f>IF(A67="","",IF(G67="FIXED","fixed",IF(G67="UNIFORM","midpoint_median",IF(G67="TRIANGLE",IF(ISNUMBER(L67),"mode",IF(ISNUMBER(J67),"source_median","missing")),IF(ISNUMBER(J67),"source_median",IF(ISNUMBER(K67),"source_mean","missing"))))))</x:f>
      </x:c>
      <x:c r="P67" s="18"/>
      <x:c r="Q67" s="18"/>
      <x:c r="R67" s="18"/>
      <x:c r="S67" s="18"/>
    </x:row>
    <x:row r="68">
      <x:c r="A68" s="18"/>
      <x:c r="B68" s="18"/>
      <x:c r="C68" s="18"/>
      <x:c r="D68" s="18"/>
      <x:c r="E68" s="18"/>
      <x:c r="F68" s="18"/>
      <x:c r="G68" s="18"/>
      <x:c r="H68" s="30"/>
      <x:c r="I68" s="30"/>
      <x:c r="J68" s="30"/>
      <x:c r="K68" s="30"/>
      <x:c r="L68" s="30"/>
      <x:c r="M68" s="30"/>
      <x:c r="N68" s="31" t="str">
        <x:f>IF(A68="","",IF(G68="FIXED",M68,IF(G68="UNIFORM",IF(AND(ISNUMBER(H68),ISNUMBER(I68)),(H68+I68)/2,""),IF(G68="TRIANGLE",IF(ISNUMBER(L68),L68,IF(ISNUMBER(J68),J68,"")),IF(ISNUMBER(J68),J68,IF(ISNUMBER(K68),K68,""))))))</x:f>
      </x:c>
      <x:c r="O68" s="32" t="str">
        <x:f>IF(A68="","",IF(G68="FIXED","fixed",IF(G68="UNIFORM","midpoint_median",IF(G68="TRIANGLE",IF(ISNUMBER(L68),"mode",IF(ISNUMBER(J68),"source_median","missing")),IF(ISNUMBER(J68),"source_median",IF(ISNUMBER(K68),"source_mean","missing"))))))</x:f>
      </x:c>
      <x:c r="P68" s="18"/>
      <x:c r="Q68" s="18"/>
      <x:c r="R68" s="18"/>
      <x:c r="S68" s="18"/>
    </x:row>
    <x:row r="69">
      <x:c r="A69" s="18"/>
      <x:c r="B69" s="18"/>
      <x:c r="C69" s="18"/>
      <x:c r="D69" s="18"/>
      <x:c r="E69" s="18"/>
      <x:c r="F69" s="18"/>
      <x:c r="G69" s="18"/>
      <x:c r="H69" s="30"/>
      <x:c r="I69" s="30"/>
      <x:c r="J69" s="30"/>
      <x:c r="K69" s="30"/>
      <x:c r="L69" s="30"/>
      <x:c r="M69" s="30"/>
      <x:c r="N69" s="31" t="str">
        <x:f>IF(A69="","",IF(G69="FIXED",M69,IF(G69="UNIFORM",IF(AND(ISNUMBER(H69),ISNUMBER(I69)),(H69+I69)/2,""),IF(G69="TRIANGLE",IF(ISNUMBER(L69),L69,IF(ISNUMBER(J69),J69,"")),IF(ISNUMBER(J69),J69,IF(ISNUMBER(K69),K69,""))))))</x:f>
      </x:c>
      <x:c r="O69" s="32" t="str">
        <x:f>IF(A69="","",IF(G69="FIXED","fixed",IF(G69="UNIFORM","midpoint_median",IF(G69="TRIANGLE",IF(ISNUMBER(L69),"mode",IF(ISNUMBER(J69),"source_median","missing")),IF(ISNUMBER(J69),"source_median",IF(ISNUMBER(K69),"source_mean","missing"))))))</x:f>
      </x:c>
      <x:c r="P69" s="18"/>
      <x:c r="Q69" s="18"/>
      <x:c r="R69" s="18"/>
      <x:c r="S69" s="18"/>
    </x:row>
    <x:row r="70">
      <x:c r="A70" s="18"/>
      <x:c r="B70" s="18"/>
      <x:c r="C70" s="18"/>
      <x:c r="D70" s="18"/>
      <x:c r="E70" s="18"/>
      <x:c r="F70" s="18"/>
      <x:c r="G70" s="18"/>
      <x:c r="H70" s="30"/>
      <x:c r="I70" s="30"/>
      <x:c r="J70" s="30"/>
      <x:c r="K70" s="30"/>
      <x:c r="L70" s="30"/>
      <x:c r="M70" s="30"/>
      <x:c r="N70" s="31" t="str">
        <x:f>IF(A70="","",IF(G70="FIXED",M70,IF(G70="UNIFORM",IF(AND(ISNUMBER(H70),ISNUMBER(I70)),(H70+I70)/2,""),IF(G70="TRIANGLE",IF(ISNUMBER(L70),L70,IF(ISNUMBER(J70),J70,"")),IF(ISNUMBER(J70),J70,IF(ISNUMBER(K70),K70,""))))))</x:f>
      </x:c>
      <x:c r="O70" s="32" t="str">
        <x:f>IF(A70="","",IF(G70="FIXED","fixed",IF(G70="UNIFORM","midpoint_median",IF(G70="TRIANGLE",IF(ISNUMBER(L70),"mode",IF(ISNUMBER(J70),"source_median","missing")),IF(ISNUMBER(J70),"source_median",IF(ISNUMBER(K70),"source_mean","missing"))))))</x:f>
      </x:c>
      <x:c r="P70" s="18"/>
      <x:c r="Q70" s="18"/>
      <x:c r="R70" s="18"/>
      <x:c r="S70" s="18"/>
    </x:row>
    <x:row r="71">
      <x:c r="A71" s="18"/>
      <x:c r="B71" s="18"/>
      <x:c r="C71" s="18"/>
      <x:c r="D71" s="18"/>
      <x:c r="E71" s="18"/>
      <x:c r="F71" s="18"/>
      <x:c r="G71" s="18"/>
      <x:c r="H71" s="30"/>
      <x:c r="I71" s="30"/>
      <x:c r="J71" s="30"/>
      <x:c r="K71" s="30"/>
      <x:c r="L71" s="30"/>
      <x:c r="M71" s="30"/>
      <x:c r="N71" s="31" t="str">
        <x:f>IF(A71="","",IF(G71="FIXED",M71,IF(G71="UNIFORM",IF(AND(ISNUMBER(H71),ISNUMBER(I71)),(H71+I71)/2,""),IF(G71="TRIANGLE",IF(ISNUMBER(L71),L71,IF(ISNUMBER(J71),J71,"")),IF(ISNUMBER(J71),J71,IF(ISNUMBER(K71),K71,""))))))</x:f>
      </x:c>
      <x:c r="O71" s="32" t="str">
        <x:f>IF(A71="","",IF(G71="FIXED","fixed",IF(G71="UNIFORM","midpoint_median",IF(G71="TRIANGLE",IF(ISNUMBER(L71),"mode",IF(ISNUMBER(J71),"source_median","missing")),IF(ISNUMBER(J71),"source_median",IF(ISNUMBER(K71),"source_mean","missing"))))))</x:f>
      </x:c>
      <x:c r="P71" s="18"/>
      <x:c r="Q71" s="18"/>
      <x:c r="R71" s="18"/>
      <x:c r="S71" s="18"/>
    </x:row>
    <x:row r="72">
      <x:c r="A72" s="18"/>
      <x:c r="B72" s="18"/>
      <x:c r="C72" s="18"/>
      <x:c r="D72" s="18"/>
      <x:c r="E72" s="18"/>
      <x:c r="F72" s="18"/>
      <x:c r="G72" s="18"/>
      <x:c r="H72" s="30"/>
      <x:c r="I72" s="30"/>
      <x:c r="J72" s="30"/>
      <x:c r="K72" s="30"/>
      <x:c r="L72" s="30"/>
      <x:c r="M72" s="30"/>
      <x:c r="N72" s="31" t="str">
        <x:f>IF(A72="","",IF(G72="FIXED",M72,IF(G72="UNIFORM",IF(AND(ISNUMBER(H72),ISNUMBER(I72)),(H72+I72)/2,""),IF(G72="TRIANGLE",IF(ISNUMBER(L72),L72,IF(ISNUMBER(J72),J72,"")),IF(ISNUMBER(J72),J72,IF(ISNUMBER(K72),K72,""))))))</x:f>
      </x:c>
      <x:c r="O72" s="32" t="str">
        <x:f>IF(A72="","",IF(G72="FIXED","fixed",IF(G72="UNIFORM","midpoint_median",IF(G72="TRIANGLE",IF(ISNUMBER(L72),"mode",IF(ISNUMBER(J72),"source_median","missing")),IF(ISNUMBER(J72),"source_median",IF(ISNUMBER(K72),"source_mean","missing"))))))</x:f>
      </x:c>
      <x:c r="P72" s="18"/>
      <x:c r="Q72" s="18"/>
      <x:c r="R72" s="18"/>
      <x:c r="S72" s="18"/>
    </x:row>
    <x:row r="73">
      <x:c r="A73" s="18"/>
      <x:c r="B73" s="18"/>
      <x:c r="C73" s="18"/>
      <x:c r="D73" s="18"/>
      <x:c r="E73" s="18"/>
      <x:c r="F73" s="18"/>
      <x:c r="G73" s="18"/>
      <x:c r="H73" s="30"/>
      <x:c r="I73" s="30"/>
      <x:c r="J73" s="30"/>
      <x:c r="K73" s="30"/>
      <x:c r="L73" s="30"/>
      <x:c r="M73" s="30"/>
      <x:c r="N73" s="31" t="str">
        <x:f>IF(A73="","",IF(G73="FIXED",M73,IF(G73="UNIFORM",IF(AND(ISNUMBER(H73),ISNUMBER(I73)),(H73+I73)/2,""),IF(G73="TRIANGLE",IF(ISNUMBER(L73),L73,IF(ISNUMBER(J73),J73,"")),IF(ISNUMBER(J73),J73,IF(ISNUMBER(K73),K73,""))))))</x:f>
      </x:c>
      <x:c r="O73" s="32" t="str">
        <x:f>IF(A73="","",IF(G73="FIXED","fixed",IF(G73="UNIFORM","midpoint_median",IF(G73="TRIANGLE",IF(ISNUMBER(L73),"mode",IF(ISNUMBER(J73),"source_median","missing")),IF(ISNUMBER(J73),"source_median",IF(ISNUMBER(K73),"source_mean","missing"))))))</x:f>
      </x:c>
      <x:c r="P73" s="18"/>
      <x:c r="Q73" s="18"/>
      <x:c r="R73" s="18"/>
      <x:c r="S73" s="18"/>
    </x:row>
    <x:row r="74">
      <x:c r="A74" s="18"/>
      <x:c r="B74" s="18"/>
      <x:c r="C74" s="18"/>
      <x:c r="D74" s="18"/>
      <x:c r="E74" s="18"/>
      <x:c r="F74" s="18"/>
      <x:c r="G74" s="18"/>
      <x:c r="H74" s="30"/>
      <x:c r="I74" s="30"/>
      <x:c r="J74" s="30"/>
      <x:c r="K74" s="30"/>
      <x:c r="L74" s="30"/>
      <x:c r="M74" s="30"/>
      <x:c r="N74" s="31" t="str">
        <x:f>IF(A74="","",IF(G74="FIXED",M74,IF(G74="UNIFORM",IF(AND(ISNUMBER(H74),ISNUMBER(I74)),(H74+I74)/2,""),IF(G74="TRIANGLE",IF(ISNUMBER(L74),L74,IF(ISNUMBER(J74),J74,"")),IF(ISNUMBER(J74),J74,IF(ISNUMBER(K74),K74,""))))))</x:f>
      </x:c>
      <x:c r="O74" s="32" t="str">
        <x:f>IF(A74="","",IF(G74="FIXED","fixed",IF(G74="UNIFORM","midpoint_median",IF(G74="TRIANGLE",IF(ISNUMBER(L74),"mode",IF(ISNUMBER(J74),"source_median","missing")),IF(ISNUMBER(J74),"source_median",IF(ISNUMBER(K74),"source_mean","missing"))))))</x:f>
      </x:c>
      <x:c r="P74" s="18"/>
      <x:c r="Q74" s="18"/>
      <x:c r="R74" s="18"/>
      <x:c r="S74" s="18"/>
    </x:row>
    <x:row r="75">
      <x:c r="A75" s="18"/>
      <x:c r="B75" s="18"/>
      <x:c r="C75" s="18"/>
      <x:c r="D75" s="18"/>
      <x:c r="E75" s="18"/>
      <x:c r="F75" s="18"/>
      <x:c r="G75" s="18"/>
      <x:c r="H75" s="30"/>
      <x:c r="I75" s="30"/>
      <x:c r="J75" s="30"/>
      <x:c r="K75" s="30"/>
      <x:c r="L75" s="30"/>
      <x:c r="M75" s="30"/>
      <x:c r="N75" s="31" t="str">
        <x:f>IF(A75="","",IF(G75="FIXED",M75,IF(G75="UNIFORM",IF(AND(ISNUMBER(H75),ISNUMBER(I75)),(H75+I75)/2,""),IF(G75="TRIANGLE",IF(ISNUMBER(L75),L75,IF(ISNUMBER(J75),J75,"")),IF(ISNUMBER(J75),J75,IF(ISNUMBER(K75),K75,""))))))</x:f>
      </x:c>
      <x:c r="O75" s="32" t="str">
        <x:f>IF(A75="","",IF(G75="FIXED","fixed",IF(G75="UNIFORM","midpoint_median",IF(G75="TRIANGLE",IF(ISNUMBER(L75),"mode",IF(ISNUMBER(J75),"source_median","missing")),IF(ISNUMBER(J75),"source_median",IF(ISNUMBER(K75),"source_mean","missing"))))))</x:f>
      </x:c>
      <x:c r="P75" s="18"/>
      <x:c r="Q75" s="18"/>
      <x:c r="R75" s="18"/>
      <x:c r="S75" s="18"/>
    </x:row>
    <x:row r="76">
      <x:c r="A76" s="18"/>
      <x:c r="B76" s="18"/>
      <x:c r="C76" s="18"/>
      <x:c r="D76" s="18"/>
      <x:c r="E76" s="18"/>
      <x:c r="F76" s="18"/>
      <x:c r="G76" s="18"/>
      <x:c r="H76" s="30"/>
      <x:c r="I76" s="30"/>
      <x:c r="J76" s="30"/>
      <x:c r="K76" s="30"/>
      <x:c r="L76" s="30"/>
      <x:c r="M76" s="30"/>
      <x:c r="N76" s="31" t="str">
        <x:f>IF(A76="","",IF(G76="FIXED",M76,IF(G76="UNIFORM",IF(AND(ISNUMBER(H76),ISNUMBER(I76)),(H76+I76)/2,""),IF(G76="TRIANGLE",IF(ISNUMBER(L76),L76,IF(ISNUMBER(J76),J76,"")),IF(ISNUMBER(J76),J76,IF(ISNUMBER(K76),K76,""))))))</x:f>
      </x:c>
      <x:c r="O76" s="32" t="str">
        <x:f>IF(A76="","",IF(G76="FIXED","fixed",IF(G76="UNIFORM","midpoint_median",IF(G76="TRIANGLE",IF(ISNUMBER(L76),"mode",IF(ISNUMBER(J76),"source_median","missing")),IF(ISNUMBER(J76),"source_median",IF(ISNUMBER(K76),"source_mean","missing"))))))</x:f>
      </x:c>
      <x:c r="P76" s="18"/>
      <x:c r="Q76" s="18"/>
      <x:c r="R76" s="18"/>
      <x:c r="S76" s="18"/>
    </x:row>
    <x:row r="77">
      <x:c r="A77" s="18"/>
      <x:c r="B77" s="18"/>
      <x:c r="C77" s="18"/>
      <x:c r="D77" s="18"/>
      <x:c r="E77" s="18"/>
      <x:c r="F77" s="18"/>
      <x:c r="G77" s="18"/>
      <x:c r="H77" s="30"/>
      <x:c r="I77" s="30"/>
      <x:c r="J77" s="30"/>
      <x:c r="K77" s="30"/>
      <x:c r="L77" s="30"/>
      <x:c r="M77" s="30"/>
      <x:c r="N77" s="31" t="str">
        <x:f>IF(A77="","",IF(G77="FIXED",M77,IF(G77="UNIFORM",IF(AND(ISNUMBER(H77),ISNUMBER(I77)),(H77+I77)/2,""),IF(G77="TRIANGLE",IF(ISNUMBER(L77),L77,IF(ISNUMBER(J77),J77,"")),IF(ISNUMBER(J77),J77,IF(ISNUMBER(K77),K77,""))))))</x:f>
      </x:c>
      <x:c r="O77" s="32" t="str">
        <x:f>IF(A77="","",IF(G77="FIXED","fixed",IF(G77="UNIFORM","midpoint_median",IF(G77="TRIANGLE",IF(ISNUMBER(L77),"mode",IF(ISNUMBER(J77),"source_median","missing")),IF(ISNUMBER(J77),"source_median",IF(ISNUMBER(K77),"source_mean","missing"))))))</x:f>
      </x:c>
      <x:c r="P77" s="18"/>
      <x:c r="Q77" s="18"/>
      <x:c r="R77" s="18"/>
      <x:c r="S77" s="18"/>
    </x:row>
    <x:row r="78">
      <x:c r="A78" s="18"/>
      <x:c r="B78" s="18"/>
      <x:c r="C78" s="18"/>
      <x:c r="D78" s="18"/>
      <x:c r="E78" s="18"/>
      <x:c r="F78" s="18"/>
      <x:c r="G78" s="18"/>
      <x:c r="H78" s="30"/>
      <x:c r="I78" s="30"/>
      <x:c r="J78" s="30"/>
      <x:c r="K78" s="30"/>
      <x:c r="L78" s="30"/>
      <x:c r="M78" s="30"/>
      <x:c r="N78" s="31" t="str">
        <x:f>IF(A78="","",IF(G78="FIXED",M78,IF(G78="UNIFORM",IF(AND(ISNUMBER(H78),ISNUMBER(I78)),(H78+I78)/2,""),IF(G78="TRIANGLE",IF(ISNUMBER(L78),L78,IF(ISNUMBER(J78),J78,"")),IF(ISNUMBER(J78),J78,IF(ISNUMBER(K78),K78,""))))))</x:f>
      </x:c>
      <x:c r="O78" s="32" t="str">
        <x:f>IF(A78="","",IF(G78="FIXED","fixed",IF(G78="UNIFORM","midpoint_median",IF(G78="TRIANGLE",IF(ISNUMBER(L78),"mode",IF(ISNUMBER(J78),"source_median","missing")),IF(ISNUMBER(J78),"source_median",IF(ISNUMBER(K78),"source_mean","missing"))))))</x:f>
      </x:c>
      <x:c r="P78" s="18"/>
      <x:c r="Q78" s="18"/>
      <x:c r="R78" s="18"/>
      <x:c r="S78" s="18"/>
    </x:row>
    <x:row r="79">
      <x:c r="A79" s="18"/>
      <x:c r="B79" s="18"/>
      <x:c r="C79" s="18"/>
      <x:c r="D79" s="18"/>
      <x:c r="E79" s="18"/>
      <x:c r="F79" s="18"/>
      <x:c r="G79" s="18"/>
      <x:c r="H79" s="30"/>
      <x:c r="I79" s="30"/>
      <x:c r="J79" s="30"/>
      <x:c r="K79" s="30"/>
      <x:c r="L79" s="30"/>
      <x:c r="M79" s="30"/>
      <x:c r="N79" s="31" t="str">
        <x:f>IF(A79="","",IF(G79="FIXED",M79,IF(G79="UNIFORM",IF(AND(ISNUMBER(H79),ISNUMBER(I79)),(H79+I79)/2,""),IF(G79="TRIANGLE",IF(ISNUMBER(L79),L79,IF(ISNUMBER(J79),J79,"")),IF(ISNUMBER(J79),J79,IF(ISNUMBER(K79),K79,""))))))</x:f>
      </x:c>
      <x:c r="O79" s="32" t="str">
        <x:f>IF(A79="","",IF(G79="FIXED","fixed",IF(G79="UNIFORM","midpoint_median",IF(G79="TRIANGLE",IF(ISNUMBER(L79),"mode",IF(ISNUMBER(J79),"source_median","missing")),IF(ISNUMBER(J79),"source_median",IF(ISNUMBER(K79),"source_mean","missing"))))))</x:f>
      </x:c>
      <x:c r="P79" s="18"/>
      <x:c r="Q79" s="18"/>
      <x:c r="R79" s="18"/>
      <x:c r="S79" s="18"/>
    </x:row>
    <x:row r="80">
      <x:c r="A80" s="18"/>
      <x:c r="B80" s="18"/>
      <x:c r="C80" s="18"/>
      <x:c r="D80" s="18"/>
      <x:c r="E80" s="18"/>
      <x:c r="F80" s="18"/>
      <x:c r="G80" s="18"/>
      <x:c r="H80" s="30"/>
      <x:c r="I80" s="30"/>
      <x:c r="J80" s="30"/>
      <x:c r="K80" s="30"/>
      <x:c r="L80" s="30"/>
      <x:c r="M80" s="30"/>
      <x:c r="N80" s="31" t="str">
        <x:f>IF(A80="","",IF(G80="FIXED",M80,IF(G80="UNIFORM",IF(AND(ISNUMBER(H80),ISNUMBER(I80)),(H80+I80)/2,""),IF(G80="TRIANGLE",IF(ISNUMBER(L80),L80,IF(ISNUMBER(J80),J80,"")),IF(ISNUMBER(J80),J80,IF(ISNUMBER(K80),K80,""))))))</x:f>
      </x:c>
      <x:c r="O80" s="32" t="str">
        <x:f>IF(A80="","",IF(G80="FIXED","fixed",IF(G80="UNIFORM","midpoint_median",IF(G80="TRIANGLE",IF(ISNUMBER(L80),"mode",IF(ISNUMBER(J80),"source_median","missing")),IF(ISNUMBER(J80),"source_median",IF(ISNUMBER(K80),"source_mean","missing"))))))</x:f>
      </x:c>
      <x:c r="P80" s="18"/>
      <x:c r="Q80" s="18"/>
      <x:c r="R80" s="18"/>
      <x:c r="S80" s="18"/>
    </x:row>
    <x:row r="81">
      <x:c r="A81" s="18"/>
      <x:c r="B81" s="18"/>
      <x:c r="C81" s="18"/>
      <x:c r="D81" s="18"/>
      <x:c r="E81" s="18"/>
      <x:c r="F81" s="18"/>
      <x:c r="G81" s="18"/>
      <x:c r="H81" s="30"/>
      <x:c r="I81" s="30"/>
      <x:c r="J81" s="30"/>
      <x:c r="K81" s="30"/>
      <x:c r="L81" s="30"/>
      <x:c r="M81" s="30"/>
      <x:c r="N81" s="31" t="str">
        <x:f>IF(A81="","",IF(G81="FIXED",M81,IF(G81="UNIFORM",IF(AND(ISNUMBER(H81),ISNUMBER(I81)),(H81+I81)/2,""),IF(G81="TRIANGLE",IF(ISNUMBER(L81),L81,IF(ISNUMBER(J81),J81,"")),IF(ISNUMBER(J81),J81,IF(ISNUMBER(K81),K81,""))))))</x:f>
      </x:c>
      <x:c r="O81" s="32" t="str">
        <x:f>IF(A81="","",IF(G81="FIXED","fixed",IF(G81="UNIFORM","midpoint_median",IF(G81="TRIANGLE",IF(ISNUMBER(L81),"mode",IF(ISNUMBER(J81),"source_median","missing")),IF(ISNUMBER(J81),"source_median",IF(ISNUMBER(K81),"source_mean","missing"))))))</x:f>
      </x:c>
      <x:c r="P81" s="18"/>
      <x:c r="Q81" s="18"/>
      <x:c r="R81" s="18"/>
      <x:c r="S81" s="18"/>
    </x:row>
    <x:row r="82">
      <x:c r="A82" s="18"/>
      <x:c r="B82" s="18"/>
      <x:c r="C82" s="18"/>
      <x:c r="D82" s="18"/>
      <x:c r="E82" s="18"/>
      <x:c r="F82" s="18"/>
      <x:c r="G82" s="18"/>
      <x:c r="H82" s="30"/>
      <x:c r="I82" s="30"/>
      <x:c r="J82" s="30"/>
      <x:c r="K82" s="30"/>
      <x:c r="L82" s="30"/>
      <x:c r="M82" s="30"/>
      <x:c r="N82" s="31" t="str">
        <x:f>IF(A82="","",IF(G82="FIXED",M82,IF(G82="UNIFORM",IF(AND(ISNUMBER(H82),ISNUMBER(I82)),(H82+I82)/2,""),IF(G82="TRIANGLE",IF(ISNUMBER(L82),L82,IF(ISNUMBER(J82),J82,"")),IF(ISNUMBER(J82),J82,IF(ISNUMBER(K82),K82,""))))))</x:f>
      </x:c>
      <x:c r="O82" s="32" t="str">
        <x:f>IF(A82="","",IF(G82="FIXED","fixed",IF(G82="UNIFORM","midpoint_median",IF(G82="TRIANGLE",IF(ISNUMBER(L82),"mode",IF(ISNUMBER(J82),"source_median","missing")),IF(ISNUMBER(J82),"source_median",IF(ISNUMBER(K82),"source_mean","missing"))))))</x:f>
      </x:c>
      <x:c r="P82" s="18"/>
      <x:c r="Q82" s="18"/>
      <x:c r="R82" s="18"/>
      <x:c r="S82" s="18"/>
    </x:row>
    <x:row r="83">
      <x:c r="A83" s="18"/>
      <x:c r="B83" s="18"/>
      <x:c r="C83" s="18"/>
      <x:c r="D83" s="18"/>
      <x:c r="E83" s="18"/>
      <x:c r="F83" s="18"/>
      <x:c r="G83" s="18"/>
      <x:c r="H83" s="30"/>
      <x:c r="I83" s="30"/>
      <x:c r="J83" s="30"/>
      <x:c r="K83" s="30"/>
      <x:c r="L83" s="30"/>
      <x:c r="M83" s="30"/>
      <x:c r="N83" s="31" t="str">
        <x:f>IF(A83="","",IF(G83="FIXED",M83,IF(G83="UNIFORM",IF(AND(ISNUMBER(H83),ISNUMBER(I83)),(H83+I83)/2,""),IF(G83="TRIANGLE",IF(ISNUMBER(L83),L83,IF(ISNUMBER(J83),J83,"")),IF(ISNUMBER(J83),J83,IF(ISNUMBER(K83),K83,""))))))</x:f>
      </x:c>
      <x:c r="O83" s="32" t="str">
        <x:f>IF(A83="","",IF(G83="FIXED","fixed",IF(G83="UNIFORM","midpoint_median",IF(G83="TRIANGLE",IF(ISNUMBER(L83),"mode",IF(ISNUMBER(J83),"source_median","missing")),IF(ISNUMBER(J83),"source_median",IF(ISNUMBER(K83),"source_mean","missing"))))))</x:f>
      </x:c>
      <x:c r="P83" s="18"/>
      <x:c r="Q83" s="18"/>
      <x:c r="R83" s="18"/>
      <x:c r="S83" s="18"/>
    </x:row>
    <x:row r="84">
      <x:c r="A84" s="18"/>
      <x:c r="B84" s="18"/>
      <x:c r="C84" s="18"/>
      <x:c r="D84" s="18"/>
      <x:c r="E84" s="18"/>
      <x:c r="F84" s="18"/>
      <x:c r="G84" s="18"/>
      <x:c r="H84" s="30"/>
      <x:c r="I84" s="30"/>
      <x:c r="J84" s="30"/>
      <x:c r="K84" s="30"/>
      <x:c r="L84" s="30"/>
      <x:c r="M84" s="30"/>
      <x:c r="N84" s="31" t="str">
        <x:f>IF(A84="","",IF(G84="FIXED",M84,IF(G84="UNIFORM",IF(AND(ISNUMBER(H84),ISNUMBER(I84)),(H84+I84)/2,""),IF(G84="TRIANGLE",IF(ISNUMBER(L84),L84,IF(ISNUMBER(J84),J84,"")),IF(ISNUMBER(J84),J84,IF(ISNUMBER(K84),K84,""))))))</x:f>
      </x:c>
      <x:c r="O84" s="32" t="str">
        <x:f>IF(A84="","",IF(G84="FIXED","fixed",IF(G84="UNIFORM","midpoint_median",IF(G84="TRIANGLE",IF(ISNUMBER(L84),"mode",IF(ISNUMBER(J84),"source_median","missing")),IF(ISNUMBER(J84),"source_median",IF(ISNUMBER(K84),"source_mean","missing"))))))</x:f>
      </x:c>
      <x:c r="P84" s="18"/>
      <x:c r="Q84" s="18"/>
      <x:c r="R84" s="18"/>
      <x:c r="S84" s="18"/>
    </x:row>
    <x:row r="85">
      <x:c r="A85" s="18"/>
      <x:c r="B85" s="18"/>
      <x:c r="C85" s="18"/>
      <x:c r="D85" s="18"/>
      <x:c r="E85" s="18"/>
      <x:c r="F85" s="18"/>
      <x:c r="G85" s="18"/>
      <x:c r="H85" s="30"/>
      <x:c r="I85" s="30"/>
      <x:c r="J85" s="30"/>
      <x:c r="K85" s="30"/>
      <x:c r="L85" s="30"/>
      <x:c r="M85" s="30"/>
      <x:c r="N85" s="31" t="str">
        <x:f>IF(A85="","",IF(G85="FIXED",M85,IF(G85="UNIFORM",IF(AND(ISNUMBER(H85),ISNUMBER(I85)),(H85+I85)/2,""),IF(G85="TRIANGLE",IF(ISNUMBER(L85),L85,IF(ISNUMBER(J85),J85,"")),IF(ISNUMBER(J85),J85,IF(ISNUMBER(K85),K85,""))))))</x:f>
      </x:c>
      <x:c r="O85" s="32" t="str">
        <x:f>IF(A85="","",IF(G85="FIXED","fixed",IF(G85="UNIFORM","midpoint_median",IF(G85="TRIANGLE",IF(ISNUMBER(L85),"mode",IF(ISNUMBER(J85),"source_median","missing")),IF(ISNUMBER(J85),"source_median",IF(ISNUMBER(K85),"source_mean","missing"))))))</x:f>
      </x:c>
      <x:c r="P85" s="18"/>
      <x:c r="Q85" s="18"/>
      <x:c r="R85" s="18"/>
      <x:c r="S85" s="18"/>
    </x:row>
    <x:row r="86">
      <x:c r="A86" s="18"/>
      <x:c r="B86" s="18"/>
      <x:c r="C86" s="18"/>
      <x:c r="D86" s="18"/>
      <x:c r="E86" s="18"/>
      <x:c r="F86" s="18"/>
      <x:c r="G86" s="18"/>
      <x:c r="H86" s="30"/>
      <x:c r="I86" s="30"/>
      <x:c r="J86" s="30"/>
      <x:c r="K86" s="30"/>
      <x:c r="L86" s="30"/>
      <x:c r="M86" s="30"/>
      <x:c r="N86" s="31" t="str">
        <x:f>IF(A86="","",IF(G86="FIXED",M86,IF(G86="UNIFORM",IF(AND(ISNUMBER(H86),ISNUMBER(I86)),(H86+I86)/2,""),IF(G86="TRIANGLE",IF(ISNUMBER(L86),L86,IF(ISNUMBER(J86),J86,"")),IF(ISNUMBER(J86),J86,IF(ISNUMBER(K86),K86,""))))))</x:f>
      </x:c>
      <x:c r="O86" s="32" t="str">
        <x:f>IF(A86="","",IF(G86="FIXED","fixed",IF(G86="UNIFORM","midpoint_median",IF(G86="TRIANGLE",IF(ISNUMBER(L86),"mode",IF(ISNUMBER(J86),"source_median","missing")),IF(ISNUMBER(J86),"source_median",IF(ISNUMBER(K86),"source_mean","missing"))))))</x:f>
      </x:c>
      <x:c r="P86" s="18"/>
      <x:c r="Q86" s="18"/>
      <x:c r="R86" s="18"/>
      <x:c r="S86" s="18"/>
    </x:row>
    <x:row r="87">
      <x:c r="A87" s="18"/>
      <x:c r="B87" s="18"/>
      <x:c r="C87" s="18"/>
      <x:c r="D87" s="18"/>
      <x:c r="E87" s="18"/>
      <x:c r="F87" s="18"/>
      <x:c r="G87" s="18"/>
      <x:c r="H87" s="30"/>
      <x:c r="I87" s="30"/>
      <x:c r="J87" s="30"/>
      <x:c r="K87" s="30"/>
      <x:c r="L87" s="30"/>
      <x:c r="M87" s="30"/>
      <x:c r="N87" s="31" t="str">
        <x:f>IF(A87="","",IF(G87="FIXED",M87,IF(G87="UNIFORM",IF(AND(ISNUMBER(H87),ISNUMBER(I87)),(H87+I87)/2,""),IF(G87="TRIANGLE",IF(ISNUMBER(L87),L87,IF(ISNUMBER(J87),J87,"")),IF(ISNUMBER(J87),J87,IF(ISNUMBER(K87),K87,""))))))</x:f>
      </x:c>
      <x:c r="O87" s="32" t="str">
        <x:f>IF(A87="","",IF(G87="FIXED","fixed",IF(G87="UNIFORM","midpoint_median",IF(G87="TRIANGLE",IF(ISNUMBER(L87),"mode",IF(ISNUMBER(J87),"source_median","missing")),IF(ISNUMBER(J87),"source_median",IF(ISNUMBER(K87),"source_mean","missing"))))))</x:f>
      </x:c>
      <x:c r="P87" s="18"/>
      <x:c r="Q87" s="18"/>
      <x:c r="R87" s="18"/>
      <x:c r="S87" s="18"/>
    </x:row>
    <x:row r="88">
      <x:c r="A88" s="18"/>
      <x:c r="B88" s="18"/>
      <x:c r="C88" s="18"/>
      <x:c r="D88" s="18"/>
      <x:c r="E88" s="18"/>
      <x:c r="F88" s="18"/>
      <x:c r="G88" s="18"/>
      <x:c r="H88" s="30"/>
      <x:c r="I88" s="30"/>
      <x:c r="J88" s="30"/>
      <x:c r="K88" s="30"/>
      <x:c r="L88" s="30"/>
      <x:c r="M88" s="30"/>
      <x:c r="N88" s="31" t="str">
        <x:f>IF(A88="","",IF(G88="FIXED",M88,IF(G88="UNIFORM",IF(AND(ISNUMBER(H88),ISNUMBER(I88)),(H88+I88)/2,""),IF(G88="TRIANGLE",IF(ISNUMBER(L88),L88,IF(ISNUMBER(J88),J88,"")),IF(ISNUMBER(J88),J88,IF(ISNUMBER(K88),K88,""))))))</x:f>
      </x:c>
      <x:c r="O88" s="32" t="str">
        <x:f>IF(A88="","",IF(G88="FIXED","fixed",IF(G88="UNIFORM","midpoint_median",IF(G88="TRIANGLE",IF(ISNUMBER(L88),"mode",IF(ISNUMBER(J88),"source_median","missing")),IF(ISNUMBER(J88),"source_median",IF(ISNUMBER(K88),"source_mean","missing"))))))</x:f>
      </x:c>
      <x:c r="P88" s="18"/>
      <x:c r="Q88" s="18"/>
      <x:c r="R88" s="18"/>
      <x:c r="S88" s="18"/>
    </x:row>
    <x:row r="89">
      <x:c r="A89" s="18"/>
      <x:c r="B89" s="18"/>
      <x:c r="C89" s="18"/>
      <x:c r="D89" s="18"/>
      <x:c r="E89" s="18"/>
      <x:c r="F89" s="18"/>
      <x:c r="G89" s="18"/>
      <x:c r="H89" s="30"/>
      <x:c r="I89" s="30"/>
      <x:c r="J89" s="30"/>
      <x:c r="K89" s="30"/>
      <x:c r="L89" s="30"/>
      <x:c r="M89" s="30"/>
      <x:c r="N89" s="31" t="str">
        <x:f>IF(A89="","",IF(G89="FIXED",M89,IF(G89="UNIFORM",IF(AND(ISNUMBER(H89),ISNUMBER(I89)),(H89+I89)/2,""),IF(G89="TRIANGLE",IF(ISNUMBER(L89),L89,IF(ISNUMBER(J89),J89,"")),IF(ISNUMBER(J89),J89,IF(ISNUMBER(K89),K89,""))))))</x:f>
      </x:c>
      <x:c r="O89" s="32" t="str">
        <x:f>IF(A89="","",IF(G89="FIXED","fixed",IF(G89="UNIFORM","midpoint_median",IF(G89="TRIANGLE",IF(ISNUMBER(L89),"mode",IF(ISNUMBER(J89),"source_median","missing")),IF(ISNUMBER(J89),"source_median",IF(ISNUMBER(K89),"source_mean","missing"))))))</x:f>
      </x:c>
      <x:c r="P89" s="18"/>
      <x:c r="Q89" s="18"/>
      <x:c r="R89" s="18"/>
      <x:c r="S89" s="18"/>
    </x:row>
    <x:row r="90">
      <x:c r="A90" s="18"/>
      <x:c r="B90" s="18"/>
      <x:c r="C90" s="18"/>
      <x:c r="D90" s="18"/>
      <x:c r="E90" s="18"/>
      <x:c r="F90" s="18"/>
      <x:c r="G90" s="18"/>
      <x:c r="H90" s="30"/>
      <x:c r="I90" s="30"/>
      <x:c r="J90" s="30"/>
      <x:c r="K90" s="30"/>
      <x:c r="L90" s="30"/>
      <x:c r="M90" s="30"/>
      <x:c r="N90" s="31" t="str">
        <x:f>IF(A90="","",IF(G90="FIXED",M90,IF(G90="UNIFORM",IF(AND(ISNUMBER(H90),ISNUMBER(I90)),(H90+I90)/2,""),IF(G90="TRIANGLE",IF(ISNUMBER(L90),L90,IF(ISNUMBER(J90),J90,"")),IF(ISNUMBER(J90),J90,IF(ISNUMBER(K90),K90,""))))))</x:f>
      </x:c>
      <x:c r="O90" s="32" t="str">
        <x:f>IF(A90="","",IF(G90="FIXED","fixed",IF(G90="UNIFORM","midpoint_median",IF(G90="TRIANGLE",IF(ISNUMBER(L90),"mode",IF(ISNUMBER(J90),"source_median","missing")),IF(ISNUMBER(J90),"source_median",IF(ISNUMBER(K90),"source_mean","missing"))))))</x:f>
      </x:c>
      <x:c r="P90" s="18"/>
      <x:c r="Q90" s="18"/>
      <x:c r="R90" s="18"/>
      <x:c r="S90" s="18"/>
    </x:row>
    <x:row r="91">
      <x:c r="A91" s="18"/>
      <x:c r="B91" s="18"/>
      <x:c r="C91" s="18"/>
      <x:c r="D91" s="18"/>
      <x:c r="E91" s="18"/>
      <x:c r="F91" s="18"/>
      <x:c r="G91" s="18"/>
      <x:c r="H91" s="30"/>
      <x:c r="I91" s="30"/>
      <x:c r="J91" s="30"/>
      <x:c r="K91" s="30"/>
      <x:c r="L91" s="30"/>
      <x:c r="M91" s="30"/>
      <x:c r="N91" s="31" t="str">
        <x:f>IF(A91="","",IF(G91="FIXED",M91,IF(G91="UNIFORM",IF(AND(ISNUMBER(H91),ISNUMBER(I91)),(H91+I91)/2,""),IF(G91="TRIANGLE",IF(ISNUMBER(L91),L91,IF(ISNUMBER(J91),J91,"")),IF(ISNUMBER(J91),J91,IF(ISNUMBER(K91),K91,""))))))</x:f>
      </x:c>
      <x:c r="O91" s="32" t="str">
        <x:f>IF(A91="","",IF(G91="FIXED","fixed",IF(G91="UNIFORM","midpoint_median",IF(G91="TRIANGLE",IF(ISNUMBER(L91),"mode",IF(ISNUMBER(J91),"source_median","missing")),IF(ISNUMBER(J91),"source_median",IF(ISNUMBER(K91),"source_mean","missing"))))))</x:f>
      </x:c>
      <x:c r="P91" s="18"/>
      <x:c r="Q91" s="18"/>
      <x:c r="R91" s="18"/>
      <x:c r="S91" s="18"/>
    </x:row>
    <x:row r="92">
      <x:c r="A92" s="18"/>
      <x:c r="B92" s="18"/>
      <x:c r="C92" s="18"/>
      <x:c r="D92" s="18"/>
      <x:c r="E92" s="18"/>
      <x:c r="F92" s="18"/>
      <x:c r="G92" s="18"/>
      <x:c r="H92" s="30"/>
      <x:c r="I92" s="30"/>
      <x:c r="J92" s="30"/>
      <x:c r="K92" s="30"/>
      <x:c r="L92" s="30"/>
      <x:c r="M92" s="30"/>
      <x:c r="N92" s="31" t="str">
        <x:f>IF(A92="","",IF(G92="FIXED",M92,IF(G92="UNIFORM",IF(AND(ISNUMBER(H92),ISNUMBER(I92)),(H92+I92)/2,""),IF(G92="TRIANGLE",IF(ISNUMBER(L92),L92,IF(ISNUMBER(J92),J92,"")),IF(ISNUMBER(J92),J92,IF(ISNUMBER(K92),K92,""))))))</x:f>
      </x:c>
      <x:c r="O92" s="32" t="str">
        <x:f>IF(A92="","",IF(G92="FIXED","fixed",IF(G92="UNIFORM","midpoint_median",IF(G92="TRIANGLE",IF(ISNUMBER(L92),"mode",IF(ISNUMBER(J92),"source_median","missing")),IF(ISNUMBER(J92),"source_median",IF(ISNUMBER(K92),"source_mean","missing"))))))</x:f>
      </x:c>
      <x:c r="P92" s="18"/>
      <x:c r="Q92" s="18"/>
      <x:c r="R92" s="18"/>
      <x:c r="S92" s="18"/>
    </x:row>
    <x:row r="93">
      <x:c r="A93" s="18"/>
      <x:c r="B93" s="18"/>
      <x:c r="C93" s="18"/>
      <x:c r="D93" s="18"/>
      <x:c r="E93" s="18"/>
      <x:c r="F93" s="18"/>
      <x:c r="G93" s="18"/>
      <x:c r="H93" s="30"/>
      <x:c r="I93" s="30"/>
      <x:c r="J93" s="30"/>
      <x:c r="K93" s="30"/>
      <x:c r="L93" s="30"/>
      <x:c r="M93" s="30"/>
      <x:c r="N93" s="31" t="str">
        <x:f>IF(A93="","",IF(G93="FIXED",M93,IF(G93="UNIFORM",IF(AND(ISNUMBER(H93),ISNUMBER(I93)),(H93+I93)/2,""),IF(G93="TRIANGLE",IF(ISNUMBER(L93),L93,IF(ISNUMBER(J93),J93,"")),IF(ISNUMBER(J93),J93,IF(ISNUMBER(K93),K93,""))))))</x:f>
      </x:c>
      <x:c r="O93" s="32" t="str">
        <x:f>IF(A93="","",IF(G93="FIXED","fixed",IF(G93="UNIFORM","midpoint_median",IF(G93="TRIANGLE",IF(ISNUMBER(L93),"mode",IF(ISNUMBER(J93),"source_median","missing")),IF(ISNUMBER(J93),"source_median",IF(ISNUMBER(K93),"source_mean","missing"))))))</x:f>
      </x:c>
      <x:c r="P93" s="18"/>
      <x:c r="Q93" s="18"/>
      <x:c r="R93" s="18"/>
      <x:c r="S93" s="18"/>
    </x:row>
    <x:row r="94">
      <x:c r="A94" s="18"/>
      <x:c r="B94" s="18"/>
      <x:c r="C94" s="18"/>
      <x:c r="D94" s="18"/>
      <x:c r="E94" s="18"/>
      <x:c r="F94" s="18"/>
      <x:c r="G94" s="18"/>
      <x:c r="H94" s="30"/>
      <x:c r="I94" s="30"/>
      <x:c r="J94" s="30"/>
      <x:c r="K94" s="30"/>
      <x:c r="L94" s="30"/>
      <x:c r="M94" s="30"/>
      <x:c r="N94" s="31" t="str">
        <x:f>IF(A94="","",IF(G94="FIXED",M94,IF(G94="UNIFORM",IF(AND(ISNUMBER(H94),ISNUMBER(I94)),(H94+I94)/2,""),IF(G94="TRIANGLE",IF(ISNUMBER(L94),L94,IF(ISNUMBER(J94),J94,"")),IF(ISNUMBER(J94),J94,IF(ISNUMBER(K94),K94,""))))))</x:f>
      </x:c>
      <x:c r="O94" s="32" t="str">
        <x:f>IF(A94="","",IF(G94="FIXED","fixed",IF(G94="UNIFORM","midpoint_median",IF(G94="TRIANGLE",IF(ISNUMBER(L94),"mode",IF(ISNUMBER(J94),"source_median","missing")),IF(ISNUMBER(J94),"source_median",IF(ISNUMBER(K94),"source_mean","missing"))))))</x:f>
      </x:c>
      <x:c r="P94" s="18"/>
      <x:c r="Q94" s="18"/>
      <x:c r="R94" s="18"/>
      <x:c r="S94" s="18"/>
    </x:row>
    <x:row r="95">
      <x:c r="A95" s="18"/>
      <x:c r="B95" s="18"/>
      <x:c r="C95" s="18"/>
      <x:c r="D95" s="18"/>
      <x:c r="E95" s="18"/>
      <x:c r="F95" s="18"/>
      <x:c r="G95" s="18"/>
      <x:c r="H95" s="30"/>
      <x:c r="I95" s="30"/>
      <x:c r="J95" s="30"/>
      <x:c r="K95" s="30"/>
      <x:c r="L95" s="30"/>
      <x:c r="M95" s="30"/>
      <x:c r="N95" s="31" t="str">
        <x:f>IF(A95="","",IF(G95="FIXED",M95,IF(G95="UNIFORM",IF(AND(ISNUMBER(H95),ISNUMBER(I95)),(H95+I95)/2,""),IF(G95="TRIANGLE",IF(ISNUMBER(L95),L95,IF(ISNUMBER(J95),J95,"")),IF(ISNUMBER(J95),J95,IF(ISNUMBER(K95),K95,""))))))</x:f>
      </x:c>
      <x:c r="O95" s="32" t="str">
        <x:f>IF(A95="","",IF(G95="FIXED","fixed",IF(G95="UNIFORM","midpoint_median",IF(G95="TRIANGLE",IF(ISNUMBER(L95),"mode",IF(ISNUMBER(J95),"source_median","missing")),IF(ISNUMBER(J95),"source_median",IF(ISNUMBER(K95),"source_mean","missing"))))))</x:f>
      </x:c>
      <x:c r="P95" s="18"/>
      <x:c r="Q95" s="18"/>
      <x:c r="R95" s="18"/>
      <x:c r="S95" s="18"/>
    </x:row>
    <x:row r="96">
      <x:c r="A96" s="18"/>
      <x:c r="B96" s="18"/>
      <x:c r="C96" s="18"/>
      <x:c r="D96" s="18"/>
      <x:c r="E96" s="18"/>
      <x:c r="F96" s="18"/>
      <x:c r="G96" s="18"/>
      <x:c r="H96" s="30"/>
      <x:c r="I96" s="30"/>
      <x:c r="J96" s="30"/>
      <x:c r="K96" s="30"/>
      <x:c r="L96" s="30"/>
      <x:c r="M96" s="30"/>
      <x:c r="N96" s="31" t="str">
        <x:f>IF(A96="","",IF(G96="FIXED",M96,IF(G96="UNIFORM",IF(AND(ISNUMBER(H96),ISNUMBER(I96)),(H96+I96)/2,""),IF(G96="TRIANGLE",IF(ISNUMBER(L96),L96,IF(ISNUMBER(J96),J96,"")),IF(ISNUMBER(J96),J96,IF(ISNUMBER(K96),K96,""))))))</x:f>
      </x:c>
      <x:c r="O96" s="32" t="str">
        <x:f>IF(A96="","",IF(G96="FIXED","fixed",IF(G96="UNIFORM","midpoint_median",IF(G96="TRIANGLE",IF(ISNUMBER(L96),"mode",IF(ISNUMBER(J96),"source_median","missing")),IF(ISNUMBER(J96),"source_median",IF(ISNUMBER(K96),"source_mean","missing"))))))</x:f>
      </x:c>
      <x:c r="P96" s="18"/>
      <x:c r="Q96" s="18"/>
      <x:c r="R96" s="18"/>
      <x:c r="S96" s="18"/>
    </x:row>
    <x:row r="97">
      <x:c r="A97" s="18"/>
      <x:c r="B97" s="18"/>
      <x:c r="C97" s="18"/>
      <x:c r="D97" s="18"/>
      <x:c r="E97" s="18"/>
      <x:c r="F97" s="18"/>
      <x:c r="G97" s="18"/>
      <x:c r="H97" s="30"/>
      <x:c r="I97" s="30"/>
      <x:c r="J97" s="30"/>
      <x:c r="K97" s="30"/>
      <x:c r="L97" s="30"/>
      <x:c r="M97" s="30"/>
      <x:c r="N97" s="31" t="str">
        <x:f>IF(A97="","",IF(G97="FIXED",M97,IF(G97="UNIFORM",IF(AND(ISNUMBER(H97),ISNUMBER(I97)),(H97+I97)/2,""),IF(G97="TRIANGLE",IF(ISNUMBER(L97),L97,IF(ISNUMBER(J97),J97,"")),IF(ISNUMBER(J97),J97,IF(ISNUMBER(K97),K97,""))))))</x:f>
      </x:c>
      <x:c r="O97" s="32" t="str">
        <x:f>IF(A97="","",IF(G97="FIXED","fixed",IF(G97="UNIFORM","midpoint_median",IF(G97="TRIANGLE",IF(ISNUMBER(L97),"mode",IF(ISNUMBER(J97),"source_median","missing")),IF(ISNUMBER(J97),"source_median",IF(ISNUMBER(K97),"source_mean","missing"))))))</x:f>
      </x:c>
      <x:c r="P97" s="18"/>
      <x:c r="Q97" s="18"/>
      <x:c r="R97" s="18"/>
      <x:c r="S97" s="18"/>
    </x:row>
    <x:row r="98">
      <x:c r="A98" s="18"/>
      <x:c r="B98" s="18"/>
      <x:c r="C98" s="18"/>
      <x:c r="D98" s="18"/>
      <x:c r="E98" s="18"/>
      <x:c r="F98" s="18"/>
      <x:c r="G98" s="18"/>
      <x:c r="H98" s="30"/>
      <x:c r="I98" s="30"/>
      <x:c r="J98" s="30"/>
      <x:c r="K98" s="30"/>
      <x:c r="L98" s="30"/>
      <x:c r="M98" s="30"/>
      <x:c r="N98" s="31" t="str">
        <x:f>IF(A98="","",IF(G98="FIXED",M98,IF(G98="UNIFORM",IF(AND(ISNUMBER(H98),ISNUMBER(I98)),(H98+I98)/2,""),IF(G98="TRIANGLE",IF(ISNUMBER(L98),L98,IF(ISNUMBER(J98),J98,"")),IF(ISNUMBER(J98),J98,IF(ISNUMBER(K98),K98,""))))))</x:f>
      </x:c>
      <x:c r="O98" s="32" t="str">
        <x:f>IF(A98="","",IF(G98="FIXED","fixed",IF(G98="UNIFORM","midpoint_median",IF(G98="TRIANGLE",IF(ISNUMBER(L98),"mode",IF(ISNUMBER(J98),"source_median","missing")),IF(ISNUMBER(J98),"source_median",IF(ISNUMBER(K98),"source_mean","missing"))))))</x:f>
      </x:c>
      <x:c r="P98" s="18"/>
      <x:c r="Q98" s="18"/>
      <x:c r="R98" s="18"/>
      <x:c r="S98" s="18"/>
    </x:row>
    <x:row r="99">
      <x:c r="A99" s="18"/>
      <x:c r="B99" s="18"/>
      <x:c r="C99" s="18"/>
      <x:c r="D99" s="18"/>
      <x:c r="E99" s="18"/>
      <x:c r="F99" s="18"/>
      <x:c r="G99" s="18"/>
      <x:c r="H99" s="30"/>
      <x:c r="I99" s="30"/>
      <x:c r="J99" s="30"/>
      <x:c r="K99" s="30"/>
      <x:c r="L99" s="30"/>
      <x:c r="M99" s="30"/>
      <x:c r="N99" s="31" t="str">
        <x:f>IF(A99="","",IF(G99="FIXED",M99,IF(G99="UNIFORM",IF(AND(ISNUMBER(H99),ISNUMBER(I99)),(H99+I99)/2,""),IF(G99="TRIANGLE",IF(ISNUMBER(L99),L99,IF(ISNUMBER(J99),J99,"")),IF(ISNUMBER(J99),J99,IF(ISNUMBER(K99),K99,""))))))</x:f>
      </x:c>
      <x:c r="O99" s="32" t="str">
        <x:f>IF(A99="","",IF(G99="FIXED","fixed",IF(G99="UNIFORM","midpoint_median",IF(G99="TRIANGLE",IF(ISNUMBER(L99),"mode",IF(ISNUMBER(J99),"source_median","missing")),IF(ISNUMBER(J99),"source_median",IF(ISNUMBER(K99),"source_mean","missing"))))))</x:f>
      </x:c>
      <x:c r="P99" s="18"/>
      <x:c r="Q99" s="18"/>
      <x:c r="R99" s="18"/>
      <x:c r="S99" s="18"/>
    </x:row>
    <x:row r="100">
      <x:c r="A100" s="18"/>
      <x:c r="B100" s="18"/>
      <x:c r="C100" s="18"/>
      <x:c r="D100" s="18"/>
      <x:c r="E100" s="18"/>
      <x:c r="F100" s="18"/>
      <x:c r="G100" s="18"/>
      <x:c r="H100" s="30"/>
      <x:c r="I100" s="30"/>
      <x:c r="J100" s="30"/>
      <x:c r="K100" s="30"/>
      <x:c r="L100" s="30"/>
      <x:c r="M100" s="30"/>
      <x:c r="N100" s="31" t="str">
        <x:f>IF(A100="","",IF(G100="FIXED",M100,IF(G100="UNIFORM",IF(AND(ISNUMBER(H100),ISNUMBER(I100)),(H100+I100)/2,""),IF(G100="TRIANGLE",IF(ISNUMBER(L100),L100,IF(ISNUMBER(J100),J100,"")),IF(ISNUMBER(J100),J100,IF(ISNUMBER(K100),K100,""))))))</x:f>
      </x:c>
      <x:c r="O100" s="32" t="str">
        <x:f>IF(A100="","",IF(G100="FIXED","fixed",IF(G100="UNIFORM","midpoint_median",IF(G100="TRIANGLE",IF(ISNUMBER(L100),"mode",IF(ISNUMBER(J100),"source_median","missing")),IF(ISNUMBER(J100),"source_median",IF(ISNUMBER(K100),"source_mean","missing"))))))</x:f>
      </x:c>
      <x:c r="P100" s="18"/>
      <x:c r="Q100" s="18"/>
      <x:c r="R100" s="18"/>
      <x:c r="S100" s="18"/>
    </x:row>
    <x:row r="101">
      <x:c r="A101" s="18"/>
      <x:c r="B101" s="18"/>
      <x:c r="C101" s="18"/>
      <x:c r="D101" s="18"/>
      <x:c r="E101" s="18"/>
      <x:c r="F101" s="18"/>
      <x:c r="G101" s="18"/>
      <x:c r="H101" s="30"/>
      <x:c r="I101" s="30"/>
      <x:c r="J101" s="30"/>
      <x:c r="K101" s="30"/>
      <x:c r="L101" s="30"/>
      <x:c r="M101" s="30"/>
      <x:c r="N101" s="31" t="str">
        <x:f>IF(A101="","",IF(G101="FIXED",M101,IF(G101="UNIFORM",IF(AND(ISNUMBER(H101),ISNUMBER(I101)),(H101+I101)/2,""),IF(G101="TRIANGLE",IF(ISNUMBER(L101),L101,IF(ISNUMBER(J101),J101,"")),IF(ISNUMBER(J101),J101,IF(ISNUMBER(K101),K101,""))))))</x:f>
      </x:c>
      <x:c r="O101" s="32" t="str">
        <x:f>IF(A101="","",IF(G101="FIXED","fixed",IF(G101="UNIFORM","midpoint_median",IF(G101="TRIANGLE",IF(ISNUMBER(L101),"mode",IF(ISNUMBER(J101),"source_median","missing")),IF(ISNUMBER(J101),"source_median",IF(ISNUMBER(K101),"source_mean","missing"))))))</x:f>
      </x:c>
      <x:c r="P101" s="18"/>
      <x:c r="Q101" s="18"/>
      <x:c r="R101" s="18"/>
      <x:c r="S101" s="18"/>
    </x:row>
    <x:row r="102">
      <x:c r="A102" s="18"/>
      <x:c r="B102" s="18"/>
      <x:c r="C102" s="18"/>
      <x:c r="D102" s="18"/>
      <x:c r="E102" s="18"/>
      <x:c r="F102" s="18"/>
      <x:c r="G102" s="18"/>
      <x:c r="H102" s="30"/>
      <x:c r="I102" s="30"/>
      <x:c r="J102" s="30"/>
      <x:c r="K102" s="30"/>
      <x:c r="L102" s="30"/>
      <x:c r="M102" s="30"/>
      <x:c r="N102" s="31" t="str">
        <x:f>IF(A102="","",IF(G102="FIXED",M102,IF(G102="UNIFORM",IF(AND(ISNUMBER(H102),ISNUMBER(I102)),(H102+I102)/2,""),IF(G102="TRIANGLE",IF(ISNUMBER(L102),L102,IF(ISNUMBER(J102),J102,"")),IF(ISNUMBER(J102),J102,IF(ISNUMBER(K102),K102,""))))))</x:f>
      </x:c>
      <x:c r="O102" s="32" t="str">
        <x:f>IF(A102="","",IF(G102="FIXED","fixed",IF(G102="UNIFORM","midpoint_median",IF(G102="TRIANGLE",IF(ISNUMBER(L102),"mode",IF(ISNUMBER(J102),"source_median","missing")),IF(ISNUMBER(J102),"source_median",IF(ISNUMBER(K102),"source_mean","missing"))))))</x:f>
      </x:c>
      <x:c r="P102" s="18"/>
      <x:c r="Q102" s="18"/>
      <x:c r="R102" s="18"/>
      <x:c r="S102" s="18"/>
    </x:row>
    <x:row r="103">
      <x:c r="A103" s="18"/>
      <x:c r="B103" s="18"/>
      <x:c r="C103" s="18"/>
      <x:c r="D103" s="18"/>
      <x:c r="E103" s="18"/>
      <x:c r="F103" s="18"/>
      <x:c r="G103" s="18"/>
      <x:c r="H103" s="30"/>
      <x:c r="I103" s="30"/>
      <x:c r="J103" s="30"/>
      <x:c r="K103" s="30"/>
      <x:c r="L103" s="30"/>
      <x:c r="M103" s="30"/>
      <x:c r="N103" s="31" t="str">
        <x:f>IF(A103="","",IF(G103="FIXED",M103,IF(G103="UNIFORM",IF(AND(ISNUMBER(H103),ISNUMBER(I103)),(H103+I103)/2,""),IF(G103="TRIANGLE",IF(ISNUMBER(L103),L103,IF(ISNUMBER(J103),J103,"")),IF(ISNUMBER(J103),J103,IF(ISNUMBER(K103),K103,""))))))</x:f>
      </x:c>
      <x:c r="O103" s="32" t="str">
        <x:f>IF(A103="","",IF(G103="FIXED","fixed",IF(G103="UNIFORM","midpoint_median",IF(G103="TRIANGLE",IF(ISNUMBER(L103),"mode",IF(ISNUMBER(J103),"source_median","missing")),IF(ISNUMBER(J103),"source_median",IF(ISNUMBER(K103),"source_mean","missing"))))))</x:f>
      </x:c>
      <x:c r="P103" s="18"/>
      <x:c r="Q103" s="18"/>
      <x:c r="R103" s="18"/>
      <x:c r="S103" s="18"/>
    </x:row>
    <x:row r="104">
      <x:c r="A104" s="18"/>
      <x:c r="B104" s="18"/>
      <x:c r="C104" s="18"/>
      <x:c r="D104" s="18"/>
      <x:c r="E104" s="18"/>
      <x:c r="F104" s="18"/>
      <x:c r="G104" s="18"/>
      <x:c r="H104" s="30"/>
      <x:c r="I104" s="30"/>
      <x:c r="J104" s="30"/>
      <x:c r="K104" s="30"/>
      <x:c r="L104" s="30"/>
      <x:c r="M104" s="30"/>
      <x:c r="N104" s="31" t="str">
        <x:f>IF(A104="","",IF(G104="FIXED",M104,IF(G104="UNIFORM",IF(AND(ISNUMBER(H104),ISNUMBER(I104)),(H104+I104)/2,""),IF(G104="TRIANGLE",IF(ISNUMBER(L104),L104,IF(ISNUMBER(J104),J104,"")),IF(ISNUMBER(J104),J104,IF(ISNUMBER(K104),K104,""))))))</x:f>
      </x:c>
      <x:c r="O104" s="32" t="str">
        <x:f>IF(A104="","",IF(G104="FIXED","fixed",IF(G104="UNIFORM","midpoint_median",IF(G104="TRIANGLE",IF(ISNUMBER(L104),"mode",IF(ISNUMBER(J104),"source_median","missing")),IF(ISNUMBER(J104),"source_median",IF(ISNUMBER(K104),"source_mean","missing"))))))</x:f>
      </x:c>
      <x:c r="P104" s="18"/>
      <x:c r="Q104" s="18"/>
      <x:c r="R104" s="18"/>
      <x:c r="S104" s="18"/>
    </x:row>
    <x:row r="105">
      <x:c r="A105" s="18"/>
      <x:c r="B105" s="18"/>
      <x:c r="C105" s="18"/>
      <x:c r="D105" s="18"/>
      <x:c r="E105" s="18"/>
      <x:c r="F105" s="18"/>
      <x:c r="G105" s="18"/>
      <x:c r="H105" s="30"/>
      <x:c r="I105" s="30"/>
      <x:c r="J105" s="30"/>
      <x:c r="K105" s="30"/>
      <x:c r="L105" s="30"/>
      <x:c r="M105" s="30"/>
      <x:c r="N105" s="31" t="str">
        <x:f>IF(A105="","",IF(G105="FIXED",M105,IF(G105="UNIFORM",IF(AND(ISNUMBER(H105),ISNUMBER(I105)),(H105+I105)/2,""),IF(G105="TRIANGLE",IF(ISNUMBER(L105),L105,IF(ISNUMBER(J105),J105,"")),IF(ISNUMBER(J105),J105,IF(ISNUMBER(K105),K105,""))))))</x:f>
      </x:c>
      <x:c r="O105" s="32" t="str">
        <x:f>IF(A105="","",IF(G105="FIXED","fixed",IF(G105="UNIFORM","midpoint_median",IF(G105="TRIANGLE",IF(ISNUMBER(L105),"mode",IF(ISNUMBER(J105),"source_median","missing")),IF(ISNUMBER(J105),"source_median",IF(ISNUMBER(K105),"source_mean","missing"))))))</x:f>
      </x:c>
      <x:c r="P105" s="18"/>
      <x:c r="Q105" s="18"/>
      <x:c r="R105" s="18"/>
      <x:c r="S105" s="18"/>
    </x:row>
    <x:row r="106">
      <x:c r="A106" s="18"/>
      <x:c r="B106" s="18"/>
      <x:c r="C106" s="18"/>
      <x:c r="D106" s="18"/>
      <x:c r="E106" s="18"/>
      <x:c r="F106" s="18"/>
      <x:c r="G106" s="18"/>
      <x:c r="H106" s="30"/>
      <x:c r="I106" s="30"/>
      <x:c r="J106" s="30"/>
      <x:c r="K106" s="30"/>
      <x:c r="L106" s="30"/>
      <x:c r="M106" s="30"/>
      <x:c r="N106" s="31" t="str">
        <x:f>IF(A106="","",IF(G106="FIXED",M106,IF(G106="UNIFORM",IF(AND(ISNUMBER(H106),ISNUMBER(I106)),(H106+I106)/2,""),IF(G106="TRIANGLE",IF(ISNUMBER(L106),L106,IF(ISNUMBER(J106),J106,"")),IF(ISNUMBER(J106),J106,IF(ISNUMBER(K106),K106,""))))))</x:f>
      </x:c>
      <x:c r="O106" s="32" t="str">
        <x:f>IF(A106="","",IF(G106="FIXED","fixed",IF(G106="UNIFORM","midpoint_median",IF(G106="TRIANGLE",IF(ISNUMBER(L106),"mode",IF(ISNUMBER(J106),"source_median","missing")),IF(ISNUMBER(J106),"source_median",IF(ISNUMBER(K106),"source_mean","missing"))))))</x:f>
      </x:c>
      <x:c r="P106" s="18"/>
      <x:c r="Q106" s="18"/>
      <x:c r="R106" s="18"/>
      <x:c r="S106" s="18"/>
    </x:row>
    <x:row r="107">
      <x:c r="A107" s="18"/>
      <x:c r="B107" s="18"/>
      <x:c r="C107" s="18"/>
      <x:c r="D107" s="18"/>
      <x:c r="E107" s="18"/>
      <x:c r="F107" s="18"/>
      <x:c r="G107" s="18"/>
      <x:c r="H107" s="30"/>
      <x:c r="I107" s="30"/>
      <x:c r="J107" s="30"/>
      <x:c r="K107" s="30"/>
      <x:c r="L107" s="30"/>
      <x:c r="M107" s="30"/>
      <x:c r="N107" s="31" t="str">
        <x:f>IF(A107="","",IF(G107="FIXED",M107,IF(G107="UNIFORM",IF(AND(ISNUMBER(H107),ISNUMBER(I107)),(H107+I107)/2,""),IF(G107="TRIANGLE",IF(ISNUMBER(L107),L107,IF(ISNUMBER(J107),J107,"")),IF(ISNUMBER(J107),J107,IF(ISNUMBER(K107),K107,""))))))</x:f>
      </x:c>
      <x:c r="O107" s="32" t="str">
        <x:f>IF(A107="","",IF(G107="FIXED","fixed",IF(G107="UNIFORM","midpoint_median",IF(G107="TRIANGLE",IF(ISNUMBER(L107),"mode",IF(ISNUMBER(J107),"source_median","missing")),IF(ISNUMBER(J107),"source_median",IF(ISNUMBER(K107),"source_mean","missing"))))))</x:f>
      </x:c>
      <x:c r="P107" s="18"/>
      <x:c r="Q107" s="18"/>
      <x:c r="R107" s="18"/>
      <x:c r="S107" s="18"/>
    </x:row>
    <x:row r="108">
      <x:c r="A108" s="18"/>
      <x:c r="B108" s="18"/>
      <x:c r="C108" s="18"/>
      <x:c r="D108" s="18"/>
      <x:c r="E108" s="18"/>
      <x:c r="F108" s="18"/>
      <x:c r="G108" s="18"/>
      <x:c r="H108" s="30"/>
      <x:c r="I108" s="30"/>
      <x:c r="J108" s="30"/>
      <x:c r="K108" s="30"/>
      <x:c r="L108" s="30"/>
      <x:c r="M108" s="30"/>
      <x:c r="N108" s="31" t="str">
        <x:f>IF(A108="","",IF(G108="FIXED",M108,IF(G108="UNIFORM",IF(AND(ISNUMBER(H108),ISNUMBER(I108)),(H108+I108)/2,""),IF(G108="TRIANGLE",IF(ISNUMBER(L108),L108,IF(ISNUMBER(J108),J108,"")),IF(ISNUMBER(J108),J108,IF(ISNUMBER(K108),K108,""))))))</x:f>
      </x:c>
      <x:c r="O108" s="32" t="str">
        <x:f>IF(A108="","",IF(G108="FIXED","fixed",IF(G108="UNIFORM","midpoint_median",IF(G108="TRIANGLE",IF(ISNUMBER(L108),"mode",IF(ISNUMBER(J108),"source_median","missing")),IF(ISNUMBER(J108),"source_median",IF(ISNUMBER(K108),"source_mean","missing"))))))</x:f>
      </x:c>
      <x:c r="P108" s="18"/>
      <x:c r="Q108" s="18"/>
      <x:c r="R108" s="18"/>
      <x:c r="S108" s="18"/>
    </x:row>
    <x:row r="109">
      <x:c r="A109" s="18"/>
      <x:c r="B109" s="18"/>
      <x:c r="C109" s="18"/>
      <x:c r="D109" s="18"/>
      <x:c r="E109" s="18"/>
      <x:c r="F109" s="18"/>
      <x:c r="G109" s="18"/>
      <x:c r="H109" s="30"/>
      <x:c r="I109" s="30"/>
      <x:c r="J109" s="30"/>
      <x:c r="K109" s="30"/>
      <x:c r="L109" s="30"/>
      <x:c r="M109" s="30"/>
      <x:c r="N109" s="31" t="str">
        <x:f>IF(A109="","",IF(G109="FIXED",M109,IF(G109="UNIFORM",IF(AND(ISNUMBER(H109),ISNUMBER(I109)),(H109+I109)/2,""),IF(G109="TRIANGLE",IF(ISNUMBER(L109),L109,IF(ISNUMBER(J109),J109,"")),IF(ISNUMBER(J109),J109,IF(ISNUMBER(K109),K109,""))))))</x:f>
      </x:c>
      <x:c r="O109" s="32" t="str">
        <x:f>IF(A109="","",IF(G109="FIXED","fixed",IF(G109="UNIFORM","midpoint_median",IF(G109="TRIANGLE",IF(ISNUMBER(L109),"mode",IF(ISNUMBER(J109),"source_median","missing")),IF(ISNUMBER(J109),"source_median",IF(ISNUMBER(K109),"source_mean","missing"))))))</x:f>
      </x:c>
      <x:c r="P109" s="18"/>
      <x:c r="Q109" s="18"/>
      <x:c r="R109" s="18"/>
      <x:c r="S109" s="18"/>
    </x:row>
    <x:row r="110">
      <x:c r="A110" s="18"/>
      <x:c r="B110" s="18"/>
      <x:c r="C110" s="18"/>
      <x:c r="D110" s="18"/>
      <x:c r="E110" s="18"/>
      <x:c r="F110" s="18"/>
      <x:c r="G110" s="18"/>
      <x:c r="H110" s="30"/>
      <x:c r="I110" s="30"/>
      <x:c r="J110" s="30"/>
      <x:c r="K110" s="30"/>
      <x:c r="L110" s="30"/>
      <x:c r="M110" s="30"/>
      <x:c r="N110" s="31" t="str">
        <x:f>IF(A110="","",IF(G110="FIXED",M110,IF(G110="UNIFORM",IF(AND(ISNUMBER(H110),ISNUMBER(I110)),(H110+I110)/2,""),IF(G110="TRIANGLE",IF(ISNUMBER(L110),L110,IF(ISNUMBER(J110),J110,"")),IF(ISNUMBER(J110),J110,IF(ISNUMBER(K110),K110,""))))))</x:f>
      </x:c>
      <x:c r="O110" s="32" t="str">
        <x:f>IF(A110="","",IF(G110="FIXED","fixed",IF(G110="UNIFORM","midpoint_median",IF(G110="TRIANGLE",IF(ISNUMBER(L110),"mode",IF(ISNUMBER(J110),"source_median","missing")),IF(ISNUMBER(J110),"source_median",IF(ISNUMBER(K110),"source_mean","missing"))))))</x:f>
      </x:c>
      <x:c r="P110" s="18"/>
      <x:c r="Q110" s="18"/>
      <x:c r="R110" s="18"/>
      <x:c r="S110" s="18"/>
    </x:row>
    <x:row r="111">
      <x:c r="A111" s="18"/>
      <x:c r="B111" s="18"/>
      <x:c r="C111" s="18"/>
      <x:c r="D111" s="18"/>
      <x:c r="E111" s="18"/>
      <x:c r="F111" s="18"/>
      <x:c r="G111" s="18"/>
      <x:c r="H111" s="30"/>
      <x:c r="I111" s="30"/>
      <x:c r="J111" s="30"/>
      <x:c r="K111" s="30"/>
      <x:c r="L111" s="30"/>
      <x:c r="M111" s="30"/>
      <x:c r="N111" s="31" t="str">
        <x:f>IF(A111="","",IF(G111="FIXED",M111,IF(G111="UNIFORM",IF(AND(ISNUMBER(H111),ISNUMBER(I111)),(H111+I111)/2,""),IF(G111="TRIANGLE",IF(ISNUMBER(L111),L111,IF(ISNUMBER(J111),J111,"")),IF(ISNUMBER(J111),J111,IF(ISNUMBER(K111),K111,""))))))</x:f>
      </x:c>
      <x:c r="O111" s="32" t="str">
        <x:f>IF(A111="","",IF(G111="FIXED","fixed",IF(G111="UNIFORM","midpoint_median",IF(G111="TRIANGLE",IF(ISNUMBER(L111),"mode",IF(ISNUMBER(J111),"source_median","missing")),IF(ISNUMBER(J111),"source_median",IF(ISNUMBER(K111),"source_mean","missing"))))))</x:f>
      </x:c>
      <x:c r="P111" s="18"/>
      <x:c r="Q111" s="18"/>
      <x:c r="R111" s="18"/>
      <x:c r="S111" s="18"/>
    </x:row>
    <x:row r="112">
      <x:c r="A112" s="18"/>
      <x:c r="B112" s="18"/>
      <x:c r="C112" s="18"/>
      <x:c r="D112" s="18"/>
      <x:c r="E112" s="18"/>
      <x:c r="F112" s="18"/>
      <x:c r="G112" s="18"/>
      <x:c r="H112" s="30"/>
      <x:c r="I112" s="30"/>
      <x:c r="J112" s="30"/>
      <x:c r="K112" s="30"/>
      <x:c r="L112" s="30"/>
      <x:c r="M112" s="30"/>
      <x:c r="N112" s="31" t="str">
        <x:f>IF(A112="","",IF(G112="FIXED",M112,IF(G112="UNIFORM",IF(AND(ISNUMBER(H112),ISNUMBER(I112)),(H112+I112)/2,""),IF(G112="TRIANGLE",IF(ISNUMBER(L112),L112,IF(ISNUMBER(J112),J112,"")),IF(ISNUMBER(J112),J112,IF(ISNUMBER(K112),K112,""))))))</x:f>
      </x:c>
      <x:c r="O112" s="32" t="str">
        <x:f>IF(A112="","",IF(G112="FIXED","fixed",IF(G112="UNIFORM","midpoint_median",IF(G112="TRIANGLE",IF(ISNUMBER(L112),"mode",IF(ISNUMBER(J112),"source_median","missing")),IF(ISNUMBER(J112),"source_median",IF(ISNUMBER(K112),"source_mean","missing"))))))</x:f>
      </x:c>
      <x:c r="P112" s="18"/>
      <x:c r="Q112" s="18"/>
      <x:c r="R112" s="18"/>
      <x:c r="S112" s="18"/>
    </x:row>
    <x:row r="113">
      <x:c r="A113" s="18"/>
      <x:c r="B113" s="18"/>
      <x:c r="C113" s="18"/>
      <x:c r="D113" s="18"/>
      <x:c r="E113" s="18"/>
      <x:c r="F113" s="18"/>
      <x:c r="G113" s="18"/>
      <x:c r="H113" s="30"/>
      <x:c r="I113" s="30"/>
      <x:c r="J113" s="30"/>
      <x:c r="K113" s="30"/>
      <x:c r="L113" s="30"/>
      <x:c r="M113" s="30"/>
      <x:c r="N113" s="31" t="str">
        <x:f>IF(A113="","",IF(G113="FIXED",M113,IF(G113="UNIFORM",IF(AND(ISNUMBER(H113),ISNUMBER(I113)),(H113+I113)/2,""),IF(G113="TRIANGLE",IF(ISNUMBER(L113),L113,IF(ISNUMBER(J113),J113,"")),IF(ISNUMBER(J113),J113,IF(ISNUMBER(K113),K113,""))))))</x:f>
      </x:c>
      <x:c r="O113" s="32" t="str">
        <x:f>IF(A113="","",IF(G113="FIXED","fixed",IF(G113="UNIFORM","midpoint_median",IF(G113="TRIANGLE",IF(ISNUMBER(L113),"mode",IF(ISNUMBER(J113),"source_median","missing")),IF(ISNUMBER(J113),"source_median",IF(ISNUMBER(K113),"source_mean","missing"))))))</x:f>
      </x:c>
      <x:c r="P113" s="18"/>
      <x:c r="Q113" s="18"/>
      <x:c r="R113" s="18"/>
      <x:c r="S113" s="18"/>
    </x:row>
    <x:row r="114">
      <x:c r="A114" s="18"/>
      <x:c r="B114" s="18"/>
      <x:c r="C114" s="18"/>
      <x:c r="D114" s="18"/>
      <x:c r="E114" s="18"/>
      <x:c r="F114" s="18"/>
      <x:c r="G114" s="18"/>
      <x:c r="H114" s="30"/>
      <x:c r="I114" s="30"/>
      <x:c r="J114" s="30"/>
      <x:c r="K114" s="30"/>
      <x:c r="L114" s="30"/>
      <x:c r="M114" s="30"/>
      <x:c r="N114" s="31" t="str">
        <x:f>IF(A114="","",IF(G114="FIXED",M114,IF(G114="UNIFORM",IF(AND(ISNUMBER(H114),ISNUMBER(I114)),(H114+I114)/2,""),IF(G114="TRIANGLE",IF(ISNUMBER(L114),L114,IF(ISNUMBER(J114),J114,"")),IF(ISNUMBER(J114),J114,IF(ISNUMBER(K114),K114,""))))))</x:f>
      </x:c>
      <x:c r="O114" s="32" t="str">
        <x:f>IF(A114="","",IF(G114="FIXED","fixed",IF(G114="UNIFORM","midpoint_median",IF(G114="TRIANGLE",IF(ISNUMBER(L114),"mode",IF(ISNUMBER(J114),"source_median","missing")),IF(ISNUMBER(J114),"source_median",IF(ISNUMBER(K114),"source_mean","missing"))))))</x:f>
      </x:c>
      <x:c r="P114" s="18"/>
      <x:c r="Q114" s="18"/>
      <x:c r="R114" s="18"/>
      <x:c r="S114" s="18"/>
    </x:row>
    <x:row r="115">
      <x:c r="A115" s="18"/>
      <x:c r="B115" s="18"/>
      <x:c r="C115" s="18"/>
      <x:c r="D115" s="18"/>
      <x:c r="E115" s="18"/>
      <x:c r="F115" s="18"/>
      <x:c r="G115" s="18"/>
      <x:c r="H115" s="30"/>
      <x:c r="I115" s="30"/>
      <x:c r="J115" s="30"/>
      <x:c r="K115" s="30"/>
      <x:c r="L115" s="30"/>
      <x:c r="M115" s="30"/>
      <x:c r="N115" s="31" t="str">
        <x:f>IF(A115="","",IF(G115="FIXED",M115,IF(G115="UNIFORM",IF(AND(ISNUMBER(H115),ISNUMBER(I115)),(H115+I115)/2,""),IF(G115="TRIANGLE",IF(ISNUMBER(L115),L115,IF(ISNUMBER(J115),J115,"")),IF(ISNUMBER(J115),J115,IF(ISNUMBER(K115),K115,""))))))</x:f>
      </x:c>
      <x:c r="O115" s="32" t="str">
        <x:f>IF(A115="","",IF(G115="FIXED","fixed",IF(G115="UNIFORM","midpoint_median",IF(G115="TRIANGLE",IF(ISNUMBER(L115),"mode",IF(ISNUMBER(J115),"source_median","missing")),IF(ISNUMBER(J115),"source_median",IF(ISNUMBER(K115),"source_mean","missing"))))))</x:f>
      </x:c>
      <x:c r="P115" s="18"/>
      <x:c r="Q115" s="18"/>
      <x:c r="R115" s="18"/>
      <x:c r="S115" s="18"/>
    </x:row>
    <x:row r="116">
      <x:c r="A116" s="18"/>
      <x:c r="B116" s="18"/>
      <x:c r="C116" s="18"/>
      <x:c r="D116" s="18"/>
      <x:c r="E116" s="18"/>
      <x:c r="F116" s="18"/>
      <x:c r="G116" s="18"/>
      <x:c r="H116" s="30"/>
      <x:c r="I116" s="30"/>
      <x:c r="J116" s="30"/>
      <x:c r="K116" s="30"/>
      <x:c r="L116" s="30"/>
      <x:c r="M116" s="30"/>
      <x:c r="N116" s="31" t="str">
        <x:f>IF(A116="","",IF(G116="FIXED",M116,IF(G116="UNIFORM",IF(AND(ISNUMBER(H116),ISNUMBER(I116)),(H116+I116)/2,""),IF(G116="TRIANGLE",IF(ISNUMBER(L116),L116,IF(ISNUMBER(J116),J116,"")),IF(ISNUMBER(J116),J116,IF(ISNUMBER(K116),K116,""))))))</x:f>
      </x:c>
      <x:c r="O116" s="32" t="str">
        <x:f>IF(A116="","",IF(G116="FIXED","fixed",IF(G116="UNIFORM","midpoint_median",IF(G116="TRIANGLE",IF(ISNUMBER(L116),"mode",IF(ISNUMBER(J116),"source_median","missing")),IF(ISNUMBER(J116),"source_median",IF(ISNUMBER(K116),"source_mean","missing"))))))</x:f>
      </x:c>
      <x:c r="P116" s="18"/>
      <x:c r="Q116" s="18"/>
      <x:c r="R116" s="18"/>
      <x:c r="S116" s="18"/>
    </x:row>
    <x:row r="117">
      <x:c r="A117" s="18"/>
      <x:c r="B117" s="18"/>
      <x:c r="C117" s="18"/>
      <x:c r="D117" s="18"/>
      <x:c r="E117" s="18"/>
      <x:c r="F117" s="18"/>
      <x:c r="G117" s="18"/>
      <x:c r="H117" s="30"/>
      <x:c r="I117" s="30"/>
      <x:c r="J117" s="30"/>
      <x:c r="K117" s="30"/>
      <x:c r="L117" s="30"/>
      <x:c r="M117" s="30"/>
      <x:c r="N117" s="31" t="str">
        <x:f>IF(A117="","",IF(G117="FIXED",M117,IF(G117="UNIFORM",IF(AND(ISNUMBER(H117),ISNUMBER(I117)),(H117+I117)/2,""),IF(G117="TRIANGLE",IF(ISNUMBER(L117),L117,IF(ISNUMBER(J117),J117,"")),IF(ISNUMBER(J117),J117,IF(ISNUMBER(K117),K117,""))))))</x:f>
      </x:c>
      <x:c r="O117" s="32" t="str">
        <x:f>IF(A117="","",IF(G117="FIXED","fixed",IF(G117="UNIFORM","midpoint_median",IF(G117="TRIANGLE",IF(ISNUMBER(L117),"mode",IF(ISNUMBER(J117),"source_median","missing")),IF(ISNUMBER(J117),"source_median",IF(ISNUMBER(K117),"source_mean","missing"))))))</x:f>
      </x:c>
      <x:c r="P117" s="18"/>
      <x:c r="Q117" s="18"/>
      <x:c r="R117" s="18"/>
      <x:c r="S117" s="18"/>
    </x:row>
    <x:row r="118">
      <x:c r="A118" s="18"/>
      <x:c r="B118" s="18"/>
      <x:c r="C118" s="18"/>
      <x:c r="D118" s="18"/>
      <x:c r="E118" s="18"/>
      <x:c r="F118" s="18"/>
      <x:c r="G118" s="18"/>
      <x:c r="H118" s="30"/>
      <x:c r="I118" s="30"/>
      <x:c r="J118" s="30"/>
      <x:c r="K118" s="30"/>
      <x:c r="L118" s="30"/>
      <x:c r="M118" s="30"/>
      <x:c r="N118" s="31" t="str">
        <x:f>IF(A118="","",IF(G118="FIXED",M118,IF(G118="UNIFORM",IF(AND(ISNUMBER(H118),ISNUMBER(I118)),(H118+I118)/2,""),IF(G118="TRIANGLE",IF(ISNUMBER(L118),L118,IF(ISNUMBER(J118),J118,"")),IF(ISNUMBER(J118),J118,IF(ISNUMBER(K118),K118,""))))))</x:f>
      </x:c>
      <x:c r="O118" s="32" t="str">
        <x:f>IF(A118="","",IF(G118="FIXED","fixed",IF(G118="UNIFORM","midpoint_median",IF(G118="TRIANGLE",IF(ISNUMBER(L118),"mode",IF(ISNUMBER(J118),"source_median","missing")),IF(ISNUMBER(J118),"source_median",IF(ISNUMBER(K118),"source_mean","missing"))))))</x:f>
      </x:c>
      <x:c r="P118" s="18"/>
      <x:c r="Q118" s="18"/>
      <x:c r="R118" s="18"/>
      <x:c r="S118" s="18"/>
    </x:row>
    <x:row r="119">
      <x:c r="A119" s="18"/>
      <x:c r="B119" s="18"/>
      <x:c r="C119" s="18"/>
      <x:c r="D119" s="18"/>
      <x:c r="E119" s="18"/>
      <x:c r="F119" s="18"/>
      <x:c r="G119" s="18"/>
      <x:c r="H119" s="30"/>
      <x:c r="I119" s="30"/>
      <x:c r="J119" s="30"/>
      <x:c r="K119" s="30"/>
      <x:c r="L119" s="30"/>
      <x:c r="M119" s="30"/>
      <x:c r="N119" s="31" t="str">
        <x:f>IF(A119="","",IF(G119="FIXED",M119,IF(G119="UNIFORM",IF(AND(ISNUMBER(H119),ISNUMBER(I119)),(H119+I119)/2,""),IF(G119="TRIANGLE",IF(ISNUMBER(L119),L119,IF(ISNUMBER(J119),J119,"")),IF(ISNUMBER(J119),J119,IF(ISNUMBER(K119),K119,""))))))</x:f>
      </x:c>
      <x:c r="O119" s="32" t="str">
        <x:f>IF(A119="","",IF(G119="FIXED","fixed",IF(G119="UNIFORM","midpoint_median",IF(G119="TRIANGLE",IF(ISNUMBER(L119),"mode",IF(ISNUMBER(J119),"source_median","missing")),IF(ISNUMBER(J119),"source_median",IF(ISNUMBER(K119),"source_mean","missing"))))))</x:f>
      </x:c>
      <x:c r="P119" s="18"/>
      <x:c r="Q119" s="18"/>
      <x:c r="R119" s="18"/>
      <x:c r="S119" s="18"/>
    </x:row>
    <x:row r="120">
      <x:c r="A120" s="18"/>
      <x:c r="B120" s="18"/>
      <x:c r="C120" s="18"/>
      <x:c r="D120" s="18"/>
      <x:c r="E120" s="18"/>
      <x:c r="F120" s="18"/>
      <x:c r="G120" s="18"/>
      <x:c r="H120" s="30"/>
      <x:c r="I120" s="30"/>
      <x:c r="J120" s="30"/>
      <x:c r="K120" s="30"/>
      <x:c r="L120" s="30"/>
      <x:c r="M120" s="30"/>
      <x:c r="N120" s="31" t="str">
        <x:f>IF(A120="","",IF(G120="FIXED",M120,IF(G120="UNIFORM",IF(AND(ISNUMBER(H120),ISNUMBER(I120)),(H120+I120)/2,""),IF(G120="TRIANGLE",IF(ISNUMBER(L120),L120,IF(ISNUMBER(J120),J120,"")),IF(ISNUMBER(J120),J120,IF(ISNUMBER(K120),K120,""))))))</x:f>
      </x:c>
      <x:c r="O120" s="32" t="str">
        <x:f>IF(A120="","",IF(G120="FIXED","fixed",IF(G120="UNIFORM","midpoint_median",IF(G120="TRIANGLE",IF(ISNUMBER(L120),"mode",IF(ISNUMBER(J120),"source_median","missing")),IF(ISNUMBER(J120),"source_median",IF(ISNUMBER(K120),"source_mean","missing"))))))</x:f>
      </x:c>
      <x:c r="P120" s="18"/>
      <x:c r="Q120" s="18"/>
      <x:c r="R120" s="18"/>
      <x:c r="S120" s="18"/>
    </x:row>
    <x:row r="121">
      <x:c r="A121" s="18"/>
      <x:c r="B121" s="18"/>
      <x:c r="C121" s="18"/>
      <x:c r="D121" s="18"/>
      <x:c r="E121" s="18"/>
      <x:c r="F121" s="18"/>
      <x:c r="G121" s="18"/>
      <x:c r="H121" s="30"/>
      <x:c r="I121" s="30"/>
      <x:c r="J121" s="30"/>
      <x:c r="K121" s="30"/>
      <x:c r="L121" s="30"/>
      <x:c r="M121" s="30"/>
      <x:c r="N121" s="31" t="str">
        <x:f>IF(A121="","",IF(G121="FIXED",M121,IF(G121="UNIFORM",IF(AND(ISNUMBER(H121),ISNUMBER(I121)),(H121+I121)/2,""),IF(G121="TRIANGLE",IF(ISNUMBER(L121),L121,IF(ISNUMBER(J121),J121,"")),IF(ISNUMBER(J121),J121,IF(ISNUMBER(K121),K121,""))))))</x:f>
      </x:c>
      <x:c r="O121" s="32" t="str">
        <x:f>IF(A121="","",IF(G121="FIXED","fixed",IF(G121="UNIFORM","midpoint_median",IF(G121="TRIANGLE",IF(ISNUMBER(L121),"mode",IF(ISNUMBER(J121),"source_median","missing")),IF(ISNUMBER(J121),"source_median",IF(ISNUMBER(K121),"source_mean","missing"))))))</x:f>
      </x:c>
      <x:c r="P121" s="18"/>
      <x:c r="Q121" s="18"/>
      <x:c r="R121" s="18"/>
      <x:c r="S121" s="18"/>
    </x:row>
    <x:row r="122">
      <x:c r="A122" s="18"/>
      <x:c r="B122" s="18"/>
      <x:c r="C122" s="18"/>
      <x:c r="D122" s="18"/>
      <x:c r="E122" s="18"/>
      <x:c r="F122" s="18"/>
      <x:c r="G122" s="18"/>
      <x:c r="H122" s="30"/>
      <x:c r="I122" s="30"/>
      <x:c r="J122" s="30"/>
      <x:c r="K122" s="30"/>
      <x:c r="L122" s="30"/>
      <x:c r="M122" s="30"/>
      <x:c r="N122" s="31" t="str">
        <x:f>IF(A122="","",IF(G122="FIXED",M122,IF(G122="UNIFORM",IF(AND(ISNUMBER(H122),ISNUMBER(I122)),(H122+I122)/2,""),IF(G122="TRIANGLE",IF(ISNUMBER(L122),L122,IF(ISNUMBER(J122),J122,"")),IF(ISNUMBER(J122),J122,IF(ISNUMBER(K122),K122,""))))))</x:f>
      </x:c>
      <x:c r="O122" s="32" t="str">
        <x:f>IF(A122="","",IF(G122="FIXED","fixed",IF(G122="UNIFORM","midpoint_median",IF(G122="TRIANGLE",IF(ISNUMBER(L122),"mode",IF(ISNUMBER(J122),"source_median","missing")),IF(ISNUMBER(J122),"source_median",IF(ISNUMBER(K122),"source_mean","missing"))))))</x:f>
      </x:c>
      <x:c r="P122" s="18"/>
      <x:c r="Q122" s="18"/>
      <x:c r="R122" s="18"/>
      <x:c r="S122" s="18"/>
    </x:row>
    <x:row r="123">
      <x:c r="A123" s="18"/>
      <x:c r="B123" s="18"/>
      <x:c r="C123" s="18"/>
      <x:c r="D123" s="18"/>
      <x:c r="E123" s="18"/>
      <x:c r="F123" s="18"/>
      <x:c r="G123" s="18"/>
      <x:c r="H123" s="30"/>
      <x:c r="I123" s="30"/>
      <x:c r="J123" s="30"/>
      <x:c r="K123" s="30"/>
      <x:c r="L123" s="30"/>
      <x:c r="M123" s="30"/>
      <x:c r="N123" s="31" t="str">
        <x:f>IF(A123="","",IF(G123="FIXED",M123,IF(G123="UNIFORM",IF(AND(ISNUMBER(H123),ISNUMBER(I123)),(H123+I123)/2,""),IF(G123="TRIANGLE",IF(ISNUMBER(L123),L123,IF(ISNUMBER(J123),J123,"")),IF(ISNUMBER(J123),J123,IF(ISNUMBER(K123),K123,""))))))</x:f>
      </x:c>
      <x:c r="O123" s="32" t="str">
        <x:f>IF(A123="","",IF(G123="FIXED","fixed",IF(G123="UNIFORM","midpoint_median",IF(G123="TRIANGLE",IF(ISNUMBER(L123),"mode",IF(ISNUMBER(J123),"source_median","missing")),IF(ISNUMBER(J123),"source_median",IF(ISNUMBER(K123),"source_mean","missing"))))))</x:f>
      </x:c>
      <x:c r="P123" s="18"/>
      <x:c r="Q123" s="18"/>
      <x:c r="R123" s="18"/>
      <x:c r="S123" s="18"/>
    </x:row>
    <x:row r="124">
      <x:c r="A124" s="18"/>
      <x:c r="B124" s="18"/>
      <x:c r="C124" s="18"/>
      <x:c r="D124" s="18"/>
      <x:c r="E124" s="18"/>
      <x:c r="F124" s="18"/>
      <x:c r="G124" s="18"/>
      <x:c r="H124" s="30"/>
      <x:c r="I124" s="30"/>
      <x:c r="J124" s="30"/>
      <x:c r="K124" s="30"/>
      <x:c r="L124" s="30"/>
      <x:c r="M124" s="30"/>
      <x:c r="N124" s="31" t="str">
        <x:f>IF(A124="","",IF(G124="FIXED",M124,IF(G124="UNIFORM",IF(AND(ISNUMBER(H124),ISNUMBER(I124)),(H124+I124)/2,""),IF(G124="TRIANGLE",IF(ISNUMBER(L124),L124,IF(ISNUMBER(J124),J124,"")),IF(ISNUMBER(J124),J124,IF(ISNUMBER(K124),K124,""))))))</x:f>
      </x:c>
      <x:c r="O124" s="32" t="str">
        <x:f>IF(A124="","",IF(G124="FIXED","fixed",IF(G124="UNIFORM","midpoint_median",IF(G124="TRIANGLE",IF(ISNUMBER(L124),"mode",IF(ISNUMBER(J124),"source_median","missing")),IF(ISNUMBER(J124),"source_median",IF(ISNUMBER(K124),"source_mean","missing"))))))</x:f>
      </x:c>
      <x:c r="P124" s="18"/>
      <x:c r="Q124" s="18"/>
      <x:c r="R124" s="18"/>
      <x:c r="S124" s="18"/>
    </x:row>
    <x:row r="125">
      <x:c r="A125" s="18"/>
      <x:c r="B125" s="18"/>
      <x:c r="C125" s="18"/>
      <x:c r="D125" s="18"/>
      <x:c r="E125" s="18"/>
      <x:c r="F125" s="18"/>
      <x:c r="G125" s="18"/>
      <x:c r="H125" s="30"/>
      <x:c r="I125" s="30"/>
      <x:c r="J125" s="30"/>
      <x:c r="K125" s="30"/>
      <x:c r="L125" s="30"/>
      <x:c r="M125" s="30"/>
      <x:c r="N125" s="31" t="str">
        <x:f>IF(A125="","",IF(G125="FIXED",M125,IF(G125="UNIFORM",IF(AND(ISNUMBER(H125),ISNUMBER(I125)),(H125+I125)/2,""),IF(G125="TRIANGLE",IF(ISNUMBER(L125),L125,IF(ISNUMBER(J125),J125,"")),IF(ISNUMBER(J125),J125,IF(ISNUMBER(K125),K125,""))))))</x:f>
      </x:c>
      <x:c r="O125" s="32" t="str">
        <x:f>IF(A125="","",IF(G125="FIXED","fixed",IF(G125="UNIFORM","midpoint_median",IF(G125="TRIANGLE",IF(ISNUMBER(L125),"mode",IF(ISNUMBER(J125),"source_median","missing")),IF(ISNUMBER(J125),"source_median",IF(ISNUMBER(K125),"source_mean","missing"))))))</x:f>
      </x:c>
      <x:c r="P125" s="18"/>
      <x:c r="Q125" s="18"/>
      <x:c r="R125" s="18"/>
      <x:c r="S125" s="18"/>
    </x:row>
    <x:row r="126">
      <x:c r="A126" s="18"/>
      <x:c r="B126" s="18"/>
      <x:c r="C126" s="18"/>
      <x:c r="D126" s="18"/>
      <x:c r="E126" s="18"/>
      <x:c r="F126" s="18"/>
      <x:c r="G126" s="18"/>
      <x:c r="H126" s="30"/>
      <x:c r="I126" s="30"/>
      <x:c r="J126" s="30"/>
      <x:c r="K126" s="30"/>
      <x:c r="L126" s="30"/>
      <x:c r="M126" s="30"/>
      <x:c r="N126" s="31" t="str">
        <x:f>IF(A126="","",IF(G126="FIXED",M126,IF(G126="UNIFORM",IF(AND(ISNUMBER(H126),ISNUMBER(I126)),(H126+I126)/2,""),IF(G126="TRIANGLE",IF(ISNUMBER(L126),L126,IF(ISNUMBER(J126),J126,"")),IF(ISNUMBER(J126),J126,IF(ISNUMBER(K126),K126,""))))))</x:f>
      </x:c>
      <x:c r="O126" s="32" t="str">
        <x:f>IF(A126="","",IF(G126="FIXED","fixed",IF(G126="UNIFORM","midpoint_median",IF(G126="TRIANGLE",IF(ISNUMBER(L126),"mode",IF(ISNUMBER(J126),"source_median","missing")),IF(ISNUMBER(J126),"source_median",IF(ISNUMBER(K126),"source_mean","missing"))))))</x:f>
      </x:c>
      <x:c r="P126" s="18"/>
      <x:c r="Q126" s="18"/>
      <x:c r="R126" s="18"/>
      <x:c r="S126" s="18"/>
    </x:row>
    <x:row r="127">
      <x:c r="A127" s="18"/>
      <x:c r="B127" s="18"/>
      <x:c r="C127" s="18"/>
      <x:c r="D127" s="18"/>
      <x:c r="E127" s="18"/>
      <x:c r="F127" s="18"/>
      <x:c r="G127" s="18"/>
      <x:c r="H127" s="30"/>
      <x:c r="I127" s="30"/>
      <x:c r="J127" s="30"/>
      <x:c r="K127" s="30"/>
      <x:c r="L127" s="30"/>
      <x:c r="M127" s="30"/>
      <x:c r="N127" s="31" t="str">
        <x:f>IF(A127="","",IF(G127="FIXED",M127,IF(G127="UNIFORM",IF(AND(ISNUMBER(H127),ISNUMBER(I127)),(H127+I127)/2,""),IF(G127="TRIANGLE",IF(ISNUMBER(L127),L127,IF(ISNUMBER(J127),J127,"")),IF(ISNUMBER(J127),J127,IF(ISNUMBER(K127),K127,""))))))</x:f>
      </x:c>
      <x:c r="O127" s="32" t="str">
        <x:f>IF(A127="","",IF(G127="FIXED","fixed",IF(G127="UNIFORM","midpoint_median",IF(G127="TRIANGLE",IF(ISNUMBER(L127),"mode",IF(ISNUMBER(J127),"source_median","missing")),IF(ISNUMBER(J127),"source_median",IF(ISNUMBER(K127),"source_mean","missing"))))))</x:f>
      </x:c>
      <x:c r="P127" s="18"/>
      <x:c r="Q127" s="18"/>
      <x:c r="R127" s="18"/>
      <x:c r="S127" s="18"/>
    </x:row>
    <x:row r="128">
      <x:c r="A128" s="18"/>
      <x:c r="B128" s="18"/>
      <x:c r="C128" s="18"/>
      <x:c r="D128" s="18"/>
      <x:c r="E128" s="18"/>
      <x:c r="F128" s="18"/>
      <x:c r="G128" s="18"/>
      <x:c r="H128" s="30"/>
      <x:c r="I128" s="30"/>
      <x:c r="J128" s="30"/>
      <x:c r="K128" s="30"/>
      <x:c r="L128" s="30"/>
      <x:c r="M128" s="30"/>
      <x:c r="N128" s="31" t="str">
        <x:f>IF(A128="","",IF(G128="FIXED",M128,IF(G128="UNIFORM",IF(AND(ISNUMBER(H128),ISNUMBER(I128)),(H128+I128)/2,""),IF(G128="TRIANGLE",IF(ISNUMBER(L128),L128,IF(ISNUMBER(J128),J128,"")),IF(ISNUMBER(J128),J128,IF(ISNUMBER(K128),K128,""))))))</x:f>
      </x:c>
      <x:c r="O128" s="32" t="str">
        <x:f>IF(A128="","",IF(G128="FIXED","fixed",IF(G128="UNIFORM","midpoint_median",IF(G128="TRIANGLE",IF(ISNUMBER(L128),"mode",IF(ISNUMBER(J128),"source_median","missing")),IF(ISNUMBER(J128),"source_median",IF(ISNUMBER(K128),"source_mean","missing"))))))</x:f>
      </x:c>
      <x:c r="P128" s="18"/>
      <x:c r="Q128" s="18"/>
      <x:c r="R128" s="18"/>
      <x:c r="S128" s="18"/>
    </x:row>
    <x:row r="129">
      <x:c r="A129" s="18"/>
      <x:c r="B129" s="18"/>
      <x:c r="C129" s="18"/>
      <x:c r="D129" s="18"/>
      <x:c r="E129" s="18"/>
      <x:c r="F129" s="18"/>
      <x:c r="G129" s="18"/>
      <x:c r="H129" s="30"/>
      <x:c r="I129" s="30"/>
      <x:c r="J129" s="30"/>
      <x:c r="K129" s="30"/>
      <x:c r="L129" s="30"/>
      <x:c r="M129" s="30"/>
      <x:c r="N129" s="31" t="str">
        <x:f>IF(A129="","",IF(G129="FIXED",M129,IF(G129="UNIFORM",IF(AND(ISNUMBER(H129),ISNUMBER(I129)),(H129+I129)/2,""),IF(G129="TRIANGLE",IF(ISNUMBER(L129),L129,IF(ISNUMBER(J129),J129,"")),IF(ISNUMBER(J129),J129,IF(ISNUMBER(K129),K129,""))))))</x:f>
      </x:c>
      <x:c r="O129" s="32" t="str">
        <x:f>IF(A129="","",IF(G129="FIXED","fixed",IF(G129="UNIFORM","midpoint_median",IF(G129="TRIANGLE",IF(ISNUMBER(L129),"mode",IF(ISNUMBER(J129),"source_median","missing")),IF(ISNUMBER(J129),"source_median",IF(ISNUMBER(K129),"source_mean","missing"))))))</x:f>
      </x:c>
      <x:c r="P129" s="18"/>
      <x:c r="Q129" s="18"/>
      <x:c r="R129" s="18"/>
      <x:c r="S129" s="18"/>
    </x:row>
    <x:row r="130">
      <x:c r="A130" s="18"/>
      <x:c r="B130" s="18"/>
      <x:c r="C130" s="18"/>
      <x:c r="D130" s="18"/>
      <x:c r="E130" s="18"/>
      <x:c r="F130" s="18"/>
      <x:c r="G130" s="18"/>
      <x:c r="H130" s="30"/>
      <x:c r="I130" s="30"/>
      <x:c r="J130" s="30"/>
      <x:c r="K130" s="30"/>
      <x:c r="L130" s="30"/>
      <x:c r="M130" s="30"/>
      <x:c r="N130" s="31" t="str">
        <x:f>IF(A130="","",IF(G130="FIXED",M130,IF(G130="UNIFORM",IF(AND(ISNUMBER(H130),ISNUMBER(I130)),(H130+I130)/2,""),IF(G130="TRIANGLE",IF(ISNUMBER(L130),L130,IF(ISNUMBER(J130),J130,"")),IF(ISNUMBER(J130),J130,IF(ISNUMBER(K130),K130,""))))))</x:f>
      </x:c>
      <x:c r="O130" s="32" t="str">
        <x:f>IF(A130="","",IF(G130="FIXED","fixed",IF(G130="UNIFORM","midpoint_median",IF(G130="TRIANGLE",IF(ISNUMBER(L130),"mode",IF(ISNUMBER(J130),"source_median","missing")),IF(ISNUMBER(J130),"source_median",IF(ISNUMBER(K130),"source_mean","missing"))))))</x:f>
      </x:c>
      <x:c r="P130" s="18"/>
      <x:c r="Q130" s="18"/>
      <x:c r="R130" s="18"/>
      <x:c r="S130" s="18"/>
    </x:row>
    <x:row r="131">
      <x:c r="A131" s="18"/>
      <x:c r="B131" s="18"/>
      <x:c r="C131" s="18"/>
      <x:c r="D131" s="18"/>
      <x:c r="E131" s="18"/>
      <x:c r="F131" s="18"/>
      <x:c r="G131" s="18"/>
      <x:c r="H131" s="30"/>
      <x:c r="I131" s="30"/>
      <x:c r="J131" s="30"/>
      <x:c r="K131" s="30"/>
      <x:c r="L131" s="30"/>
      <x:c r="M131" s="30"/>
      <x:c r="N131" s="31" t="str">
        <x:f>IF(A131="","",IF(G131="FIXED",M131,IF(G131="UNIFORM",IF(AND(ISNUMBER(H131),ISNUMBER(I131)),(H131+I131)/2,""),IF(G131="TRIANGLE",IF(ISNUMBER(L131),L131,IF(ISNUMBER(J131),J131,"")),IF(ISNUMBER(J131),J131,IF(ISNUMBER(K131),K131,""))))))</x:f>
      </x:c>
      <x:c r="O131" s="32" t="str">
        <x:f>IF(A131="","",IF(G131="FIXED","fixed",IF(G131="UNIFORM","midpoint_median",IF(G131="TRIANGLE",IF(ISNUMBER(L131),"mode",IF(ISNUMBER(J131),"source_median","missing")),IF(ISNUMBER(J131),"source_median",IF(ISNUMBER(K131),"source_mean","missing"))))))</x:f>
      </x:c>
      <x:c r="P131" s="18"/>
      <x:c r="Q131" s="18"/>
      <x:c r="R131" s="18"/>
      <x:c r="S131" s="18"/>
    </x:row>
    <x:row r="132">
      <x:c r="A132" s="18"/>
      <x:c r="B132" s="18"/>
      <x:c r="C132" s="18"/>
      <x:c r="D132" s="18"/>
      <x:c r="E132" s="18"/>
      <x:c r="F132" s="18"/>
      <x:c r="G132" s="18"/>
      <x:c r="H132" s="30"/>
      <x:c r="I132" s="30"/>
      <x:c r="J132" s="30"/>
      <x:c r="K132" s="30"/>
      <x:c r="L132" s="30"/>
      <x:c r="M132" s="30"/>
      <x:c r="N132" s="31" t="str">
        <x:f>IF(A132="","",IF(G132="FIXED",M132,IF(G132="UNIFORM",IF(AND(ISNUMBER(H132),ISNUMBER(I132)),(H132+I132)/2,""),IF(G132="TRIANGLE",IF(ISNUMBER(L132),L132,IF(ISNUMBER(J132),J132,"")),IF(ISNUMBER(J132),J132,IF(ISNUMBER(K132),K132,""))))))</x:f>
      </x:c>
      <x:c r="O132" s="32" t="str">
        <x:f>IF(A132="","",IF(G132="FIXED","fixed",IF(G132="UNIFORM","midpoint_median",IF(G132="TRIANGLE",IF(ISNUMBER(L132),"mode",IF(ISNUMBER(J132),"source_median","missing")),IF(ISNUMBER(J132),"source_median",IF(ISNUMBER(K132),"source_mean","missing"))))))</x:f>
      </x:c>
      <x:c r="P132" s="18"/>
      <x:c r="Q132" s="18"/>
      <x:c r="R132" s="18"/>
      <x:c r="S132" s="18"/>
    </x:row>
    <x:row r="133">
      <x:c r="A133" s="18"/>
      <x:c r="B133" s="18"/>
      <x:c r="C133" s="18"/>
      <x:c r="D133" s="18"/>
      <x:c r="E133" s="18"/>
      <x:c r="F133" s="18"/>
      <x:c r="G133" s="18"/>
      <x:c r="H133" s="30"/>
      <x:c r="I133" s="30"/>
      <x:c r="J133" s="30"/>
      <x:c r="K133" s="30"/>
      <x:c r="L133" s="30"/>
      <x:c r="M133" s="30"/>
      <x:c r="N133" s="31" t="str">
        <x:f>IF(A133="","",IF(G133="FIXED",M133,IF(G133="UNIFORM",IF(AND(ISNUMBER(H133),ISNUMBER(I133)),(H133+I133)/2,""),IF(G133="TRIANGLE",IF(ISNUMBER(L133),L133,IF(ISNUMBER(J133),J133,"")),IF(ISNUMBER(J133),J133,IF(ISNUMBER(K133),K133,""))))))</x:f>
      </x:c>
      <x:c r="O133" s="32" t="str">
        <x:f>IF(A133="","",IF(G133="FIXED","fixed",IF(G133="UNIFORM","midpoint_median",IF(G133="TRIANGLE",IF(ISNUMBER(L133),"mode",IF(ISNUMBER(J133),"source_median","missing")),IF(ISNUMBER(J133),"source_median",IF(ISNUMBER(K133),"source_mean","missing"))))))</x:f>
      </x:c>
      <x:c r="P133" s="18"/>
      <x:c r="Q133" s="18"/>
      <x:c r="R133" s="18"/>
      <x:c r="S133" s="18"/>
    </x:row>
    <x:row r="134">
      <x:c r="A134" s="18"/>
      <x:c r="B134" s="18"/>
      <x:c r="C134" s="18"/>
      <x:c r="D134" s="18"/>
      <x:c r="E134" s="18"/>
      <x:c r="F134" s="18"/>
      <x:c r="G134" s="18"/>
      <x:c r="H134" s="30"/>
      <x:c r="I134" s="30"/>
      <x:c r="J134" s="30"/>
      <x:c r="K134" s="30"/>
      <x:c r="L134" s="30"/>
      <x:c r="M134" s="30"/>
      <x:c r="N134" s="31" t="str">
        <x:f>IF(A134="","",IF(G134="FIXED",M134,IF(G134="UNIFORM",IF(AND(ISNUMBER(H134),ISNUMBER(I134)),(H134+I134)/2,""),IF(G134="TRIANGLE",IF(ISNUMBER(L134),L134,IF(ISNUMBER(J134),J134,"")),IF(ISNUMBER(J134),J134,IF(ISNUMBER(K134),K134,""))))))</x:f>
      </x:c>
      <x:c r="O134" s="32" t="str">
        <x:f>IF(A134="","",IF(G134="FIXED","fixed",IF(G134="UNIFORM","midpoint_median",IF(G134="TRIANGLE",IF(ISNUMBER(L134),"mode",IF(ISNUMBER(J134),"source_median","missing")),IF(ISNUMBER(J134),"source_median",IF(ISNUMBER(K134),"source_mean","missing"))))))</x:f>
      </x:c>
      <x:c r="P134" s="18"/>
      <x:c r="Q134" s="18"/>
      <x:c r="R134" s="18"/>
      <x:c r="S134" s="18"/>
    </x:row>
    <x:row r="135">
      <x:c r="A135" s="18"/>
      <x:c r="B135" s="18"/>
      <x:c r="C135" s="18"/>
      <x:c r="D135" s="18"/>
      <x:c r="E135" s="18"/>
      <x:c r="F135" s="18"/>
      <x:c r="G135" s="18"/>
      <x:c r="H135" s="30"/>
      <x:c r="I135" s="30"/>
      <x:c r="J135" s="30"/>
      <x:c r="K135" s="30"/>
      <x:c r="L135" s="30"/>
      <x:c r="M135" s="30"/>
      <x:c r="N135" s="31" t="str">
        <x:f>IF(A135="","",IF(G135="FIXED",M135,IF(G135="UNIFORM",IF(AND(ISNUMBER(H135),ISNUMBER(I135)),(H135+I135)/2,""),IF(G135="TRIANGLE",IF(ISNUMBER(L135),L135,IF(ISNUMBER(J135),J135,"")),IF(ISNUMBER(J135),J135,IF(ISNUMBER(K135),K135,""))))))</x:f>
      </x:c>
      <x:c r="O135" s="32" t="str">
        <x:f>IF(A135="","",IF(G135="FIXED","fixed",IF(G135="UNIFORM","midpoint_median",IF(G135="TRIANGLE",IF(ISNUMBER(L135),"mode",IF(ISNUMBER(J135),"source_median","missing")),IF(ISNUMBER(J135),"source_median",IF(ISNUMBER(K135),"source_mean","missing"))))))</x:f>
      </x:c>
      <x:c r="P135" s="18"/>
      <x:c r="Q135" s="18"/>
      <x:c r="R135" s="18"/>
      <x:c r="S135" s="18"/>
    </x:row>
    <x:row r="136">
      <x:c r="A136" s="18"/>
      <x:c r="B136" s="18"/>
      <x:c r="C136" s="18"/>
      <x:c r="D136" s="18"/>
      <x:c r="E136" s="18"/>
      <x:c r="F136" s="18"/>
      <x:c r="G136" s="18"/>
      <x:c r="H136" s="30"/>
      <x:c r="I136" s="30"/>
      <x:c r="J136" s="30"/>
      <x:c r="K136" s="30"/>
      <x:c r="L136" s="30"/>
      <x:c r="M136" s="30"/>
      <x:c r="N136" s="31" t="str">
        <x:f>IF(A136="","",IF(G136="FIXED",M136,IF(G136="UNIFORM",IF(AND(ISNUMBER(H136),ISNUMBER(I136)),(H136+I136)/2,""),IF(G136="TRIANGLE",IF(ISNUMBER(L136),L136,IF(ISNUMBER(J136),J136,"")),IF(ISNUMBER(J136),J136,IF(ISNUMBER(K136),K136,""))))))</x:f>
      </x:c>
      <x:c r="O136" s="32" t="str">
        <x:f>IF(A136="","",IF(G136="FIXED","fixed",IF(G136="UNIFORM","midpoint_median",IF(G136="TRIANGLE",IF(ISNUMBER(L136),"mode",IF(ISNUMBER(J136),"source_median","missing")),IF(ISNUMBER(J136),"source_median",IF(ISNUMBER(K136),"source_mean","missing"))))))</x:f>
      </x:c>
      <x:c r="P136" s="18"/>
      <x:c r="Q136" s="18"/>
      <x:c r="R136" s="18"/>
      <x:c r="S136" s="18"/>
    </x:row>
    <x:row r="137">
      <x:c r="A137" s="18"/>
      <x:c r="B137" s="18"/>
      <x:c r="C137" s="18"/>
      <x:c r="D137" s="18"/>
      <x:c r="E137" s="18"/>
      <x:c r="F137" s="18"/>
      <x:c r="G137" s="18"/>
      <x:c r="H137" s="30"/>
      <x:c r="I137" s="30"/>
      <x:c r="J137" s="30"/>
      <x:c r="K137" s="30"/>
      <x:c r="L137" s="30"/>
      <x:c r="M137" s="30"/>
      <x:c r="N137" s="31" t="str">
        <x:f>IF(A137="","",IF(G137="FIXED",M137,IF(G137="UNIFORM",IF(AND(ISNUMBER(H137),ISNUMBER(I137)),(H137+I137)/2,""),IF(G137="TRIANGLE",IF(ISNUMBER(L137),L137,IF(ISNUMBER(J137),J137,"")),IF(ISNUMBER(J137),J137,IF(ISNUMBER(K137),K137,""))))))</x:f>
      </x:c>
      <x:c r="O137" s="32" t="str">
        <x:f>IF(A137="","",IF(G137="FIXED","fixed",IF(G137="UNIFORM","midpoint_median",IF(G137="TRIANGLE",IF(ISNUMBER(L137),"mode",IF(ISNUMBER(J137),"source_median","missing")),IF(ISNUMBER(J137),"source_median",IF(ISNUMBER(K137),"source_mean","missing"))))))</x:f>
      </x:c>
      <x:c r="P137" s="18"/>
      <x:c r="Q137" s="18"/>
      <x:c r="R137" s="18"/>
      <x:c r="S137" s="18"/>
    </x:row>
    <x:row r="138">
      <x:c r="A138" s="18"/>
      <x:c r="B138" s="18"/>
      <x:c r="C138" s="18"/>
      <x:c r="D138" s="18"/>
      <x:c r="E138" s="18"/>
      <x:c r="F138" s="18"/>
      <x:c r="G138" s="18"/>
      <x:c r="H138" s="30"/>
      <x:c r="I138" s="30"/>
      <x:c r="J138" s="30"/>
      <x:c r="K138" s="30"/>
      <x:c r="L138" s="30"/>
      <x:c r="M138" s="30"/>
      <x:c r="N138" s="31" t="str">
        <x:f>IF(A138="","",IF(G138="FIXED",M138,IF(G138="UNIFORM",IF(AND(ISNUMBER(H138),ISNUMBER(I138)),(H138+I138)/2,""),IF(G138="TRIANGLE",IF(ISNUMBER(L138),L138,IF(ISNUMBER(J138),J138,"")),IF(ISNUMBER(J138),J138,IF(ISNUMBER(K138),K138,""))))))</x:f>
      </x:c>
      <x:c r="O138" s="32" t="str">
        <x:f>IF(A138="","",IF(G138="FIXED","fixed",IF(G138="UNIFORM","midpoint_median",IF(G138="TRIANGLE",IF(ISNUMBER(L138),"mode",IF(ISNUMBER(J138),"source_median","missing")),IF(ISNUMBER(J138),"source_median",IF(ISNUMBER(K138),"source_mean","missing"))))))</x:f>
      </x:c>
      <x:c r="P138" s="18"/>
      <x:c r="Q138" s="18"/>
      <x:c r="R138" s="18"/>
      <x:c r="S138" s="18"/>
    </x:row>
    <x:row r="139">
      <x:c r="A139" s="18"/>
      <x:c r="B139" s="18"/>
      <x:c r="C139" s="18"/>
      <x:c r="D139" s="18"/>
      <x:c r="E139" s="18"/>
      <x:c r="F139" s="18"/>
      <x:c r="G139" s="18"/>
      <x:c r="H139" s="30"/>
      <x:c r="I139" s="30"/>
      <x:c r="J139" s="30"/>
      <x:c r="K139" s="30"/>
      <x:c r="L139" s="30"/>
      <x:c r="M139" s="30"/>
      <x:c r="N139" s="31" t="str">
        <x:f>IF(A139="","",IF(G139="FIXED",M139,IF(G139="UNIFORM",IF(AND(ISNUMBER(H139),ISNUMBER(I139)),(H139+I139)/2,""),IF(G139="TRIANGLE",IF(ISNUMBER(L139),L139,IF(ISNUMBER(J139),J139,"")),IF(ISNUMBER(J139),J139,IF(ISNUMBER(K139),K139,""))))))</x:f>
      </x:c>
      <x:c r="O139" s="32" t="str">
        <x:f>IF(A139="","",IF(G139="FIXED","fixed",IF(G139="UNIFORM","midpoint_median",IF(G139="TRIANGLE",IF(ISNUMBER(L139),"mode",IF(ISNUMBER(J139),"source_median","missing")),IF(ISNUMBER(J139),"source_median",IF(ISNUMBER(K139),"source_mean","missing"))))))</x:f>
      </x:c>
      <x:c r="P139" s="18"/>
      <x:c r="Q139" s="18"/>
      <x:c r="R139" s="18"/>
      <x:c r="S139" s="18"/>
    </x:row>
    <x:row r="140">
      <x:c r="A140" s="18"/>
      <x:c r="B140" s="18"/>
      <x:c r="C140" s="18"/>
      <x:c r="D140" s="18"/>
      <x:c r="E140" s="18"/>
      <x:c r="F140" s="18"/>
      <x:c r="G140" s="18"/>
      <x:c r="H140" s="30"/>
      <x:c r="I140" s="30"/>
      <x:c r="J140" s="30"/>
      <x:c r="K140" s="30"/>
      <x:c r="L140" s="30"/>
      <x:c r="M140" s="30"/>
      <x:c r="N140" s="31" t="str">
        <x:f>IF(A140="","",IF(G140="FIXED",M140,IF(G140="UNIFORM",IF(AND(ISNUMBER(H140),ISNUMBER(I140)),(H140+I140)/2,""),IF(G140="TRIANGLE",IF(ISNUMBER(L140),L140,IF(ISNUMBER(J140),J140,"")),IF(ISNUMBER(J140),J140,IF(ISNUMBER(K140),K140,""))))))</x:f>
      </x:c>
      <x:c r="O140" s="32" t="str">
        <x:f>IF(A140="","",IF(G140="FIXED","fixed",IF(G140="UNIFORM","midpoint_median",IF(G140="TRIANGLE",IF(ISNUMBER(L140),"mode",IF(ISNUMBER(J140),"source_median","missing")),IF(ISNUMBER(J140),"source_median",IF(ISNUMBER(K140),"source_mean","missing"))))))</x:f>
      </x:c>
      <x:c r="P140" s="18"/>
      <x:c r="Q140" s="18"/>
      <x:c r="R140" s="18"/>
      <x:c r="S140" s="18"/>
    </x:row>
    <x:row r="141">
      <x:c r="A141" s="18"/>
      <x:c r="B141" s="18"/>
      <x:c r="C141" s="18"/>
      <x:c r="D141" s="18"/>
      <x:c r="E141" s="18"/>
      <x:c r="F141" s="18"/>
      <x:c r="G141" s="18"/>
      <x:c r="H141" s="30"/>
      <x:c r="I141" s="30"/>
      <x:c r="J141" s="30"/>
      <x:c r="K141" s="30"/>
      <x:c r="L141" s="30"/>
      <x:c r="M141" s="30"/>
      <x:c r="N141" s="31" t="str">
        <x:f>IF(A141="","",IF(G141="FIXED",M141,IF(G141="UNIFORM",IF(AND(ISNUMBER(H141),ISNUMBER(I141)),(H141+I141)/2,""),IF(G141="TRIANGLE",IF(ISNUMBER(L141),L141,IF(ISNUMBER(J141),J141,"")),IF(ISNUMBER(J141),J141,IF(ISNUMBER(K141),K141,""))))))</x:f>
      </x:c>
      <x:c r="O141" s="32" t="str">
        <x:f>IF(A141="","",IF(G141="FIXED","fixed",IF(G141="UNIFORM","midpoint_median",IF(G141="TRIANGLE",IF(ISNUMBER(L141),"mode",IF(ISNUMBER(J141),"source_median","missing")),IF(ISNUMBER(J141),"source_median",IF(ISNUMBER(K141),"source_mean","missing"))))))</x:f>
      </x:c>
      <x:c r="P141" s="18"/>
      <x:c r="Q141" s="18"/>
      <x:c r="R141" s="18"/>
      <x:c r="S141" s="18"/>
    </x:row>
    <x:row r="142">
      <x:c r="A142" s="18"/>
      <x:c r="B142" s="18"/>
      <x:c r="C142" s="18"/>
      <x:c r="D142" s="18"/>
      <x:c r="E142" s="18"/>
      <x:c r="F142" s="18"/>
      <x:c r="G142" s="18"/>
      <x:c r="H142" s="30"/>
      <x:c r="I142" s="30"/>
      <x:c r="J142" s="30"/>
      <x:c r="K142" s="30"/>
      <x:c r="L142" s="30"/>
      <x:c r="M142" s="30"/>
      <x:c r="N142" s="31" t="str">
        <x:f>IF(A142="","",IF(G142="FIXED",M142,IF(G142="UNIFORM",IF(AND(ISNUMBER(H142),ISNUMBER(I142)),(H142+I142)/2,""),IF(G142="TRIANGLE",IF(ISNUMBER(L142),L142,IF(ISNUMBER(J142),J142,"")),IF(ISNUMBER(J142),J142,IF(ISNUMBER(K142),K142,""))))))</x:f>
      </x:c>
      <x:c r="O142" s="32" t="str">
        <x:f>IF(A142="","",IF(G142="FIXED","fixed",IF(G142="UNIFORM","midpoint_median",IF(G142="TRIANGLE",IF(ISNUMBER(L142),"mode",IF(ISNUMBER(J142),"source_median","missing")),IF(ISNUMBER(J142),"source_median",IF(ISNUMBER(K142),"source_mean","missing"))))))</x:f>
      </x:c>
      <x:c r="P142" s="18"/>
      <x:c r="Q142" s="18"/>
      <x:c r="R142" s="18"/>
      <x:c r="S142" s="18"/>
    </x:row>
    <x:row r="143">
      <x:c r="A143" s="18"/>
      <x:c r="B143" s="18"/>
      <x:c r="C143" s="18"/>
      <x:c r="D143" s="18"/>
      <x:c r="E143" s="18"/>
      <x:c r="F143" s="18"/>
      <x:c r="G143" s="18"/>
      <x:c r="H143" s="30"/>
      <x:c r="I143" s="30"/>
      <x:c r="J143" s="30"/>
      <x:c r="K143" s="30"/>
      <x:c r="L143" s="30"/>
      <x:c r="M143" s="30"/>
      <x:c r="N143" s="31" t="str">
        <x:f>IF(A143="","",IF(G143="FIXED",M143,IF(G143="UNIFORM",IF(AND(ISNUMBER(H143),ISNUMBER(I143)),(H143+I143)/2,""),IF(G143="TRIANGLE",IF(ISNUMBER(L143),L143,IF(ISNUMBER(J143),J143,"")),IF(ISNUMBER(J143),J143,IF(ISNUMBER(K143),K143,""))))))</x:f>
      </x:c>
      <x:c r="O143" s="32" t="str">
        <x:f>IF(A143="","",IF(G143="FIXED","fixed",IF(G143="UNIFORM","midpoint_median",IF(G143="TRIANGLE",IF(ISNUMBER(L143),"mode",IF(ISNUMBER(J143),"source_median","missing")),IF(ISNUMBER(J143),"source_median",IF(ISNUMBER(K143),"source_mean","missing"))))))</x:f>
      </x:c>
      <x:c r="P143" s="18"/>
      <x:c r="Q143" s="18"/>
      <x:c r="R143" s="18"/>
      <x:c r="S143" s="18"/>
    </x:row>
    <x:row r="144">
      <x:c r="A144" s="18"/>
      <x:c r="B144" s="18"/>
      <x:c r="C144" s="18"/>
      <x:c r="D144" s="18"/>
      <x:c r="E144" s="18"/>
      <x:c r="F144" s="18"/>
      <x:c r="G144" s="18"/>
      <x:c r="H144" s="30"/>
      <x:c r="I144" s="30"/>
      <x:c r="J144" s="30"/>
      <x:c r="K144" s="30"/>
      <x:c r="L144" s="30"/>
      <x:c r="M144" s="30"/>
      <x:c r="N144" s="31" t="str">
        <x:f>IF(A144="","",IF(G144="FIXED",M144,IF(G144="UNIFORM",IF(AND(ISNUMBER(H144),ISNUMBER(I144)),(H144+I144)/2,""),IF(G144="TRIANGLE",IF(ISNUMBER(L144),L144,IF(ISNUMBER(J144),J144,"")),IF(ISNUMBER(J144),J144,IF(ISNUMBER(K144),K144,""))))))</x:f>
      </x:c>
      <x:c r="O144" s="32" t="str">
        <x:f>IF(A144="","",IF(G144="FIXED","fixed",IF(G144="UNIFORM","midpoint_median",IF(G144="TRIANGLE",IF(ISNUMBER(L144),"mode",IF(ISNUMBER(J144),"source_median","missing")),IF(ISNUMBER(J144),"source_median",IF(ISNUMBER(K144),"source_mean","missing"))))))</x:f>
      </x:c>
      <x:c r="P144" s="18"/>
      <x:c r="Q144" s="18"/>
      <x:c r="R144" s="18"/>
      <x:c r="S144" s="18"/>
    </x:row>
    <x:row r="145">
      <x:c r="A145" s="18"/>
      <x:c r="B145" s="18"/>
      <x:c r="C145" s="18"/>
      <x:c r="D145" s="18"/>
      <x:c r="E145" s="18"/>
      <x:c r="F145" s="18"/>
      <x:c r="G145" s="18"/>
      <x:c r="H145" s="30"/>
      <x:c r="I145" s="30"/>
      <x:c r="J145" s="30"/>
      <x:c r="K145" s="30"/>
      <x:c r="L145" s="30"/>
      <x:c r="M145" s="30"/>
      <x:c r="N145" s="31" t="str">
        <x:f>IF(A145="","",IF(G145="FIXED",M145,IF(G145="UNIFORM",IF(AND(ISNUMBER(H145),ISNUMBER(I145)),(H145+I145)/2,""),IF(G145="TRIANGLE",IF(ISNUMBER(L145),L145,IF(ISNUMBER(J145),J145,"")),IF(ISNUMBER(J145),J145,IF(ISNUMBER(K145),K145,""))))))</x:f>
      </x:c>
      <x:c r="O145" s="32" t="str">
        <x:f>IF(A145="","",IF(G145="FIXED","fixed",IF(G145="UNIFORM","midpoint_median",IF(G145="TRIANGLE",IF(ISNUMBER(L145),"mode",IF(ISNUMBER(J145),"source_median","missing")),IF(ISNUMBER(J145),"source_median",IF(ISNUMBER(K145),"source_mean","missing"))))))</x:f>
      </x:c>
      <x:c r="P145" s="18"/>
      <x:c r="Q145" s="18"/>
      <x:c r="R145" s="18"/>
      <x:c r="S145" s="18"/>
    </x:row>
    <x:row r="146">
      <x:c r="A146" s="18"/>
      <x:c r="B146" s="18"/>
      <x:c r="C146" s="18"/>
      <x:c r="D146" s="18"/>
      <x:c r="E146" s="18"/>
      <x:c r="F146" s="18"/>
      <x:c r="G146" s="18"/>
      <x:c r="H146" s="30"/>
      <x:c r="I146" s="30"/>
      <x:c r="J146" s="30"/>
      <x:c r="K146" s="30"/>
      <x:c r="L146" s="30"/>
      <x:c r="M146" s="30"/>
      <x:c r="N146" s="31" t="str">
        <x:f>IF(A146="","",IF(G146="FIXED",M146,IF(G146="UNIFORM",IF(AND(ISNUMBER(H146),ISNUMBER(I146)),(H146+I146)/2,""),IF(G146="TRIANGLE",IF(ISNUMBER(L146),L146,IF(ISNUMBER(J146),J146,"")),IF(ISNUMBER(J146),J146,IF(ISNUMBER(K146),K146,""))))))</x:f>
      </x:c>
      <x:c r="O146" s="32" t="str">
        <x:f>IF(A146="","",IF(G146="FIXED","fixed",IF(G146="UNIFORM","midpoint_median",IF(G146="TRIANGLE",IF(ISNUMBER(L146),"mode",IF(ISNUMBER(J146),"source_median","missing")),IF(ISNUMBER(J146),"source_median",IF(ISNUMBER(K146),"source_mean","missing"))))))</x:f>
      </x:c>
      <x:c r="P146" s="18"/>
      <x:c r="Q146" s="18"/>
      <x:c r="R146" s="18"/>
      <x:c r="S146" s="18"/>
    </x:row>
    <x:row r="147">
      <x:c r="A147" s="18"/>
      <x:c r="B147" s="18"/>
      <x:c r="C147" s="18"/>
      <x:c r="D147" s="18"/>
      <x:c r="E147" s="18"/>
      <x:c r="F147" s="18"/>
      <x:c r="G147" s="18"/>
      <x:c r="H147" s="30"/>
      <x:c r="I147" s="30"/>
      <x:c r="J147" s="30"/>
      <x:c r="K147" s="30"/>
      <x:c r="L147" s="30"/>
      <x:c r="M147" s="30"/>
      <x:c r="N147" s="31" t="str">
        <x:f>IF(A147="","",IF(G147="FIXED",M147,IF(G147="UNIFORM",IF(AND(ISNUMBER(H147),ISNUMBER(I147)),(H147+I147)/2,""),IF(G147="TRIANGLE",IF(ISNUMBER(L147),L147,IF(ISNUMBER(J147),J147,"")),IF(ISNUMBER(J147),J147,IF(ISNUMBER(K147),K147,""))))))</x:f>
      </x:c>
      <x:c r="O147" s="32" t="str">
        <x:f>IF(A147="","",IF(G147="FIXED","fixed",IF(G147="UNIFORM","midpoint_median",IF(G147="TRIANGLE",IF(ISNUMBER(L147),"mode",IF(ISNUMBER(J147),"source_median","missing")),IF(ISNUMBER(J147),"source_median",IF(ISNUMBER(K147),"source_mean","missing"))))))</x:f>
      </x:c>
      <x:c r="P147" s="18"/>
      <x:c r="Q147" s="18"/>
      <x:c r="R147" s="18"/>
      <x:c r="S147" s="18"/>
    </x:row>
    <x:row r="148">
      <x:c r="A148" s="18"/>
      <x:c r="B148" s="18"/>
      <x:c r="C148" s="18"/>
      <x:c r="D148" s="18"/>
      <x:c r="E148" s="18"/>
      <x:c r="F148" s="18"/>
      <x:c r="G148" s="18"/>
      <x:c r="H148" s="30"/>
      <x:c r="I148" s="30"/>
      <x:c r="J148" s="30"/>
      <x:c r="K148" s="30"/>
      <x:c r="L148" s="30"/>
      <x:c r="M148" s="30"/>
      <x:c r="N148" s="31" t="str">
        <x:f>IF(A148="","",IF(G148="FIXED",M148,IF(G148="UNIFORM",IF(AND(ISNUMBER(H148),ISNUMBER(I148)),(H148+I148)/2,""),IF(G148="TRIANGLE",IF(ISNUMBER(L148),L148,IF(ISNUMBER(J148),J148,"")),IF(ISNUMBER(J148),J148,IF(ISNUMBER(K148),K148,""))))))</x:f>
      </x:c>
      <x:c r="O148" s="32" t="str">
        <x:f>IF(A148="","",IF(G148="FIXED","fixed",IF(G148="UNIFORM","midpoint_median",IF(G148="TRIANGLE",IF(ISNUMBER(L148),"mode",IF(ISNUMBER(J148),"source_median","missing")),IF(ISNUMBER(J148),"source_median",IF(ISNUMBER(K148),"source_mean","missing"))))))</x:f>
      </x:c>
      <x:c r="P148" s="18"/>
      <x:c r="Q148" s="18"/>
      <x:c r="R148" s="18"/>
      <x:c r="S148" s="18"/>
    </x:row>
    <x:row r="149">
      <x:c r="A149" s="18"/>
      <x:c r="B149" s="18"/>
      <x:c r="C149" s="18"/>
      <x:c r="D149" s="18"/>
      <x:c r="E149" s="18"/>
      <x:c r="F149" s="18"/>
      <x:c r="G149" s="18"/>
      <x:c r="H149" s="30"/>
      <x:c r="I149" s="30"/>
      <x:c r="J149" s="30"/>
      <x:c r="K149" s="30"/>
      <x:c r="L149" s="30"/>
      <x:c r="M149" s="30"/>
      <x:c r="N149" s="31" t="str">
        <x:f>IF(A149="","",IF(G149="FIXED",M149,IF(G149="UNIFORM",IF(AND(ISNUMBER(H149),ISNUMBER(I149)),(H149+I149)/2,""),IF(G149="TRIANGLE",IF(ISNUMBER(L149),L149,IF(ISNUMBER(J149),J149,"")),IF(ISNUMBER(J149),J149,IF(ISNUMBER(K149),K149,""))))))</x:f>
      </x:c>
      <x:c r="O149" s="32" t="str">
        <x:f>IF(A149="","",IF(G149="FIXED","fixed",IF(G149="UNIFORM","midpoint_median",IF(G149="TRIANGLE",IF(ISNUMBER(L149),"mode",IF(ISNUMBER(J149),"source_median","missing")),IF(ISNUMBER(J149),"source_median",IF(ISNUMBER(K149),"source_mean","missing"))))))</x:f>
      </x:c>
      <x:c r="P149" s="18"/>
      <x:c r="Q149" s="18"/>
      <x:c r="R149" s="18"/>
      <x:c r="S149" s="18"/>
    </x:row>
    <x:row r="150">
      <x:c r="A150" s="18"/>
      <x:c r="B150" s="18"/>
      <x:c r="C150" s="18"/>
      <x:c r="D150" s="18"/>
      <x:c r="E150" s="18"/>
      <x:c r="F150" s="18"/>
      <x:c r="G150" s="18"/>
      <x:c r="H150" s="30"/>
      <x:c r="I150" s="30"/>
      <x:c r="J150" s="30"/>
      <x:c r="K150" s="30"/>
      <x:c r="L150" s="30"/>
      <x:c r="M150" s="30"/>
      <x:c r="N150" s="31" t="str">
        <x:f>IF(A150="","",IF(G150="FIXED",M150,IF(G150="UNIFORM",IF(AND(ISNUMBER(H150),ISNUMBER(I150)),(H150+I150)/2,""),IF(G150="TRIANGLE",IF(ISNUMBER(L150),L150,IF(ISNUMBER(J150),J150,"")),IF(ISNUMBER(J150),J150,IF(ISNUMBER(K150),K150,""))))))</x:f>
      </x:c>
      <x:c r="O150" s="32" t="str">
        <x:f>IF(A150="","",IF(G150="FIXED","fixed",IF(G150="UNIFORM","midpoint_median",IF(G150="TRIANGLE",IF(ISNUMBER(L150),"mode",IF(ISNUMBER(J150),"source_median","missing")),IF(ISNUMBER(J150),"source_median",IF(ISNUMBER(K150),"source_mean","missing"))))))</x:f>
      </x:c>
      <x:c r="P150" s="18"/>
      <x:c r="Q150" s="18"/>
      <x:c r="R150" s="18"/>
      <x:c r="S150" s="18"/>
    </x:row>
    <x:row r="151">
      <x:c r="A151" s="18"/>
      <x:c r="B151" s="18"/>
      <x:c r="C151" s="18"/>
      <x:c r="D151" s="18"/>
      <x:c r="E151" s="18"/>
      <x:c r="F151" s="18"/>
      <x:c r="G151" s="18"/>
      <x:c r="H151" s="30"/>
      <x:c r="I151" s="30"/>
      <x:c r="J151" s="30"/>
      <x:c r="K151" s="30"/>
      <x:c r="L151" s="30"/>
      <x:c r="M151" s="30"/>
      <x:c r="N151" s="31" t="str">
        <x:f>IF(A151="","",IF(G151="FIXED",M151,IF(G151="UNIFORM",IF(AND(ISNUMBER(H151),ISNUMBER(I151)),(H151+I151)/2,""),IF(G151="TRIANGLE",IF(ISNUMBER(L151),L151,IF(ISNUMBER(J151),J151,"")),IF(ISNUMBER(J151),J151,IF(ISNUMBER(K151),K151,""))))))</x:f>
      </x:c>
      <x:c r="O151" s="32" t="str">
        <x:f>IF(A151="","",IF(G151="FIXED","fixed",IF(G151="UNIFORM","midpoint_median",IF(G151="TRIANGLE",IF(ISNUMBER(L151),"mode",IF(ISNUMBER(J151),"source_median","missing")),IF(ISNUMBER(J151),"source_median",IF(ISNUMBER(K151),"source_mean","missing"))))))</x:f>
      </x:c>
      <x:c r="P151" s="18"/>
      <x:c r="Q151" s="18"/>
      <x:c r="R151" s="18"/>
      <x:c r="S151" s="18"/>
    </x:row>
    <x:row r="152">
      <x:c r="A152" s="18"/>
      <x:c r="B152" s="18"/>
      <x:c r="C152" s="18"/>
      <x:c r="D152" s="18"/>
      <x:c r="E152" s="18"/>
      <x:c r="F152" s="18"/>
      <x:c r="G152" s="18"/>
      <x:c r="H152" s="30"/>
      <x:c r="I152" s="30"/>
      <x:c r="J152" s="30"/>
      <x:c r="K152" s="30"/>
      <x:c r="L152" s="30"/>
      <x:c r="M152" s="30"/>
      <x:c r="N152" s="31" t="str">
        <x:f>IF(A152="","",IF(G152="FIXED",M152,IF(G152="UNIFORM",IF(AND(ISNUMBER(H152),ISNUMBER(I152)),(H152+I152)/2,""),IF(G152="TRIANGLE",IF(ISNUMBER(L152),L152,IF(ISNUMBER(J152),J152,"")),IF(ISNUMBER(J152),J152,IF(ISNUMBER(K152),K152,""))))))</x:f>
      </x:c>
      <x:c r="O152" s="32" t="str">
        <x:f>IF(A152="","",IF(G152="FIXED","fixed",IF(G152="UNIFORM","midpoint_median",IF(G152="TRIANGLE",IF(ISNUMBER(L152),"mode",IF(ISNUMBER(J152),"source_median","missing")),IF(ISNUMBER(J152),"source_median",IF(ISNUMBER(K152),"source_mean","missing"))))))</x:f>
      </x:c>
      <x:c r="P152" s="18"/>
      <x:c r="Q152" s="18"/>
      <x:c r="R152" s="18"/>
      <x:c r="S152" s="18"/>
    </x:row>
    <x:row r="153">
      <x:c r="A153" s="18"/>
      <x:c r="B153" s="18"/>
      <x:c r="C153" s="18"/>
      <x:c r="D153" s="18"/>
      <x:c r="E153" s="18"/>
      <x:c r="F153" s="18"/>
      <x:c r="G153" s="18"/>
      <x:c r="H153" s="30"/>
      <x:c r="I153" s="30"/>
      <x:c r="J153" s="30"/>
      <x:c r="K153" s="30"/>
      <x:c r="L153" s="30"/>
      <x:c r="M153" s="30"/>
      <x:c r="N153" s="31" t="str">
        <x:f>IF(A153="","",IF(G153="FIXED",M153,IF(G153="UNIFORM",IF(AND(ISNUMBER(H153),ISNUMBER(I153)),(H153+I153)/2,""),IF(G153="TRIANGLE",IF(ISNUMBER(L153),L153,IF(ISNUMBER(J153),J153,"")),IF(ISNUMBER(J153),J153,IF(ISNUMBER(K153),K153,""))))))</x:f>
      </x:c>
      <x:c r="O153" s="32" t="str">
        <x:f>IF(A153="","",IF(G153="FIXED","fixed",IF(G153="UNIFORM","midpoint_median",IF(G153="TRIANGLE",IF(ISNUMBER(L153),"mode",IF(ISNUMBER(J153),"source_median","missing")),IF(ISNUMBER(J153),"source_median",IF(ISNUMBER(K153),"source_mean","missing"))))))</x:f>
      </x:c>
      <x:c r="P153" s="18"/>
      <x:c r="Q153" s="18"/>
      <x:c r="R153" s="18"/>
      <x:c r="S153" s="18"/>
    </x:row>
    <x:row r="154">
      <x:c r="A154" s="18"/>
      <x:c r="B154" s="18"/>
      <x:c r="C154" s="18"/>
      <x:c r="D154" s="18"/>
      <x:c r="E154" s="18"/>
      <x:c r="F154" s="18"/>
      <x:c r="G154" s="18"/>
      <x:c r="H154" s="30"/>
      <x:c r="I154" s="30"/>
      <x:c r="J154" s="30"/>
      <x:c r="K154" s="30"/>
      <x:c r="L154" s="30"/>
      <x:c r="M154" s="30"/>
      <x:c r="N154" s="31" t="str">
        <x:f>IF(A154="","",IF(G154="FIXED",M154,IF(G154="UNIFORM",IF(AND(ISNUMBER(H154),ISNUMBER(I154)),(H154+I154)/2,""),IF(G154="TRIANGLE",IF(ISNUMBER(L154),L154,IF(ISNUMBER(J154),J154,"")),IF(ISNUMBER(J154),J154,IF(ISNUMBER(K154),K154,""))))))</x:f>
      </x:c>
      <x:c r="O154" s="32" t="str">
        <x:f>IF(A154="","",IF(G154="FIXED","fixed",IF(G154="UNIFORM","midpoint_median",IF(G154="TRIANGLE",IF(ISNUMBER(L154),"mode",IF(ISNUMBER(J154),"source_median","missing")),IF(ISNUMBER(J154),"source_median",IF(ISNUMBER(K154),"source_mean","missing"))))))</x:f>
      </x:c>
      <x:c r="P154" s="18"/>
      <x:c r="Q154" s="18"/>
      <x:c r="R154" s="18"/>
      <x:c r="S154" s="18"/>
    </x:row>
    <x:row r="155">
      <x:c r="A155" s="18"/>
      <x:c r="B155" s="18"/>
      <x:c r="C155" s="18"/>
      <x:c r="D155" s="18"/>
      <x:c r="E155" s="18"/>
      <x:c r="F155" s="18"/>
      <x:c r="G155" s="18"/>
      <x:c r="H155" s="30"/>
      <x:c r="I155" s="30"/>
      <x:c r="J155" s="30"/>
      <x:c r="K155" s="30"/>
      <x:c r="L155" s="30"/>
      <x:c r="M155" s="30"/>
      <x:c r="N155" s="31" t="str">
        <x:f>IF(A155="","",IF(G155="FIXED",M155,IF(G155="UNIFORM",IF(AND(ISNUMBER(H155),ISNUMBER(I155)),(H155+I155)/2,""),IF(G155="TRIANGLE",IF(ISNUMBER(L155),L155,IF(ISNUMBER(J155),J155,"")),IF(ISNUMBER(J155),J155,IF(ISNUMBER(K155),K155,""))))))</x:f>
      </x:c>
      <x:c r="O155" s="32" t="str">
        <x:f>IF(A155="","",IF(G155="FIXED","fixed",IF(G155="UNIFORM","midpoint_median",IF(G155="TRIANGLE",IF(ISNUMBER(L155),"mode",IF(ISNUMBER(J155),"source_median","missing")),IF(ISNUMBER(J155),"source_median",IF(ISNUMBER(K155),"source_mean","missing"))))))</x:f>
      </x:c>
      <x:c r="P155" s="18"/>
      <x:c r="Q155" s="18"/>
      <x:c r="R155" s="18"/>
      <x:c r="S155" s="18"/>
    </x:row>
    <x:row r="156">
      <x:c r="A156" s="18"/>
      <x:c r="B156" s="18"/>
      <x:c r="C156" s="18"/>
      <x:c r="D156" s="18"/>
      <x:c r="E156" s="18"/>
      <x:c r="F156" s="18"/>
      <x:c r="G156" s="18"/>
      <x:c r="H156" s="30"/>
      <x:c r="I156" s="30"/>
      <x:c r="J156" s="30"/>
      <x:c r="K156" s="30"/>
      <x:c r="L156" s="30"/>
      <x:c r="M156" s="30"/>
      <x:c r="N156" s="31" t="str">
        <x:f>IF(A156="","",IF(G156="FIXED",M156,IF(G156="UNIFORM",IF(AND(ISNUMBER(H156),ISNUMBER(I156)),(H156+I156)/2,""),IF(G156="TRIANGLE",IF(ISNUMBER(L156),L156,IF(ISNUMBER(J156),J156,"")),IF(ISNUMBER(J156),J156,IF(ISNUMBER(K156),K156,""))))))</x:f>
      </x:c>
      <x:c r="O156" s="32" t="str">
        <x:f>IF(A156="","",IF(G156="FIXED","fixed",IF(G156="UNIFORM","midpoint_median",IF(G156="TRIANGLE",IF(ISNUMBER(L156),"mode",IF(ISNUMBER(J156),"source_median","missing")),IF(ISNUMBER(J156),"source_median",IF(ISNUMBER(K156),"source_mean","missing"))))))</x:f>
      </x:c>
      <x:c r="P156" s="18"/>
      <x:c r="Q156" s="18"/>
      <x:c r="R156" s="18"/>
      <x:c r="S156" s="18"/>
    </x:row>
    <x:row r="157">
      <x:c r="A157" s="18"/>
      <x:c r="B157" s="18"/>
      <x:c r="C157" s="18"/>
      <x:c r="D157" s="18"/>
      <x:c r="E157" s="18"/>
      <x:c r="F157" s="18"/>
      <x:c r="G157" s="18"/>
      <x:c r="H157" s="30"/>
      <x:c r="I157" s="30"/>
      <x:c r="J157" s="30"/>
      <x:c r="K157" s="30"/>
      <x:c r="L157" s="30"/>
      <x:c r="M157" s="30"/>
      <x:c r="N157" s="31" t="str">
        <x:f>IF(A157="","",IF(G157="FIXED",M157,IF(G157="UNIFORM",IF(AND(ISNUMBER(H157),ISNUMBER(I157)),(H157+I157)/2,""),IF(G157="TRIANGLE",IF(ISNUMBER(L157),L157,IF(ISNUMBER(J157),J157,"")),IF(ISNUMBER(J157),J157,IF(ISNUMBER(K157),K157,""))))))</x:f>
      </x:c>
      <x:c r="O157" s="32" t="str">
        <x:f>IF(A157="","",IF(G157="FIXED","fixed",IF(G157="UNIFORM","midpoint_median",IF(G157="TRIANGLE",IF(ISNUMBER(L157),"mode",IF(ISNUMBER(J157),"source_median","missing")),IF(ISNUMBER(J157),"source_median",IF(ISNUMBER(K157),"source_mean","missing"))))))</x:f>
      </x:c>
      <x:c r="P157" s="18"/>
      <x:c r="Q157" s="18"/>
      <x:c r="R157" s="18"/>
      <x:c r="S157" s="18"/>
    </x:row>
    <x:row r="158">
      <x:c r="A158" s="18"/>
      <x:c r="B158" s="18"/>
      <x:c r="C158" s="18"/>
      <x:c r="D158" s="18"/>
      <x:c r="E158" s="18"/>
      <x:c r="F158" s="18"/>
      <x:c r="G158" s="18"/>
      <x:c r="H158" s="30"/>
      <x:c r="I158" s="30"/>
      <x:c r="J158" s="30"/>
      <x:c r="K158" s="30"/>
      <x:c r="L158" s="30"/>
      <x:c r="M158" s="30"/>
      <x:c r="N158" s="31" t="str">
        <x:f>IF(A158="","",IF(G158="FIXED",M158,IF(G158="UNIFORM",IF(AND(ISNUMBER(H158),ISNUMBER(I158)),(H158+I158)/2,""),IF(G158="TRIANGLE",IF(ISNUMBER(L158),L158,IF(ISNUMBER(J158),J158,"")),IF(ISNUMBER(J158),J158,IF(ISNUMBER(K158),K158,""))))))</x:f>
      </x:c>
      <x:c r="O158" s="32" t="str">
        <x:f>IF(A158="","",IF(G158="FIXED","fixed",IF(G158="UNIFORM","midpoint_median",IF(G158="TRIANGLE",IF(ISNUMBER(L158),"mode",IF(ISNUMBER(J158),"source_median","missing")),IF(ISNUMBER(J158),"source_median",IF(ISNUMBER(K158),"source_mean","missing"))))))</x:f>
      </x:c>
      <x:c r="P158" s="18"/>
      <x:c r="Q158" s="18"/>
      <x:c r="R158" s="18"/>
      <x:c r="S158" s="18"/>
    </x:row>
    <x:row r="159">
      <x:c r="A159" s="18"/>
      <x:c r="B159" s="18"/>
      <x:c r="C159" s="18"/>
      <x:c r="D159" s="18"/>
      <x:c r="E159" s="18"/>
      <x:c r="F159" s="18"/>
      <x:c r="G159" s="18"/>
      <x:c r="H159" s="30"/>
      <x:c r="I159" s="30"/>
      <x:c r="J159" s="30"/>
      <x:c r="K159" s="30"/>
      <x:c r="L159" s="30"/>
      <x:c r="M159" s="30"/>
      <x:c r="N159" s="31" t="str">
        <x:f>IF(A159="","",IF(G159="FIXED",M159,IF(G159="UNIFORM",IF(AND(ISNUMBER(H159),ISNUMBER(I159)),(H159+I159)/2,""),IF(G159="TRIANGLE",IF(ISNUMBER(L159),L159,IF(ISNUMBER(J159),J159,"")),IF(ISNUMBER(J159),J159,IF(ISNUMBER(K159),K159,""))))))</x:f>
      </x:c>
      <x:c r="O159" s="32" t="str">
        <x:f>IF(A159="","",IF(G159="FIXED","fixed",IF(G159="UNIFORM","midpoint_median",IF(G159="TRIANGLE",IF(ISNUMBER(L159),"mode",IF(ISNUMBER(J159),"source_median","missing")),IF(ISNUMBER(J159),"source_median",IF(ISNUMBER(K159),"source_mean","missing"))))))</x:f>
      </x:c>
      <x:c r="P159" s="18"/>
      <x:c r="Q159" s="18"/>
      <x:c r="R159" s="18"/>
      <x:c r="S159" s="18"/>
    </x:row>
    <x:row r="160">
      <x:c r="A160" s="18"/>
      <x:c r="B160" s="18"/>
      <x:c r="C160" s="18"/>
      <x:c r="D160" s="18"/>
      <x:c r="E160" s="18"/>
      <x:c r="F160" s="18"/>
      <x:c r="G160" s="18"/>
      <x:c r="H160" s="30"/>
      <x:c r="I160" s="30"/>
      <x:c r="J160" s="30"/>
      <x:c r="K160" s="30"/>
      <x:c r="L160" s="30"/>
      <x:c r="M160" s="30"/>
      <x:c r="N160" s="31" t="str">
        <x:f>IF(A160="","",IF(G160="FIXED",M160,IF(G160="UNIFORM",IF(AND(ISNUMBER(H160),ISNUMBER(I160)),(H160+I160)/2,""),IF(G160="TRIANGLE",IF(ISNUMBER(L160),L160,IF(ISNUMBER(J160),J160,"")),IF(ISNUMBER(J160),J160,IF(ISNUMBER(K160),K160,""))))))</x:f>
      </x:c>
      <x:c r="O160" s="32" t="str">
        <x:f>IF(A160="","",IF(G160="FIXED","fixed",IF(G160="UNIFORM","midpoint_median",IF(G160="TRIANGLE",IF(ISNUMBER(L160),"mode",IF(ISNUMBER(J160),"source_median","missing")),IF(ISNUMBER(J160),"source_median",IF(ISNUMBER(K160),"source_mean","missing"))))))</x:f>
      </x:c>
      <x:c r="P160" s="18"/>
      <x:c r="Q160" s="18"/>
      <x:c r="R160" s="18"/>
      <x:c r="S160" s="18"/>
    </x:row>
    <x:row r="161">
      <x:c r="A161" s="18"/>
      <x:c r="B161" s="18"/>
      <x:c r="C161" s="18"/>
      <x:c r="D161" s="18"/>
      <x:c r="E161" s="18"/>
      <x:c r="F161" s="18"/>
      <x:c r="G161" s="18"/>
      <x:c r="H161" s="30"/>
      <x:c r="I161" s="30"/>
      <x:c r="J161" s="30"/>
      <x:c r="K161" s="30"/>
      <x:c r="L161" s="30"/>
      <x:c r="M161" s="30"/>
      <x:c r="N161" s="31" t="str">
        <x:f>IF(A161="","",IF(G161="FIXED",M161,IF(G161="UNIFORM",IF(AND(ISNUMBER(H161),ISNUMBER(I161)),(H161+I161)/2,""),IF(G161="TRIANGLE",IF(ISNUMBER(L161),L161,IF(ISNUMBER(J161),J161,"")),IF(ISNUMBER(J161),J161,IF(ISNUMBER(K161),K161,""))))))</x:f>
      </x:c>
      <x:c r="O161" s="32" t="str">
        <x:f>IF(A161="","",IF(G161="FIXED","fixed",IF(G161="UNIFORM","midpoint_median",IF(G161="TRIANGLE",IF(ISNUMBER(L161),"mode",IF(ISNUMBER(J161),"source_median","missing")),IF(ISNUMBER(J161),"source_median",IF(ISNUMBER(K161),"source_mean","missing"))))))</x:f>
      </x:c>
      <x:c r="P161" s="18"/>
      <x:c r="Q161" s="18"/>
      <x:c r="R161" s="18"/>
      <x:c r="S161" s="18"/>
    </x:row>
    <x:row r="162">
      <x:c r="A162" s="18"/>
      <x:c r="B162" s="18"/>
      <x:c r="C162" s="18"/>
      <x:c r="D162" s="18"/>
      <x:c r="E162" s="18"/>
      <x:c r="F162" s="18"/>
      <x:c r="G162" s="18"/>
      <x:c r="H162" s="30"/>
      <x:c r="I162" s="30"/>
      <x:c r="J162" s="30"/>
      <x:c r="K162" s="30"/>
      <x:c r="L162" s="30"/>
      <x:c r="M162" s="30"/>
      <x:c r="N162" s="31" t="str">
        <x:f>IF(A162="","",IF(G162="FIXED",M162,IF(G162="UNIFORM",IF(AND(ISNUMBER(H162),ISNUMBER(I162)),(H162+I162)/2,""),IF(G162="TRIANGLE",IF(ISNUMBER(L162),L162,IF(ISNUMBER(J162),J162,"")),IF(ISNUMBER(J162),J162,IF(ISNUMBER(K162),K162,""))))))</x:f>
      </x:c>
      <x:c r="O162" s="32" t="str">
        <x:f>IF(A162="","",IF(G162="FIXED","fixed",IF(G162="UNIFORM","midpoint_median",IF(G162="TRIANGLE",IF(ISNUMBER(L162),"mode",IF(ISNUMBER(J162),"source_median","missing")),IF(ISNUMBER(J162),"source_median",IF(ISNUMBER(K162),"source_mean","missing"))))))</x:f>
      </x:c>
      <x:c r="P162" s="18"/>
      <x:c r="Q162" s="18"/>
      <x:c r="R162" s="18"/>
      <x:c r="S162" s="18"/>
    </x:row>
    <x:row r="163">
      <x:c r="A163" s="18"/>
      <x:c r="B163" s="18"/>
      <x:c r="C163" s="18"/>
      <x:c r="D163" s="18"/>
      <x:c r="E163" s="18"/>
      <x:c r="F163" s="18"/>
      <x:c r="G163" s="18"/>
      <x:c r="H163" s="30"/>
      <x:c r="I163" s="30"/>
      <x:c r="J163" s="30"/>
      <x:c r="K163" s="30"/>
      <x:c r="L163" s="30"/>
      <x:c r="M163" s="30"/>
      <x:c r="N163" s="31" t="str">
        <x:f>IF(A163="","",IF(G163="FIXED",M163,IF(G163="UNIFORM",IF(AND(ISNUMBER(H163),ISNUMBER(I163)),(H163+I163)/2,""),IF(G163="TRIANGLE",IF(ISNUMBER(L163),L163,IF(ISNUMBER(J163),J163,"")),IF(ISNUMBER(J163),J163,IF(ISNUMBER(K163),K163,""))))))</x:f>
      </x:c>
      <x:c r="O163" s="32" t="str">
        <x:f>IF(A163="","",IF(G163="FIXED","fixed",IF(G163="UNIFORM","midpoint_median",IF(G163="TRIANGLE",IF(ISNUMBER(L163),"mode",IF(ISNUMBER(J163),"source_median","missing")),IF(ISNUMBER(J163),"source_median",IF(ISNUMBER(K163),"source_mean","missing"))))))</x:f>
      </x:c>
      <x:c r="P163" s="18"/>
      <x:c r="Q163" s="18"/>
      <x:c r="R163" s="18"/>
      <x:c r="S163" s="18"/>
    </x:row>
    <x:row r="164">
      <x:c r="A164" s="18"/>
      <x:c r="B164" s="18"/>
      <x:c r="C164" s="18"/>
      <x:c r="D164" s="18"/>
      <x:c r="E164" s="18"/>
      <x:c r="F164" s="18"/>
      <x:c r="G164" s="18"/>
      <x:c r="H164" s="30"/>
      <x:c r="I164" s="30"/>
      <x:c r="J164" s="30"/>
      <x:c r="K164" s="30"/>
      <x:c r="L164" s="30"/>
      <x:c r="M164" s="30"/>
      <x:c r="N164" s="31" t="str">
        <x:f>IF(A164="","",IF(G164="FIXED",M164,IF(G164="UNIFORM",IF(AND(ISNUMBER(H164),ISNUMBER(I164)),(H164+I164)/2,""),IF(G164="TRIANGLE",IF(ISNUMBER(L164),L164,IF(ISNUMBER(J164),J164,"")),IF(ISNUMBER(J164),J164,IF(ISNUMBER(K164),K164,""))))))</x:f>
      </x:c>
      <x:c r="O164" s="32" t="str">
        <x:f>IF(A164="","",IF(G164="FIXED","fixed",IF(G164="UNIFORM","midpoint_median",IF(G164="TRIANGLE",IF(ISNUMBER(L164),"mode",IF(ISNUMBER(J164),"source_median","missing")),IF(ISNUMBER(J164),"source_median",IF(ISNUMBER(K164),"source_mean","missing"))))))</x:f>
      </x:c>
      <x:c r="P164" s="18"/>
      <x:c r="Q164" s="18"/>
      <x:c r="R164" s="18"/>
      <x:c r="S164" s="18"/>
    </x:row>
    <x:row r="165">
      <x:c r="A165" s="18"/>
      <x:c r="B165" s="18"/>
      <x:c r="C165" s="18"/>
      <x:c r="D165" s="18"/>
      <x:c r="E165" s="18"/>
      <x:c r="F165" s="18"/>
      <x:c r="G165" s="18"/>
      <x:c r="H165" s="30"/>
      <x:c r="I165" s="30"/>
      <x:c r="J165" s="30"/>
      <x:c r="K165" s="30"/>
      <x:c r="L165" s="30"/>
      <x:c r="M165" s="30"/>
      <x:c r="N165" s="31" t="str">
        <x:f>IF(A165="","",IF(G165="FIXED",M165,IF(G165="UNIFORM",IF(AND(ISNUMBER(H165),ISNUMBER(I165)),(H165+I165)/2,""),IF(G165="TRIANGLE",IF(ISNUMBER(L165),L165,IF(ISNUMBER(J165),J165,"")),IF(ISNUMBER(J165),J165,IF(ISNUMBER(K165),K165,""))))))</x:f>
      </x:c>
      <x:c r="O165" s="32" t="str">
        <x:f>IF(A165="","",IF(G165="FIXED","fixed",IF(G165="UNIFORM","midpoint_median",IF(G165="TRIANGLE",IF(ISNUMBER(L165),"mode",IF(ISNUMBER(J165),"source_median","missing")),IF(ISNUMBER(J165),"source_median",IF(ISNUMBER(K165),"source_mean","missing"))))))</x:f>
      </x:c>
      <x:c r="P165" s="18"/>
      <x:c r="Q165" s="18"/>
      <x:c r="R165" s="18"/>
      <x:c r="S165" s="18"/>
    </x:row>
    <x:row r="166">
      <x:c r="A166" s="18"/>
      <x:c r="B166" s="18"/>
      <x:c r="C166" s="18"/>
      <x:c r="D166" s="18"/>
      <x:c r="E166" s="18"/>
      <x:c r="F166" s="18"/>
      <x:c r="G166" s="18"/>
      <x:c r="H166" s="30"/>
      <x:c r="I166" s="30"/>
      <x:c r="J166" s="30"/>
      <x:c r="K166" s="30"/>
      <x:c r="L166" s="30"/>
      <x:c r="M166" s="30"/>
      <x:c r="N166" s="31" t="str">
        <x:f>IF(A166="","",IF(G166="FIXED",M166,IF(G166="UNIFORM",IF(AND(ISNUMBER(H166),ISNUMBER(I166)),(H166+I166)/2,""),IF(G166="TRIANGLE",IF(ISNUMBER(L166),L166,IF(ISNUMBER(J166),J166,"")),IF(ISNUMBER(J166),J166,IF(ISNUMBER(K166),K166,""))))))</x:f>
      </x:c>
      <x:c r="O166" s="32" t="str">
        <x:f>IF(A166="","",IF(G166="FIXED","fixed",IF(G166="UNIFORM","midpoint_median",IF(G166="TRIANGLE",IF(ISNUMBER(L166),"mode",IF(ISNUMBER(J166),"source_median","missing")),IF(ISNUMBER(J166),"source_median",IF(ISNUMBER(K166),"source_mean","missing"))))))</x:f>
      </x:c>
      <x:c r="P166" s="18"/>
      <x:c r="Q166" s="18"/>
      <x:c r="R166" s="18"/>
      <x:c r="S166" s="18"/>
    </x:row>
    <x:row r="167">
      <x:c r="A167" s="18"/>
      <x:c r="B167" s="18"/>
      <x:c r="C167" s="18"/>
      <x:c r="D167" s="18"/>
      <x:c r="E167" s="18"/>
      <x:c r="F167" s="18"/>
      <x:c r="G167" s="18"/>
      <x:c r="H167" s="30"/>
      <x:c r="I167" s="30"/>
      <x:c r="J167" s="30"/>
      <x:c r="K167" s="30"/>
      <x:c r="L167" s="30"/>
      <x:c r="M167" s="30"/>
      <x:c r="N167" s="31" t="str">
        <x:f>IF(A167="","",IF(G167="FIXED",M167,IF(G167="UNIFORM",IF(AND(ISNUMBER(H167),ISNUMBER(I167)),(H167+I167)/2,""),IF(G167="TRIANGLE",IF(ISNUMBER(L167),L167,IF(ISNUMBER(J167),J167,"")),IF(ISNUMBER(J167),J167,IF(ISNUMBER(K167),K167,""))))))</x:f>
      </x:c>
      <x:c r="O167" s="32" t="str">
        <x:f>IF(A167="","",IF(G167="FIXED","fixed",IF(G167="UNIFORM","midpoint_median",IF(G167="TRIANGLE",IF(ISNUMBER(L167),"mode",IF(ISNUMBER(J167),"source_median","missing")),IF(ISNUMBER(J167),"source_median",IF(ISNUMBER(K167),"source_mean","missing"))))))</x:f>
      </x:c>
      <x:c r="P167" s="18"/>
      <x:c r="Q167" s="18"/>
      <x:c r="R167" s="18"/>
      <x:c r="S167" s="18"/>
    </x:row>
    <x:row r="168">
      <x:c r="A168" s="18"/>
      <x:c r="B168" s="18"/>
      <x:c r="C168" s="18"/>
      <x:c r="D168" s="18"/>
      <x:c r="E168" s="18"/>
      <x:c r="F168" s="18"/>
      <x:c r="G168" s="18"/>
      <x:c r="H168" s="30"/>
      <x:c r="I168" s="30"/>
      <x:c r="J168" s="30"/>
      <x:c r="K168" s="30"/>
      <x:c r="L168" s="30"/>
      <x:c r="M168" s="30"/>
      <x:c r="N168" s="31" t="str">
        <x:f>IF(A168="","",IF(G168="FIXED",M168,IF(G168="UNIFORM",IF(AND(ISNUMBER(H168),ISNUMBER(I168)),(H168+I168)/2,""),IF(G168="TRIANGLE",IF(ISNUMBER(L168),L168,IF(ISNUMBER(J168),J168,"")),IF(ISNUMBER(J168),J168,IF(ISNUMBER(K168),K168,""))))))</x:f>
      </x:c>
      <x:c r="O168" s="32" t="str">
        <x:f>IF(A168="","",IF(G168="FIXED","fixed",IF(G168="UNIFORM","midpoint_median",IF(G168="TRIANGLE",IF(ISNUMBER(L168),"mode",IF(ISNUMBER(J168),"source_median","missing")),IF(ISNUMBER(J168),"source_median",IF(ISNUMBER(K168),"source_mean","missing"))))))</x:f>
      </x:c>
      <x:c r="P168" s="18"/>
      <x:c r="Q168" s="18"/>
      <x:c r="R168" s="18"/>
      <x:c r="S168" s="18"/>
    </x:row>
    <x:row r="169">
      <x:c r="A169" s="18"/>
      <x:c r="B169" s="18"/>
      <x:c r="C169" s="18"/>
      <x:c r="D169" s="18"/>
      <x:c r="E169" s="18"/>
      <x:c r="F169" s="18"/>
      <x:c r="G169" s="18"/>
      <x:c r="H169" s="30"/>
      <x:c r="I169" s="30"/>
      <x:c r="J169" s="30"/>
      <x:c r="K169" s="30"/>
      <x:c r="L169" s="30"/>
      <x:c r="M169" s="30"/>
      <x:c r="N169" s="31" t="str">
        <x:f>IF(A169="","",IF(G169="FIXED",M169,IF(G169="UNIFORM",IF(AND(ISNUMBER(H169),ISNUMBER(I169)),(H169+I169)/2,""),IF(G169="TRIANGLE",IF(ISNUMBER(L169),L169,IF(ISNUMBER(J169),J169,"")),IF(ISNUMBER(J169),J169,IF(ISNUMBER(K169),K169,""))))))</x:f>
      </x:c>
      <x:c r="O169" s="32" t="str">
        <x:f>IF(A169="","",IF(G169="FIXED","fixed",IF(G169="UNIFORM","midpoint_median",IF(G169="TRIANGLE",IF(ISNUMBER(L169),"mode",IF(ISNUMBER(J169),"source_median","missing")),IF(ISNUMBER(J169),"source_median",IF(ISNUMBER(K169),"source_mean","missing"))))))</x:f>
      </x:c>
      <x:c r="P169" s="18"/>
      <x:c r="Q169" s="18"/>
      <x:c r="R169" s="18"/>
      <x:c r="S169" s="18"/>
    </x:row>
    <x:row r="170">
      <x:c r="A170" s="18"/>
      <x:c r="B170" s="18"/>
      <x:c r="C170" s="18"/>
      <x:c r="D170" s="18"/>
      <x:c r="E170" s="18"/>
      <x:c r="F170" s="18"/>
      <x:c r="G170" s="18"/>
      <x:c r="H170" s="30"/>
      <x:c r="I170" s="30"/>
      <x:c r="J170" s="30"/>
      <x:c r="K170" s="30"/>
      <x:c r="L170" s="30"/>
      <x:c r="M170" s="30"/>
      <x:c r="N170" s="31" t="str">
        <x:f>IF(A170="","",IF(G170="FIXED",M170,IF(G170="UNIFORM",IF(AND(ISNUMBER(H170),ISNUMBER(I170)),(H170+I170)/2,""),IF(G170="TRIANGLE",IF(ISNUMBER(L170),L170,IF(ISNUMBER(J170),J170,"")),IF(ISNUMBER(J170),J170,IF(ISNUMBER(K170),K170,""))))))</x:f>
      </x:c>
      <x:c r="O170" s="32" t="str">
        <x:f>IF(A170="","",IF(G170="FIXED","fixed",IF(G170="UNIFORM","midpoint_median",IF(G170="TRIANGLE",IF(ISNUMBER(L170),"mode",IF(ISNUMBER(J170),"source_median","missing")),IF(ISNUMBER(J170),"source_median",IF(ISNUMBER(K170),"source_mean","missing"))))))</x:f>
      </x:c>
      <x:c r="P170" s="18"/>
      <x:c r="Q170" s="18"/>
      <x:c r="R170" s="18"/>
      <x:c r="S170" s="18"/>
    </x:row>
    <x:row r="171">
      <x:c r="A171" s="18"/>
      <x:c r="B171" s="18"/>
      <x:c r="C171" s="18"/>
      <x:c r="D171" s="18"/>
      <x:c r="E171" s="18"/>
      <x:c r="F171" s="18"/>
      <x:c r="G171" s="18"/>
      <x:c r="H171" s="30"/>
      <x:c r="I171" s="30"/>
      <x:c r="J171" s="30"/>
      <x:c r="K171" s="30"/>
      <x:c r="L171" s="30"/>
      <x:c r="M171" s="30"/>
      <x:c r="N171" s="31" t="str">
        <x:f>IF(A171="","",IF(G171="FIXED",M171,IF(G171="UNIFORM",IF(AND(ISNUMBER(H171),ISNUMBER(I171)),(H171+I171)/2,""),IF(G171="TRIANGLE",IF(ISNUMBER(L171),L171,IF(ISNUMBER(J171),J171,"")),IF(ISNUMBER(J171),J171,IF(ISNUMBER(K171),K171,""))))))</x:f>
      </x:c>
      <x:c r="O171" s="32" t="str">
        <x:f>IF(A171="","",IF(G171="FIXED","fixed",IF(G171="UNIFORM","midpoint_median",IF(G171="TRIANGLE",IF(ISNUMBER(L171),"mode",IF(ISNUMBER(J171),"source_median","missing")),IF(ISNUMBER(J171),"source_median",IF(ISNUMBER(K171),"source_mean","missing"))))))</x:f>
      </x:c>
      <x:c r="P171" s="18"/>
      <x:c r="Q171" s="18"/>
      <x:c r="R171" s="18"/>
      <x:c r="S171" s="18"/>
    </x:row>
    <x:row r="172">
      <x:c r="A172" s="18"/>
      <x:c r="B172" s="18"/>
      <x:c r="C172" s="18"/>
      <x:c r="D172" s="18"/>
      <x:c r="E172" s="18"/>
      <x:c r="F172" s="18"/>
      <x:c r="G172" s="18"/>
      <x:c r="H172" s="30"/>
      <x:c r="I172" s="30"/>
      <x:c r="J172" s="30"/>
      <x:c r="K172" s="30"/>
      <x:c r="L172" s="30"/>
      <x:c r="M172" s="30"/>
      <x:c r="N172" s="31" t="str">
        <x:f>IF(A172="","",IF(G172="FIXED",M172,IF(G172="UNIFORM",IF(AND(ISNUMBER(H172),ISNUMBER(I172)),(H172+I172)/2,""),IF(G172="TRIANGLE",IF(ISNUMBER(L172),L172,IF(ISNUMBER(J172),J172,"")),IF(ISNUMBER(J172),J172,IF(ISNUMBER(K172),K172,""))))))</x:f>
      </x:c>
      <x:c r="O172" s="32" t="str">
        <x:f>IF(A172="","",IF(G172="FIXED","fixed",IF(G172="UNIFORM","midpoint_median",IF(G172="TRIANGLE",IF(ISNUMBER(L172),"mode",IF(ISNUMBER(J172),"source_median","missing")),IF(ISNUMBER(J172),"source_median",IF(ISNUMBER(K172),"source_mean","missing"))))))</x:f>
      </x:c>
      <x:c r="P172" s="18"/>
      <x:c r="Q172" s="18"/>
      <x:c r="R172" s="18"/>
      <x:c r="S172" s="18"/>
    </x:row>
    <x:row r="173">
      <x:c r="A173" s="18"/>
      <x:c r="B173" s="18"/>
      <x:c r="C173" s="18"/>
      <x:c r="D173" s="18"/>
      <x:c r="E173" s="18"/>
      <x:c r="F173" s="18"/>
      <x:c r="G173" s="18"/>
      <x:c r="H173" s="30"/>
      <x:c r="I173" s="30"/>
      <x:c r="J173" s="30"/>
      <x:c r="K173" s="30"/>
      <x:c r="L173" s="30"/>
      <x:c r="M173" s="30"/>
      <x:c r="N173" s="31" t="str">
        <x:f>IF(A173="","",IF(G173="FIXED",M173,IF(G173="UNIFORM",IF(AND(ISNUMBER(H173),ISNUMBER(I173)),(H173+I173)/2,""),IF(G173="TRIANGLE",IF(ISNUMBER(L173),L173,IF(ISNUMBER(J173),J173,"")),IF(ISNUMBER(J173),J173,IF(ISNUMBER(K173),K173,""))))))</x:f>
      </x:c>
      <x:c r="O173" s="32" t="str">
        <x:f>IF(A173="","",IF(G173="FIXED","fixed",IF(G173="UNIFORM","midpoint_median",IF(G173="TRIANGLE",IF(ISNUMBER(L173),"mode",IF(ISNUMBER(J173),"source_median","missing")),IF(ISNUMBER(J173),"source_median",IF(ISNUMBER(K173),"source_mean","missing"))))))</x:f>
      </x:c>
      <x:c r="P173" s="18"/>
      <x:c r="Q173" s="18"/>
      <x:c r="R173" s="18"/>
      <x:c r="S173" s="18"/>
    </x:row>
    <x:row r="174">
      <x:c r="A174" s="18"/>
      <x:c r="B174" s="18"/>
      <x:c r="C174" s="18"/>
      <x:c r="D174" s="18"/>
      <x:c r="E174" s="18"/>
      <x:c r="F174" s="18"/>
      <x:c r="G174" s="18"/>
      <x:c r="H174" s="30"/>
      <x:c r="I174" s="30"/>
      <x:c r="J174" s="30"/>
      <x:c r="K174" s="30"/>
      <x:c r="L174" s="30"/>
      <x:c r="M174" s="30"/>
      <x:c r="N174" s="31" t="str">
        <x:f>IF(A174="","",IF(G174="FIXED",M174,IF(G174="UNIFORM",IF(AND(ISNUMBER(H174),ISNUMBER(I174)),(H174+I174)/2,""),IF(G174="TRIANGLE",IF(ISNUMBER(L174),L174,IF(ISNUMBER(J174),J174,"")),IF(ISNUMBER(J174),J174,IF(ISNUMBER(K174),K174,""))))))</x:f>
      </x:c>
      <x:c r="O174" s="32" t="str">
        <x:f>IF(A174="","",IF(G174="FIXED","fixed",IF(G174="UNIFORM","midpoint_median",IF(G174="TRIANGLE",IF(ISNUMBER(L174),"mode",IF(ISNUMBER(J174),"source_median","missing")),IF(ISNUMBER(J174),"source_median",IF(ISNUMBER(K174),"source_mean","missing"))))))</x:f>
      </x:c>
      <x:c r="P174" s="18"/>
      <x:c r="Q174" s="18"/>
      <x:c r="R174" s="18"/>
      <x:c r="S174" s="18"/>
    </x:row>
    <x:row r="175">
      <x:c r="A175" s="18"/>
      <x:c r="B175" s="18"/>
      <x:c r="C175" s="18"/>
      <x:c r="D175" s="18"/>
      <x:c r="E175" s="18"/>
      <x:c r="F175" s="18"/>
      <x:c r="G175" s="18"/>
      <x:c r="H175" s="30"/>
      <x:c r="I175" s="30"/>
      <x:c r="J175" s="30"/>
      <x:c r="K175" s="30"/>
      <x:c r="L175" s="30"/>
      <x:c r="M175" s="30"/>
      <x:c r="N175" s="31" t="str">
        <x:f>IF(A175="","",IF(G175="FIXED",M175,IF(G175="UNIFORM",IF(AND(ISNUMBER(H175),ISNUMBER(I175)),(H175+I175)/2,""),IF(G175="TRIANGLE",IF(ISNUMBER(L175),L175,IF(ISNUMBER(J175),J175,"")),IF(ISNUMBER(J175),J175,IF(ISNUMBER(K175),K175,""))))))</x:f>
      </x:c>
      <x:c r="O175" s="32" t="str">
        <x:f>IF(A175="","",IF(G175="FIXED","fixed",IF(G175="UNIFORM","midpoint_median",IF(G175="TRIANGLE",IF(ISNUMBER(L175),"mode",IF(ISNUMBER(J175),"source_median","missing")),IF(ISNUMBER(J175),"source_median",IF(ISNUMBER(K175),"source_mean","missing"))))))</x:f>
      </x:c>
      <x:c r="P175" s="18"/>
      <x:c r="Q175" s="18"/>
      <x:c r="R175" s="18"/>
      <x:c r="S175" s="18"/>
    </x:row>
    <x:row r="176">
      <x:c r="A176" s="18"/>
      <x:c r="B176" s="18"/>
      <x:c r="C176" s="18"/>
      <x:c r="D176" s="18"/>
      <x:c r="E176" s="18"/>
      <x:c r="F176" s="18"/>
      <x:c r="G176" s="18"/>
      <x:c r="H176" s="30"/>
      <x:c r="I176" s="30"/>
      <x:c r="J176" s="30"/>
      <x:c r="K176" s="30"/>
      <x:c r="L176" s="30"/>
      <x:c r="M176" s="30"/>
      <x:c r="N176" s="31" t="str">
        <x:f>IF(A176="","",IF(G176="FIXED",M176,IF(G176="UNIFORM",IF(AND(ISNUMBER(H176),ISNUMBER(I176)),(H176+I176)/2,""),IF(G176="TRIANGLE",IF(ISNUMBER(L176),L176,IF(ISNUMBER(J176),J176,"")),IF(ISNUMBER(J176),J176,IF(ISNUMBER(K176),K176,""))))))</x:f>
      </x:c>
      <x:c r="O176" s="32" t="str">
        <x:f>IF(A176="","",IF(G176="FIXED","fixed",IF(G176="UNIFORM","midpoint_median",IF(G176="TRIANGLE",IF(ISNUMBER(L176),"mode",IF(ISNUMBER(J176),"source_median","missing")),IF(ISNUMBER(J176),"source_median",IF(ISNUMBER(K176),"source_mean","missing"))))))</x:f>
      </x:c>
      <x:c r="P176" s="18"/>
      <x:c r="Q176" s="18"/>
      <x:c r="R176" s="18"/>
      <x:c r="S176" s="18"/>
    </x:row>
    <x:row r="177">
      <x:c r="A177" s="18"/>
      <x:c r="B177" s="18"/>
      <x:c r="C177" s="18"/>
      <x:c r="D177" s="18"/>
      <x:c r="E177" s="18"/>
      <x:c r="F177" s="18"/>
      <x:c r="G177" s="18"/>
      <x:c r="H177" s="30"/>
      <x:c r="I177" s="30"/>
      <x:c r="J177" s="30"/>
      <x:c r="K177" s="30"/>
      <x:c r="L177" s="30"/>
      <x:c r="M177" s="30"/>
      <x:c r="N177" s="31" t="str">
        <x:f>IF(A177="","",IF(G177="FIXED",M177,IF(G177="UNIFORM",IF(AND(ISNUMBER(H177),ISNUMBER(I177)),(H177+I177)/2,""),IF(G177="TRIANGLE",IF(ISNUMBER(L177),L177,IF(ISNUMBER(J177),J177,"")),IF(ISNUMBER(J177),J177,IF(ISNUMBER(K177),K177,""))))))</x:f>
      </x:c>
      <x:c r="O177" s="32" t="str">
        <x:f>IF(A177="","",IF(G177="FIXED","fixed",IF(G177="UNIFORM","midpoint_median",IF(G177="TRIANGLE",IF(ISNUMBER(L177),"mode",IF(ISNUMBER(J177),"source_median","missing")),IF(ISNUMBER(J177),"source_median",IF(ISNUMBER(K177),"source_mean","missing"))))))</x:f>
      </x:c>
      <x:c r="P177" s="18"/>
      <x:c r="Q177" s="18"/>
      <x:c r="R177" s="18"/>
      <x:c r="S177" s="18"/>
    </x:row>
    <x:row r="178">
      <x:c r="A178" s="18"/>
      <x:c r="B178" s="18"/>
      <x:c r="C178" s="18"/>
      <x:c r="D178" s="18"/>
      <x:c r="E178" s="18"/>
      <x:c r="F178" s="18"/>
      <x:c r="G178" s="18"/>
      <x:c r="H178" s="30"/>
      <x:c r="I178" s="30"/>
      <x:c r="J178" s="30"/>
      <x:c r="K178" s="30"/>
      <x:c r="L178" s="30"/>
      <x:c r="M178" s="30"/>
      <x:c r="N178" s="31" t="str">
        <x:f>IF(A178="","",IF(G178="FIXED",M178,IF(G178="UNIFORM",IF(AND(ISNUMBER(H178),ISNUMBER(I178)),(H178+I178)/2,""),IF(G178="TRIANGLE",IF(ISNUMBER(L178),L178,IF(ISNUMBER(J178),J178,"")),IF(ISNUMBER(J178),J178,IF(ISNUMBER(K178),K178,""))))))</x:f>
      </x:c>
      <x:c r="O178" s="32" t="str">
        <x:f>IF(A178="","",IF(G178="FIXED","fixed",IF(G178="UNIFORM","midpoint_median",IF(G178="TRIANGLE",IF(ISNUMBER(L178),"mode",IF(ISNUMBER(J178),"source_median","missing")),IF(ISNUMBER(J178),"source_median",IF(ISNUMBER(K178),"source_mean","missing"))))))</x:f>
      </x:c>
      <x:c r="P178" s="18"/>
      <x:c r="Q178" s="18"/>
      <x:c r="R178" s="18"/>
      <x:c r="S178" s="18"/>
    </x:row>
    <x:row r="179">
      <x:c r="A179" s="18"/>
      <x:c r="B179" s="18"/>
      <x:c r="C179" s="18"/>
      <x:c r="D179" s="18"/>
      <x:c r="E179" s="18"/>
      <x:c r="F179" s="18"/>
      <x:c r="G179" s="18"/>
      <x:c r="H179" s="30"/>
      <x:c r="I179" s="30"/>
      <x:c r="J179" s="30"/>
      <x:c r="K179" s="30"/>
      <x:c r="L179" s="30"/>
      <x:c r="M179" s="30"/>
      <x:c r="N179" s="31" t="str">
        <x:f>IF(A179="","",IF(G179="FIXED",M179,IF(G179="UNIFORM",IF(AND(ISNUMBER(H179),ISNUMBER(I179)),(H179+I179)/2,""),IF(G179="TRIANGLE",IF(ISNUMBER(L179),L179,IF(ISNUMBER(J179),J179,"")),IF(ISNUMBER(J179),J179,IF(ISNUMBER(K179),K179,""))))))</x:f>
      </x:c>
      <x:c r="O179" s="32" t="str">
        <x:f>IF(A179="","",IF(G179="FIXED","fixed",IF(G179="UNIFORM","midpoint_median",IF(G179="TRIANGLE",IF(ISNUMBER(L179),"mode",IF(ISNUMBER(J179),"source_median","missing")),IF(ISNUMBER(J179),"source_median",IF(ISNUMBER(K179),"source_mean","missing"))))))</x:f>
      </x:c>
      <x:c r="P179" s="18"/>
      <x:c r="Q179" s="18"/>
      <x:c r="R179" s="18"/>
      <x:c r="S179" s="18"/>
    </x:row>
    <x:row r="180">
      <x:c r="A180" s="18"/>
      <x:c r="B180" s="18"/>
      <x:c r="C180" s="18"/>
      <x:c r="D180" s="18"/>
      <x:c r="E180" s="18"/>
      <x:c r="F180" s="18"/>
      <x:c r="G180" s="18"/>
      <x:c r="H180" s="30"/>
      <x:c r="I180" s="30"/>
      <x:c r="J180" s="30"/>
      <x:c r="K180" s="30"/>
      <x:c r="L180" s="30"/>
      <x:c r="M180" s="30"/>
      <x:c r="N180" s="31" t="str">
        <x:f>IF(A180="","",IF(G180="FIXED",M180,IF(G180="UNIFORM",IF(AND(ISNUMBER(H180),ISNUMBER(I180)),(H180+I180)/2,""),IF(G180="TRIANGLE",IF(ISNUMBER(L180),L180,IF(ISNUMBER(J180),J180,"")),IF(ISNUMBER(J180),J180,IF(ISNUMBER(K180),K180,""))))))</x:f>
      </x:c>
      <x:c r="O180" s="32" t="str">
        <x:f>IF(A180="","",IF(G180="FIXED","fixed",IF(G180="UNIFORM","midpoint_median",IF(G180="TRIANGLE",IF(ISNUMBER(L180),"mode",IF(ISNUMBER(J180),"source_median","missing")),IF(ISNUMBER(J180),"source_median",IF(ISNUMBER(K180),"source_mean","missing"))))))</x:f>
      </x:c>
      <x:c r="P180" s="18"/>
      <x:c r="Q180" s="18"/>
      <x:c r="R180" s="18"/>
      <x:c r="S180" s="18"/>
    </x:row>
    <x:row r="181">
      <x:c r="A181" s="18"/>
      <x:c r="B181" s="18"/>
      <x:c r="C181" s="18"/>
      <x:c r="D181" s="18"/>
      <x:c r="E181" s="18"/>
      <x:c r="F181" s="18"/>
      <x:c r="G181" s="18"/>
      <x:c r="H181" s="30"/>
      <x:c r="I181" s="30"/>
      <x:c r="J181" s="30"/>
      <x:c r="K181" s="30"/>
      <x:c r="L181" s="30"/>
      <x:c r="M181" s="30"/>
      <x:c r="N181" s="31" t="str">
        <x:f>IF(A181="","",IF(G181="FIXED",M181,IF(G181="UNIFORM",IF(AND(ISNUMBER(H181),ISNUMBER(I181)),(H181+I181)/2,""),IF(G181="TRIANGLE",IF(ISNUMBER(L181),L181,IF(ISNUMBER(J181),J181,"")),IF(ISNUMBER(J181),J181,IF(ISNUMBER(K181),K181,""))))))</x:f>
      </x:c>
      <x:c r="O181" s="32" t="str">
        <x:f>IF(A181="","",IF(G181="FIXED","fixed",IF(G181="UNIFORM","midpoint_median",IF(G181="TRIANGLE",IF(ISNUMBER(L181),"mode",IF(ISNUMBER(J181),"source_median","missing")),IF(ISNUMBER(J181),"source_median",IF(ISNUMBER(K181),"source_mean","missing"))))))</x:f>
      </x:c>
      <x:c r="P181" s="18"/>
      <x:c r="Q181" s="18"/>
      <x:c r="R181" s="18"/>
      <x:c r="S181" s="18"/>
    </x:row>
    <x:row r="182">
      <x:c r="A182" s="18"/>
      <x:c r="B182" s="18"/>
      <x:c r="C182" s="18"/>
      <x:c r="D182" s="18"/>
      <x:c r="E182" s="18"/>
      <x:c r="F182" s="18"/>
      <x:c r="G182" s="18"/>
      <x:c r="H182" s="30"/>
      <x:c r="I182" s="30"/>
      <x:c r="J182" s="30"/>
      <x:c r="K182" s="30"/>
      <x:c r="L182" s="30"/>
      <x:c r="M182" s="30"/>
      <x:c r="N182" s="31" t="str">
        <x:f>IF(A182="","",IF(G182="FIXED",M182,IF(G182="UNIFORM",IF(AND(ISNUMBER(H182),ISNUMBER(I182)),(H182+I182)/2,""),IF(G182="TRIANGLE",IF(ISNUMBER(L182),L182,IF(ISNUMBER(J182),J182,"")),IF(ISNUMBER(J182),J182,IF(ISNUMBER(K182),K182,""))))))</x:f>
      </x:c>
      <x:c r="O182" s="32" t="str">
        <x:f>IF(A182="","",IF(G182="FIXED","fixed",IF(G182="UNIFORM","midpoint_median",IF(G182="TRIANGLE",IF(ISNUMBER(L182),"mode",IF(ISNUMBER(J182),"source_median","missing")),IF(ISNUMBER(J182),"source_median",IF(ISNUMBER(K182),"source_mean","missing"))))))</x:f>
      </x:c>
      <x:c r="P182" s="18"/>
      <x:c r="Q182" s="18"/>
      <x:c r="R182" s="18"/>
      <x:c r="S182" s="18"/>
    </x:row>
    <x:row r="183">
      <x:c r="A183" s="18"/>
      <x:c r="B183" s="18"/>
      <x:c r="C183" s="18"/>
      <x:c r="D183" s="18"/>
      <x:c r="E183" s="18"/>
      <x:c r="F183" s="18"/>
      <x:c r="G183" s="18"/>
      <x:c r="H183" s="30"/>
      <x:c r="I183" s="30"/>
      <x:c r="J183" s="30"/>
      <x:c r="K183" s="30"/>
      <x:c r="L183" s="30"/>
      <x:c r="M183" s="30"/>
      <x:c r="N183" s="31" t="str">
        <x:f>IF(A183="","",IF(G183="FIXED",M183,IF(G183="UNIFORM",IF(AND(ISNUMBER(H183),ISNUMBER(I183)),(H183+I183)/2,""),IF(G183="TRIANGLE",IF(ISNUMBER(L183),L183,IF(ISNUMBER(J183),J183,"")),IF(ISNUMBER(J183),J183,IF(ISNUMBER(K183),K183,""))))))</x:f>
      </x:c>
      <x:c r="O183" s="32" t="str">
        <x:f>IF(A183="","",IF(G183="FIXED","fixed",IF(G183="UNIFORM","midpoint_median",IF(G183="TRIANGLE",IF(ISNUMBER(L183),"mode",IF(ISNUMBER(J183),"source_median","missing")),IF(ISNUMBER(J183),"source_median",IF(ISNUMBER(K183),"source_mean","missing"))))))</x:f>
      </x:c>
      <x:c r="P183" s="18"/>
      <x:c r="Q183" s="18"/>
      <x:c r="R183" s="18"/>
      <x:c r="S183" s="18"/>
    </x:row>
    <x:row r="184">
      <x:c r="A184" s="18"/>
      <x:c r="B184" s="18"/>
      <x:c r="C184" s="18"/>
      <x:c r="D184" s="18"/>
      <x:c r="E184" s="18"/>
      <x:c r="F184" s="18"/>
      <x:c r="G184" s="18"/>
      <x:c r="H184" s="30"/>
      <x:c r="I184" s="30"/>
      <x:c r="J184" s="30"/>
      <x:c r="K184" s="30"/>
      <x:c r="L184" s="30"/>
      <x:c r="M184" s="30"/>
      <x:c r="N184" s="31" t="str">
        <x:f>IF(A184="","",IF(G184="FIXED",M184,IF(G184="UNIFORM",IF(AND(ISNUMBER(H184),ISNUMBER(I184)),(H184+I184)/2,""),IF(G184="TRIANGLE",IF(ISNUMBER(L184),L184,IF(ISNUMBER(J184),J184,"")),IF(ISNUMBER(J184),J184,IF(ISNUMBER(K184),K184,""))))))</x:f>
      </x:c>
      <x:c r="O184" s="32" t="str">
        <x:f>IF(A184="","",IF(G184="FIXED","fixed",IF(G184="UNIFORM","midpoint_median",IF(G184="TRIANGLE",IF(ISNUMBER(L184),"mode",IF(ISNUMBER(J184),"source_median","missing")),IF(ISNUMBER(J184),"source_median",IF(ISNUMBER(K184),"source_mean","missing"))))))</x:f>
      </x:c>
      <x:c r="P184" s="18"/>
      <x:c r="Q184" s="18"/>
      <x:c r="R184" s="18"/>
      <x:c r="S184" s="18"/>
    </x:row>
    <x:row r="185">
      <x:c r="A185" s="18"/>
      <x:c r="B185" s="18"/>
      <x:c r="C185" s="18"/>
      <x:c r="D185" s="18"/>
      <x:c r="E185" s="18"/>
      <x:c r="F185" s="18"/>
      <x:c r="G185" s="18"/>
      <x:c r="H185" s="30"/>
      <x:c r="I185" s="30"/>
      <x:c r="J185" s="30"/>
      <x:c r="K185" s="30"/>
      <x:c r="L185" s="30"/>
      <x:c r="M185" s="30"/>
      <x:c r="N185" s="31" t="str">
        <x:f>IF(A185="","",IF(G185="FIXED",M185,IF(G185="UNIFORM",IF(AND(ISNUMBER(H185),ISNUMBER(I185)),(H185+I185)/2,""),IF(G185="TRIANGLE",IF(ISNUMBER(L185),L185,IF(ISNUMBER(J185),J185,"")),IF(ISNUMBER(J185),J185,IF(ISNUMBER(K185),K185,""))))))</x:f>
      </x:c>
      <x:c r="O185" s="32" t="str">
        <x:f>IF(A185="","",IF(G185="FIXED","fixed",IF(G185="UNIFORM","midpoint_median",IF(G185="TRIANGLE",IF(ISNUMBER(L185),"mode",IF(ISNUMBER(J185),"source_median","missing")),IF(ISNUMBER(J185),"source_median",IF(ISNUMBER(K185),"source_mean","missing"))))))</x:f>
      </x:c>
      <x:c r="P185" s="18"/>
      <x:c r="Q185" s="18"/>
      <x:c r="R185" s="18"/>
      <x:c r="S185" s="18"/>
    </x:row>
    <x:row r="186">
      <x:c r="A186" s="18"/>
      <x:c r="B186" s="18"/>
      <x:c r="C186" s="18"/>
      <x:c r="D186" s="18"/>
      <x:c r="E186" s="18"/>
      <x:c r="F186" s="18"/>
      <x:c r="G186" s="18"/>
      <x:c r="H186" s="30"/>
      <x:c r="I186" s="30"/>
      <x:c r="J186" s="30"/>
      <x:c r="K186" s="30"/>
      <x:c r="L186" s="30"/>
      <x:c r="M186" s="30"/>
      <x:c r="N186" s="31" t="str">
        <x:f>IF(A186="","",IF(G186="FIXED",M186,IF(G186="UNIFORM",IF(AND(ISNUMBER(H186),ISNUMBER(I186)),(H186+I186)/2,""),IF(G186="TRIANGLE",IF(ISNUMBER(L186),L186,IF(ISNUMBER(J186),J186,"")),IF(ISNUMBER(J186),J186,IF(ISNUMBER(K186),K186,""))))))</x:f>
      </x:c>
      <x:c r="O186" s="32" t="str">
        <x:f>IF(A186="","",IF(G186="FIXED","fixed",IF(G186="UNIFORM","midpoint_median",IF(G186="TRIANGLE",IF(ISNUMBER(L186),"mode",IF(ISNUMBER(J186),"source_median","missing")),IF(ISNUMBER(J186),"source_median",IF(ISNUMBER(K186),"source_mean","missing"))))))</x:f>
      </x:c>
      <x:c r="P186" s="18"/>
      <x:c r="Q186" s="18"/>
      <x:c r="R186" s="18"/>
      <x:c r="S186" s="18"/>
    </x:row>
    <x:row r="187">
      <x:c r="A187" s="18"/>
      <x:c r="B187" s="18"/>
      <x:c r="C187" s="18"/>
      <x:c r="D187" s="18"/>
      <x:c r="E187" s="18"/>
      <x:c r="F187" s="18"/>
      <x:c r="G187" s="18"/>
      <x:c r="H187" s="30"/>
      <x:c r="I187" s="30"/>
      <x:c r="J187" s="30"/>
      <x:c r="K187" s="30"/>
      <x:c r="L187" s="30"/>
      <x:c r="M187" s="30"/>
      <x:c r="N187" s="31" t="str">
        <x:f>IF(A187="","",IF(G187="FIXED",M187,IF(G187="UNIFORM",IF(AND(ISNUMBER(H187),ISNUMBER(I187)),(H187+I187)/2,""),IF(G187="TRIANGLE",IF(ISNUMBER(L187),L187,IF(ISNUMBER(J187),J187,"")),IF(ISNUMBER(J187),J187,IF(ISNUMBER(K187),K187,""))))))</x:f>
      </x:c>
      <x:c r="O187" s="32" t="str">
        <x:f>IF(A187="","",IF(G187="FIXED","fixed",IF(G187="UNIFORM","midpoint_median",IF(G187="TRIANGLE",IF(ISNUMBER(L187),"mode",IF(ISNUMBER(J187),"source_median","missing")),IF(ISNUMBER(J187),"source_median",IF(ISNUMBER(K187),"source_mean","missing"))))))</x:f>
      </x:c>
      <x:c r="P187" s="18"/>
      <x:c r="Q187" s="18"/>
      <x:c r="R187" s="18"/>
      <x:c r="S187" s="18"/>
    </x:row>
    <x:row r="188">
      <x:c r="A188" s="18"/>
      <x:c r="B188" s="18"/>
      <x:c r="C188" s="18"/>
      <x:c r="D188" s="18"/>
      <x:c r="E188" s="18"/>
      <x:c r="F188" s="18"/>
      <x:c r="G188" s="18"/>
      <x:c r="H188" s="30"/>
      <x:c r="I188" s="30"/>
      <x:c r="J188" s="30"/>
      <x:c r="K188" s="30"/>
      <x:c r="L188" s="30"/>
      <x:c r="M188" s="30"/>
      <x:c r="N188" s="31" t="str">
        <x:f>IF(A188="","",IF(G188="FIXED",M188,IF(G188="UNIFORM",IF(AND(ISNUMBER(H188),ISNUMBER(I188)),(H188+I188)/2,""),IF(G188="TRIANGLE",IF(ISNUMBER(L188),L188,IF(ISNUMBER(J188),J188,"")),IF(ISNUMBER(J188),J188,IF(ISNUMBER(K188),K188,""))))))</x:f>
      </x:c>
      <x:c r="O188" s="32" t="str">
        <x:f>IF(A188="","",IF(G188="FIXED","fixed",IF(G188="UNIFORM","midpoint_median",IF(G188="TRIANGLE",IF(ISNUMBER(L188),"mode",IF(ISNUMBER(J188),"source_median","missing")),IF(ISNUMBER(J188),"source_median",IF(ISNUMBER(K188),"source_mean","missing"))))))</x:f>
      </x:c>
      <x:c r="P188" s="18"/>
      <x:c r="Q188" s="18"/>
      <x:c r="R188" s="18"/>
      <x:c r="S188" s="18"/>
    </x:row>
    <x:row r="189">
      <x:c r="A189" s="18"/>
      <x:c r="B189" s="18"/>
      <x:c r="C189" s="18"/>
      <x:c r="D189" s="18"/>
      <x:c r="E189" s="18"/>
      <x:c r="F189" s="18"/>
      <x:c r="G189" s="18"/>
      <x:c r="H189" s="30"/>
      <x:c r="I189" s="30"/>
      <x:c r="J189" s="30"/>
      <x:c r="K189" s="30"/>
      <x:c r="L189" s="30"/>
      <x:c r="M189" s="30"/>
      <x:c r="N189" s="31" t="str">
        <x:f>IF(A189="","",IF(G189="FIXED",M189,IF(G189="UNIFORM",IF(AND(ISNUMBER(H189),ISNUMBER(I189)),(H189+I189)/2,""),IF(G189="TRIANGLE",IF(ISNUMBER(L189),L189,IF(ISNUMBER(J189),J189,"")),IF(ISNUMBER(J189),J189,IF(ISNUMBER(K189),K189,""))))))</x:f>
      </x:c>
      <x:c r="O189" s="32" t="str">
        <x:f>IF(A189="","",IF(G189="FIXED","fixed",IF(G189="UNIFORM","midpoint_median",IF(G189="TRIANGLE",IF(ISNUMBER(L189),"mode",IF(ISNUMBER(J189),"source_median","missing")),IF(ISNUMBER(J189),"source_median",IF(ISNUMBER(K189),"source_mean","missing"))))))</x:f>
      </x:c>
      <x:c r="P189" s="18"/>
      <x:c r="Q189" s="18"/>
      <x:c r="R189" s="18"/>
      <x:c r="S189" s="18"/>
    </x:row>
    <x:row r="190">
      <x:c r="A190" s="18"/>
      <x:c r="B190" s="18"/>
      <x:c r="C190" s="18"/>
      <x:c r="D190" s="18"/>
      <x:c r="E190" s="18"/>
      <x:c r="F190" s="18"/>
      <x:c r="G190" s="18"/>
      <x:c r="H190" s="30"/>
      <x:c r="I190" s="30"/>
      <x:c r="J190" s="30"/>
      <x:c r="K190" s="30"/>
      <x:c r="L190" s="30"/>
      <x:c r="M190" s="30"/>
      <x:c r="N190" s="31" t="str">
        <x:f>IF(A190="","",IF(G190="FIXED",M190,IF(G190="UNIFORM",IF(AND(ISNUMBER(H190),ISNUMBER(I190)),(H190+I190)/2,""),IF(G190="TRIANGLE",IF(ISNUMBER(L190),L190,IF(ISNUMBER(J190),J190,"")),IF(ISNUMBER(J190),J190,IF(ISNUMBER(K190),K190,""))))))</x:f>
      </x:c>
      <x:c r="O190" s="32" t="str">
        <x:f>IF(A190="","",IF(G190="FIXED","fixed",IF(G190="UNIFORM","midpoint_median",IF(G190="TRIANGLE",IF(ISNUMBER(L190),"mode",IF(ISNUMBER(J190),"source_median","missing")),IF(ISNUMBER(J190),"source_median",IF(ISNUMBER(K190),"source_mean","missing"))))))</x:f>
      </x:c>
      <x:c r="P190" s="18"/>
      <x:c r="Q190" s="18"/>
      <x:c r="R190" s="18"/>
      <x:c r="S190" s="18"/>
    </x:row>
    <x:row r="191">
      <x:c r="A191" s="18"/>
      <x:c r="B191" s="18"/>
      <x:c r="C191" s="18"/>
      <x:c r="D191" s="18"/>
      <x:c r="E191" s="18"/>
      <x:c r="F191" s="18"/>
      <x:c r="G191" s="18"/>
      <x:c r="H191" s="30"/>
      <x:c r="I191" s="30"/>
      <x:c r="J191" s="30"/>
      <x:c r="K191" s="30"/>
      <x:c r="L191" s="30"/>
      <x:c r="M191" s="30"/>
      <x:c r="N191" s="31" t="str">
        <x:f>IF(A191="","",IF(G191="FIXED",M191,IF(G191="UNIFORM",IF(AND(ISNUMBER(H191),ISNUMBER(I191)),(H191+I191)/2,""),IF(G191="TRIANGLE",IF(ISNUMBER(L191),L191,IF(ISNUMBER(J191),J191,"")),IF(ISNUMBER(J191),J191,IF(ISNUMBER(K191),K191,""))))))</x:f>
      </x:c>
      <x:c r="O191" s="32" t="str">
        <x:f>IF(A191="","",IF(G191="FIXED","fixed",IF(G191="UNIFORM","midpoint_median",IF(G191="TRIANGLE",IF(ISNUMBER(L191),"mode",IF(ISNUMBER(J191),"source_median","missing")),IF(ISNUMBER(J191),"source_median",IF(ISNUMBER(K191),"source_mean","missing"))))))</x:f>
      </x:c>
      <x:c r="P191" s="18"/>
      <x:c r="Q191" s="18"/>
      <x:c r="R191" s="18"/>
      <x:c r="S191" s="18"/>
    </x:row>
    <x:row r="192">
      <x:c r="A192" s="18"/>
      <x:c r="B192" s="18"/>
      <x:c r="C192" s="18"/>
      <x:c r="D192" s="18"/>
      <x:c r="E192" s="18"/>
      <x:c r="F192" s="18"/>
      <x:c r="G192" s="18"/>
      <x:c r="H192" s="30"/>
      <x:c r="I192" s="30"/>
      <x:c r="J192" s="30"/>
      <x:c r="K192" s="30"/>
      <x:c r="L192" s="30"/>
      <x:c r="M192" s="30"/>
      <x:c r="N192" s="31" t="str">
        <x:f>IF(A192="","",IF(G192="FIXED",M192,IF(G192="UNIFORM",IF(AND(ISNUMBER(H192),ISNUMBER(I192)),(H192+I192)/2,""),IF(G192="TRIANGLE",IF(ISNUMBER(L192),L192,IF(ISNUMBER(J192),J192,"")),IF(ISNUMBER(J192),J192,IF(ISNUMBER(K192),K192,""))))))</x:f>
      </x:c>
      <x:c r="O192" s="32" t="str">
        <x:f>IF(A192="","",IF(G192="FIXED","fixed",IF(G192="UNIFORM","midpoint_median",IF(G192="TRIANGLE",IF(ISNUMBER(L192),"mode",IF(ISNUMBER(J192),"source_median","missing")),IF(ISNUMBER(J192),"source_median",IF(ISNUMBER(K192),"source_mean","missing"))))))</x:f>
      </x:c>
      <x:c r="P192" s="18"/>
      <x:c r="Q192" s="18"/>
      <x:c r="R192" s="18"/>
      <x:c r="S192" s="18"/>
    </x:row>
    <x:row r="193">
      <x:c r="A193" s="18"/>
      <x:c r="B193" s="18"/>
      <x:c r="C193" s="18"/>
      <x:c r="D193" s="18"/>
      <x:c r="E193" s="18"/>
      <x:c r="F193" s="18"/>
      <x:c r="G193" s="18"/>
      <x:c r="H193" s="30"/>
      <x:c r="I193" s="30"/>
      <x:c r="J193" s="30"/>
      <x:c r="K193" s="30"/>
      <x:c r="L193" s="30"/>
      <x:c r="M193" s="30"/>
      <x:c r="N193" s="31" t="str">
        <x:f>IF(A193="","",IF(G193="FIXED",M193,IF(G193="UNIFORM",IF(AND(ISNUMBER(H193),ISNUMBER(I193)),(H193+I193)/2,""),IF(G193="TRIANGLE",IF(ISNUMBER(L193),L193,IF(ISNUMBER(J193),J193,"")),IF(ISNUMBER(J193),J193,IF(ISNUMBER(K193),K193,""))))))</x:f>
      </x:c>
      <x:c r="O193" s="32" t="str">
        <x:f>IF(A193="","",IF(G193="FIXED","fixed",IF(G193="UNIFORM","midpoint_median",IF(G193="TRIANGLE",IF(ISNUMBER(L193),"mode",IF(ISNUMBER(J193),"source_median","missing")),IF(ISNUMBER(J193),"source_median",IF(ISNUMBER(K193),"source_mean","missing"))))))</x:f>
      </x:c>
      <x:c r="P193" s="18"/>
      <x:c r="Q193" s="18"/>
      <x:c r="R193" s="18"/>
      <x:c r="S193" s="18"/>
    </x:row>
    <x:row r="194">
      <x:c r="A194" s="18"/>
      <x:c r="B194" s="18"/>
      <x:c r="C194" s="18"/>
      <x:c r="D194" s="18"/>
      <x:c r="E194" s="18"/>
      <x:c r="F194" s="18"/>
      <x:c r="G194" s="18"/>
      <x:c r="H194" s="30"/>
      <x:c r="I194" s="30"/>
      <x:c r="J194" s="30"/>
      <x:c r="K194" s="30"/>
      <x:c r="L194" s="30"/>
      <x:c r="M194" s="30"/>
      <x:c r="N194" s="31" t="str">
        <x:f>IF(A194="","",IF(G194="FIXED",M194,IF(G194="UNIFORM",IF(AND(ISNUMBER(H194),ISNUMBER(I194)),(H194+I194)/2,""),IF(G194="TRIANGLE",IF(ISNUMBER(L194),L194,IF(ISNUMBER(J194),J194,"")),IF(ISNUMBER(J194),J194,IF(ISNUMBER(K194),K194,""))))))</x:f>
      </x:c>
      <x:c r="O194" s="32" t="str">
        <x:f>IF(A194="","",IF(G194="FIXED","fixed",IF(G194="UNIFORM","midpoint_median",IF(G194="TRIANGLE",IF(ISNUMBER(L194),"mode",IF(ISNUMBER(J194),"source_median","missing")),IF(ISNUMBER(J194),"source_median",IF(ISNUMBER(K194),"source_mean","missing"))))))</x:f>
      </x:c>
      <x:c r="P194" s="18"/>
      <x:c r="Q194" s="18"/>
      <x:c r="R194" s="18"/>
      <x:c r="S194" s="18"/>
    </x:row>
    <x:row r="195">
      <x:c r="A195" s="18"/>
      <x:c r="B195" s="18"/>
      <x:c r="C195" s="18"/>
      <x:c r="D195" s="18"/>
      <x:c r="E195" s="18"/>
      <x:c r="F195" s="18"/>
      <x:c r="G195" s="18"/>
      <x:c r="H195" s="30"/>
      <x:c r="I195" s="30"/>
      <x:c r="J195" s="30"/>
      <x:c r="K195" s="30"/>
      <x:c r="L195" s="30"/>
      <x:c r="M195" s="30"/>
      <x:c r="N195" s="31" t="str">
        <x:f>IF(A195="","",IF(G195="FIXED",M195,IF(G195="UNIFORM",IF(AND(ISNUMBER(H195),ISNUMBER(I195)),(H195+I195)/2,""),IF(G195="TRIANGLE",IF(ISNUMBER(L195),L195,IF(ISNUMBER(J195),J195,"")),IF(ISNUMBER(J195),J195,IF(ISNUMBER(K195),K195,""))))))</x:f>
      </x:c>
      <x:c r="O195" s="32" t="str">
        <x:f>IF(A195="","",IF(G195="FIXED","fixed",IF(G195="UNIFORM","midpoint_median",IF(G195="TRIANGLE",IF(ISNUMBER(L195),"mode",IF(ISNUMBER(J195),"source_median","missing")),IF(ISNUMBER(J195),"source_median",IF(ISNUMBER(K195),"source_mean","missing"))))))</x:f>
      </x:c>
      <x:c r="P195" s="18"/>
      <x:c r="Q195" s="18"/>
      <x:c r="R195" s="18"/>
      <x:c r="S195" s="18"/>
    </x:row>
    <x:row r="196">
      <x:c r="A196" s="18"/>
      <x:c r="B196" s="18"/>
      <x:c r="C196" s="18"/>
      <x:c r="D196" s="18"/>
      <x:c r="E196" s="18"/>
      <x:c r="F196" s="18"/>
      <x:c r="G196" s="18"/>
      <x:c r="H196" s="30"/>
      <x:c r="I196" s="30"/>
      <x:c r="J196" s="30"/>
      <x:c r="K196" s="30"/>
      <x:c r="L196" s="30"/>
      <x:c r="M196" s="30"/>
      <x:c r="N196" s="31" t="str">
        <x:f>IF(A196="","",IF(G196="FIXED",M196,IF(G196="UNIFORM",IF(AND(ISNUMBER(H196),ISNUMBER(I196)),(H196+I196)/2,""),IF(G196="TRIANGLE",IF(ISNUMBER(L196),L196,IF(ISNUMBER(J196),J196,"")),IF(ISNUMBER(J196),J196,IF(ISNUMBER(K196),K196,""))))))</x:f>
      </x:c>
      <x:c r="O196" s="32" t="str">
        <x:f>IF(A196="","",IF(G196="FIXED","fixed",IF(G196="UNIFORM","midpoint_median",IF(G196="TRIANGLE",IF(ISNUMBER(L196),"mode",IF(ISNUMBER(J196),"source_median","missing")),IF(ISNUMBER(J196),"source_median",IF(ISNUMBER(K196),"source_mean","missing"))))))</x:f>
      </x:c>
      <x:c r="P196" s="18"/>
      <x:c r="Q196" s="18"/>
      <x:c r="R196" s="18"/>
      <x:c r="S196" s="18"/>
    </x:row>
    <x:row r="197">
      <x:c r="A197" s="18"/>
      <x:c r="B197" s="18"/>
      <x:c r="C197" s="18"/>
      <x:c r="D197" s="18"/>
      <x:c r="E197" s="18"/>
      <x:c r="F197" s="18"/>
      <x:c r="G197" s="18"/>
      <x:c r="H197" s="30"/>
      <x:c r="I197" s="30"/>
      <x:c r="J197" s="30"/>
      <x:c r="K197" s="30"/>
      <x:c r="L197" s="30"/>
      <x:c r="M197" s="30"/>
      <x:c r="N197" s="31" t="str">
        <x:f>IF(A197="","",IF(G197="FIXED",M197,IF(G197="UNIFORM",IF(AND(ISNUMBER(H197),ISNUMBER(I197)),(H197+I197)/2,""),IF(G197="TRIANGLE",IF(ISNUMBER(L197),L197,IF(ISNUMBER(J197),J197,"")),IF(ISNUMBER(J197),J197,IF(ISNUMBER(K197),K197,""))))))</x:f>
      </x:c>
      <x:c r="O197" s="32" t="str">
        <x:f>IF(A197="","",IF(G197="FIXED","fixed",IF(G197="UNIFORM","midpoint_median",IF(G197="TRIANGLE",IF(ISNUMBER(L197),"mode",IF(ISNUMBER(J197),"source_median","missing")),IF(ISNUMBER(J197),"source_median",IF(ISNUMBER(K197),"source_mean","missing"))))))</x:f>
      </x:c>
      <x:c r="P197" s="18"/>
      <x:c r="Q197" s="18"/>
      <x:c r="R197" s="18"/>
      <x:c r="S197" s="18"/>
    </x:row>
    <x:row r="198">
      <x:c r="A198" s="18"/>
      <x:c r="B198" s="18"/>
      <x:c r="C198" s="18"/>
      <x:c r="D198" s="18"/>
      <x:c r="E198" s="18"/>
      <x:c r="F198" s="18"/>
      <x:c r="G198" s="18"/>
      <x:c r="H198" s="30"/>
      <x:c r="I198" s="30"/>
      <x:c r="J198" s="30"/>
      <x:c r="K198" s="30"/>
      <x:c r="L198" s="30"/>
      <x:c r="M198" s="30"/>
      <x:c r="N198" s="31" t="str">
        <x:f>IF(A198="","",IF(G198="FIXED",M198,IF(G198="UNIFORM",IF(AND(ISNUMBER(H198),ISNUMBER(I198)),(H198+I198)/2,""),IF(G198="TRIANGLE",IF(ISNUMBER(L198),L198,IF(ISNUMBER(J198),J198,"")),IF(ISNUMBER(J198),J198,IF(ISNUMBER(K198),K198,""))))))</x:f>
      </x:c>
      <x:c r="O198" s="32" t="str">
        <x:f>IF(A198="","",IF(G198="FIXED","fixed",IF(G198="UNIFORM","midpoint_median",IF(G198="TRIANGLE",IF(ISNUMBER(L198),"mode",IF(ISNUMBER(J198),"source_median","missing")),IF(ISNUMBER(J198),"source_median",IF(ISNUMBER(K198),"source_mean","missing"))))))</x:f>
      </x:c>
      <x:c r="P198" s="18"/>
      <x:c r="Q198" s="18"/>
      <x:c r="R198" s="18"/>
      <x:c r="S198" s="18"/>
    </x:row>
    <x:row r="199">
      <x:c r="A199" s="18"/>
      <x:c r="B199" s="18"/>
      <x:c r="C199" s="18"/>
      <x:c r="D199" s="18"/>
      <x:c r="E199" s="18"/>
      <x:c r="F199" s="18"/>
      <x:c r="G199" s="18"/>
      <x:c r="H199" s="30"/>
      <x:c r="I199" s="30"/>
      <x:c r="J199" s="30"/>
      <x:c r="K199" s="30"/>
      <x:c r="L199" s="30"/>
      <x:c r="M199" s="30"/>
      <x:c r="N199" s="31" t="str">
        <x:f>IF(A199="","",IF(G199="FIXED",M199,IF(G199="UNIFORM",IF(AND(ISNUMBER(H199),ISNUMBER(I199)),(H199+I199)/2,""),IF(G199="TRIANGLE",IF(ISNUMBER(L199),L199,IF(ISNUMBER(J199),J199,"")),IF(ISNUMBER(J199),J199,IF(ISNUMBER(K199),K199,""))))))</x:f>
      </x:c>
      <x:c r="O199" s="32" t="str">
        <x:f>IF(A199="","",IF(G199="FIXED","fixed",IF(G199="UNIFORM","midpoint_median",IF(G199="TRIANGLE",IF(ISNUMBER(L199),"mode",IF(ISNUMBER(J199),"source_median","missing")),IF(ISNUMBER(J199),"source_median",IF(ISNUMBER(K199),"source_mean","missing"))))))</x:f>
      </x:c>
      <x:c r="P199" s="18"/>
      <x:c r="Q199" s="18"/>
      <x:c r="R199" s="18"/>
      <x:c r="S199" s="18"/>
    </x:row>
    <x:row r="200">
      <x:c r="A200" s="18"/>
      <x:c r="B200" s="18"/>
      <x:c r="C200" s="18"/>
      <x:c r="D200" s="18"/>
      <x:c r="E200" s="18"/>
      <x:c r="F200" s="18"/>
      <x:c r="G200" s="18"/>
      <x:c r="H200" s="30"/>
      <x:c r="I200" s="30"/>
      <x:c r="J200" s="30"/>
      <x:c r="K200" s="30"/>
      <x:c r="L200" s="30"/>
      <x:c r="M200" s="30"/>
      <x:c r="N200" s="31" t="str">
        <x:f>IF(A200="","",IF(G200="FIXED",M200,IF(G200="UNIFORM",IF(AND(ISNUMBER(H200),ISNUMBER(I200)),(H200+I200)/2,""),IF(G200="TRIANGLE",IF(ISNUMBER(L200),L200,IF(ISNUMBER(J200),J200,"")),IF(ISNUMBER(J200),J200,IF(ISNUMBER(K200),K200,""))))))</x:f>
      </x:c>
      <x:c r="O200" s="32" t="str">
        <x:f>IF(A200="","",IF(G200="FIXED","fixed",IF(G200="UNIFORM","midpoint_median",IF(G200="TRIANGLE",IF(ISNUMBER(L200),"mode",IF(ISNUMBER(J200),"source_median","missing")),IF(ISNUMBER(J200),"source_median",IF(ISNUMBER(K200),"source_mean","missing"))))))</x:f>
      </x:c>
      <x:c r="P200" s="18"/>
      <x:c r="Q200" s="18"/>
      <x:c r="R200" s="18"/>
      <x:c r="S200" s="18"/>
    </x:row>
    <x:row r="201">
      <x:c r="A201" s="18"/>
      <x:c r="B201" s="18"/>
      <x:c r="C201" s="18"/>
      <x:c r="D201" s="18"/>
      <x:c r="E201" s="18"/>
      <x:c r="F201" s="18"/>
      <x:c r="G201" s="18"/>
      <x:c r="H201" s="30"/>
      <x:c r="I201" s="30"/>
      <x:c r="J201" s="30"/>
      <x:c r="K201" s="30"/>
      <x:c r="L201" s="30"/>
      <x:c r="M201" s="30"/>
      <x:c r="N201" s="31" t="str">
        <x:f>IF(A201="","",IF(G201="FIXED",M201,IF(G201="UNIFORM",IF(AND(ISNUMBER(H201),ISNUMBER(I201)),(H201+I201)/2,""),IF(G201="TRIANGLE",IF(ISNUMBER(L201),L201,IF(ISNUMBER(J201),J201,"")),IF(ISNUMBER(J201),J201,IF(ISNUMBER(K201),K201,""))))))</x:f>
      </x:c>
      <x:c r="O201" s="32" t="str">
        <x:f>IF(A201="","",IF(G201="FIXED","fixed",IF(G201="UNIFORM","midpoint_median",IF(G201="TRIANGLE",IF(ISNUMBER(L201),"mode",IF(ISNUMBER(J201),"source_median","missing")),IF(ISNUMBER(J201),"source_median",IF(ISNUMBER(K201),"source_mean","missing"))))))</x:f>
      </x:c>
      <x:c r="P201" s="18"/>
      <x:c r="Q201" s="18"/>
      <x:c r="R201" s="18"/>
      <x:c r="S201" s="18"/>
    </x:row>
    <x:row r="202">
      <x:c r="A202" s="18"/>
      <x:c r="B202" s="18"/>
      <x:c r="C202" s="18"/>
      <x:c r="D202" s="18"/>
      <x:c r="E202" s="18"/>
      <x:c r="F202" s="18"/>
      <x:c r="G202" s="18"/>
      <x:c r="H202" s="30"/>
      <x:c r="I202" s="30"/>
      <x:c r="J202" s="30"/>
      <x:c r="K202" s="30"/>
      <x:c r="L202" s="30"/>
      <x:c r="M202" s="30"/>
      <x:c r="N202" s="31" t="str">
        <x:f>IF(A202="","",IF(G202="FIXED",M202,IF(G202="UNIFORM",IF(AND(ISNUMBER(H202),ISNUMBER(I202)),(H202+I202)/2,""),IF(G202="TRIANGLE",IF(ISNUMBER(L202),L202,IF(ISNUMBER(J202),J202,"")),IF(ISNUMBER(J202),J202,IF(ISNUMBER(K202),K202,""))))))</x:f>
      </x:c>
      <x:c r="O202" s="32" t="str">
        <x:f>IF(A202="","",IF(G202="FIXED","fixed",IF(G202="UNIFORM","midpoint_median",IF(G202="TRIANGLE",IF(ISNUMBER(L202),"mode",IF(ISNUMBER(J202),"source_median","missing")),IF(ISNUMBER(J202),"source_median",IF(ISNUMBER(K202),"source_mean","missing"))))))</x:f>
      </x:c>
      <x:c r="P202" s="18"/>
      <x:c r="Q202" s="18"/>
      <x:c r="R202" s="18"/>
      <x:c r="S202" s="18"/>
    </x:row>
    <x:row r="203">
      <x:c r="A203" s="18"/>
      <x:c r="B203" s="18"/>
      <x:c r="C203" s="18"/>
      <x:c r="D203" s="18"/>
      <x:c r="E203" s="18"/>
      <x:c r="F203" s="18"/>
      <x:c r="G203" s="18"/>
      <x:c r="H203" s="30"/>
      <x:c r="I203" s="30"/>
      <x:c r="J203" s="30"/>
      <x:c r="K203" s="30"/>
      <x:c r="L203" s="30"/>
      <x:c r="M203" s="30"/>
      <x:c r="N203" s="31" t="str">
        <x:f>IF(A203="","",IF(G203="FIXED",M203,IF(G203="UNIFORM",IF(AND(ISNUMBER(H203),ISNUMBER(I203)),(H203+I203)/2,""),IF(G203="TRIANGLE",IF(ISNUMBER(L203),L203,IF(ISNUMBER(J203),J203,"")),IF(ISNUMBER(J203),J203,IF(ISNUMBER(K203),K203,""))))))</x:f>
      </x:c>
      <x:c r="O203" s="32" t="str">
        <x:f>IF(A203="","",IF(G203="FIXED","fixed",IF(G203="UNIFORM","midpoint_median",IF(G203="TRIANGLE",IF(ISNUMBER(L203),"mode",IF(ISNUMBER(J203),"source_median","missing")),IF(ISNUMBER(J203),"source_median",IF(ISNUMBER(K203),"source_mean","missing"))))))</x:f>
      </x:c>
      <x:c r="P203" s="18"/>
      <x:c r="Q203" s="18"/>
      <x:c r="R203" s="18"/>
      <x:c r="S203" s="18"/>
    </x:row>
    <x:row r="204">
      <x:c r="A204" s="18"/>
      <x:c r="B204" s="18"/>
      <x:c r="C204" s="18"/>
      <x:c r="D204" s="18"/>
      <x:c r="E204" s="18"/>
      <x:c r="F204" s="18"/>
      <x:c r="G204" s="18"/>
      <x:c r="H204" s="30"/>
      <x:c r="I204" s="30"/>
      <x:c r="J204" s="30"/>
      <x:c r="K204" s="30"/>
      <x:c r="L204" s="30"/>
      <x:c r="M204" s="30"/>
      <x:c r="N204" s="31" t="str">
        <x:f>IF(A204="","",IF(G204="FIXED",M204,IF(G204="UNIFORM",IF(AND(ISNUMBER(H204),ISNUMBER(I204)),(H204+I204)/2,""),IF(G204="TRIANGLE",IF(ISNUMBER(L204),L204,IF(ISNUMBER(J204),J204,"")),IF(ISNUMBER(J204),J204,IF(ISNUMBER(K204),K204,""))))))</x:f>
      </x:c>
      <x:c r="O204" s="32" t="str">
        <x:f>IF(A204="","",IF(G204="FIXED","fixed",IF(G204="UNIFORM","midpoint_median",IF(G204="TRIANGLE",IF(ISNUMBER(L204),"mode",IF(ISNUMBER(J204),"source_median","missing")),IF(ISNUMBER(J204),"source_median",IF(ISNUMBER(K204),"source_mean","missing"))))))</x:f>
      </x:c>
      <x:c r="P204" s="18"/>
      <x:c r="Q204" s="18"/>
      <x:c r="R204" s="18"/>
      <x:c r="S204" s="18"/>
    </x:row>
  </x:sheetData>
  <x:dataValidations count="2">
    <x:dataValidation type="list" sqref="G5:G204">
      <x:formula1>"FIXED,UNIFORM,TRIANGLE,NORMAL,LOGNORMAL,UNSPECIFIED,OTHER"</x:formula1>
    </x:dataValidation>
    <x:dataValidation type="list" sqref="R5:R204">
      <x:formula1>"原文值,可复算,待核实,排除,不适用"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4" hidden="0" customWidth="1"/>
    <x:col min="11" max="11" width="24" hidden="0" customWidth="1"/>
    <x:col min="12" max="12" width="14" hidden="0" customWidth="1"/>
    <x:col min="13" max="13" width="42" hidden="0" customWidth="1"/>
    <x:col min="14" max="14" width="42" hidden="0" customWidth="1"/>
    <x:col min="15" max="15" width="28" hidden="0" customWidth="1"/>
    <x:col min="16" max="16" width="16" hidden="0" customWidth="1"/>
    <x:col min="17" max="17" width="14" hidden="0" customWidth="1"/>
    <x:col min="18" max="18" width="22" hidden="0" customWidth="1"/>
    <x:col min="19" max="19" width="16" hidden="0" customWidth="1"/>
    <x:col min="20" max="20" width="26" hidden="0" customWidth="1"/>
    <x:col min="21" max="21" width="20" hidden="0" customWidth="1"/>
    <x:col min="22" max="22" width="18" hidden="0" customWidth="1"/>
    <x:col min="23" max="23" width="14" hidden="0" customWidth="1"/>
    <x:col min="24" max="24" width="32" hidden="0" customWidth="1"/>
    <x:col min="25" max="25" width="36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24" customHeight="1">
      <x:c r="A1" s="1" t="str">
        <x:v>模型流与公式</x:v>
      </x:c>
    </x:row>
    <x:row r="2" ht="24" customHeight="1">
      <x:c r="A2" s="2" t="str">
        <x:v>一行一个模型流；物理流、环境交换、分配负担和替代候选必须区分。</x:v>
      </x:c>
    </x:row>
    <x:row r="4" ht="28" customHeight="1">
      <x:c r="A4" s="14" t="str">
        <x:v>流ID</x:v>
      </x:c>
      <x:c r="B4" s="15" t="str">
        <x:v>过程ID</x:v>
      </x:c>
      <x:c r="C4" s="15" t="str">
        <x:v>流名称</x:v>
      </x:c>
      <x:c r="D4" s="15" t="str">
        <x:v>流类别</x:v>
      </x:c>
      <x:c r="E4" s="15" t="str">
        <x:v>方向</x:v>
      </x:c>
      <x:c r="F4" s="15" t="str">
        <x:v>来源过程ID</x:v>
      </x:c>
      <x:c r="G4" s="15" t="str">
        <x:v>目标过程ID</x:v>
      </x:c>
      <x:c r="H4" s="15" t="str">
        <x:v>值类型</x:v>
      </x:c>
      <x:c r="I4" s="15" t="str">
        <x:v>原始登记值</x:v>
      </x:c>
      <x:c r="J4" s="15" t="str">
        <x:v>原始单位</x:v>
      </x:c>
      <x:c r="K4" s="15" t="str">
        <x:v>参考基准</x:v>
      </x:c>
      <x:c r="L4" s="15" t="str">
        <x:v>公式ID</x:v>
      </x:c>
      <x:c r="M4" s="15" t="str">
        <x:v>来源公式</x:v>
      </x:c>
      <x:c r="N4" s="15" t="str">
        <x:v>采用公式</x:v>
      </x:c>
      <x:c r="O4" s="15" t="str">
        <x:v>输入参数ID</x:v>
      </x:c>
      <x:c r="P4" s="15" t="str">
        <x:v>图示代表值</x:v>
      </x:c>
      <x:c r="Q4" s="15" t="str">
        <x:v>采用单位</x:v>
      </x:c>
      <x:c r="R4" s="15" t="str">
        <x:v>符号约定</x:v>
      </x:c>
      <x:c r="S4" s="15" t="str">
        <x:v>是否内部流</x:v>
      </x:c>
      <x:c r="T4" s="15" t="str">
        <x:v>方法采用状态</x:v>
      </x:c>
      <x:c r="U4" s="15" t="str">
        <x:v>来源ID</x:v>
      </x:c>
      <x:c r="V4" s="15" t="str">
        <x:v>审查状态</x:v>
      </x:c>
      <x:c r="W4" s="15" t="str">
        <x:v>是否显示</x:v>
      </x:c>
      <x:c r="X4" s="15" t="str">
        <x:v>显示标签</x:v>
      </x:c>
      <x:c r="Y4" s="16" t="str">
        <x:v>备注</x:v>
      </x:c>
      <x:c r="Z4" s="42" t="str">
        <x:v>采用候选ID</x:v>
      </x:c>
      <x:c r="AA4" s="42" t="str">
        <x:v>数值生成方式</x:v>
      </x:c>
      <x:c r="AB4" s="42" t="str">
        <x:v>原始计量基准</x:v>
      </x:c>
      <x:c r="AC4" s="42" t="str">
        <x:v>采用计量基准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30"/>
      <x:c r="J5" s="18"/>
      <x:c r="K5" s="18"/>
      <x:c r="L5" s="18"/>
      <x:c r="M5" s="18"/>
      <x:c r="N5" s="18"/>
      <x:c r="O5" s="18"/>
      <x:c r="P5" s="31"/>
      <x:c r="Q5" s="18"/>
      <x:c r="R5" s="18"/>
      <x:c r="S5" s="18"/>
      <x:c r="T5" s="18"/>
      <x:c r="U5" s="18"/>
      <x:c r="V5" s="18"/>
      <x:c r="W5" s="18"/>
      <x:c r="X5" s="18"/>
      <x:c r="Y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30"/>
      <x:c r="J6" s="18"/>
      <x:c r="K6" s="18"/>
      <x:c r="L6" s="18"/>
      <x:c r="M6" s="18"/>
      <x:c r="N6" s="18"/>
      <x:c r="O6" s="18"/>
      <x:c r="P6" s="31"/>
      <x:c r="Q6" s="18"/>
      <x:c r="R6" s="18"/>
      <x:c r="S6" s="18"/>
      <x:c r="T6" s="18"/>
      <x:c r="U6" s="18"/>
      <x:c r="V6" s="18"/>
      <x:c r="W6" s="18"/>
      <x:c r="X6" s="18"/>
      <x:c r="Y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30"/>
      <x:c r="J7" s="18"/>
      <x:c r="K7" s="18"/>
      <x:c r="L7" s="18"/>
      <x:c r="M7" s="18"/>
      <x:c r="N7" s="18"/>
      <x:c r="O7" s="18"/>
      <x:c r="P7" s="31"/>
      <x:c r="Q7" s="18"/>
      <x:c r="R7" s="18"/>
      <x:c r="S7" s="18"/>
      <x:c r="T7" s="18"/>
      <x:c r="U7" s="18"/>
      <x:c r="V7" s="18"/>
      <x:c r="W7" s="18"/>
      <x:c r="X7" s="18"/>
      <x:c r="Y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30"/>
      <x:c r="J8" s="18"/>
      <x:c r="K8" s="18"/>
      <x:c r="L8" s="18"/>
      <x:c r="M8" s="18"/>
      <x:c r="N8" s="18"/>
      <x:c r="O8" s="18"/>
      <x:c r="P8" s="31"/>
      <x:c r="Q8" s="18"/>
      <x:c r="R8" s="18"/>
      <x:c r="S8" s="18"/>
      <x:c r="T8" s="18"/>
      <x:c r="U8" s="18"/>
      <x:c r="V8" s="18"/>
      <x:c r="W8" s="18"/>
      <x:c r="X8" s="18"/>
      <x:c r="Y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30"/>
      <x:c r="J9" s="18"/>
      <x:c r="K9" s="18"/>
      <x:c r="L9" s="18"/>
      <x:c r="M9" s="18"/>
      <x:c r="N9" s="18"/>
      <x:c r="O9" s="18"/>
      <x:c r="P9" s="31"/>
      <x:c r="Q9" s="18"/>
      <x:c r="R9" s="18"/>
      <x:c r="S9" s="18"/>
      <x:c r="T9" s="18"/>
      <x:c r="U9" s="18"/>
      <x:c r="V9" s="18"/>
      <x:c r="W9" s="18"/>
      <x:c r="X9" s="18"/>
      <x:c r="Y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30"/>
      <x:c r="J10" s="18"/>
      <x:c r="K10" s="18"/>
      <x:c r="L10" s="18"/>
      <x:c r="M10" s="18"/>
      <x:c r="N10" s="18"/>
      <x:c r="O10" s="18"/>
      <x:c r="P10" s="31"/>
      <x:c r="Q10" s="18"/>
      <x:c r="R10" s="18"/>
      <x:c r="S10" s="18"/>
      <x:c r="T10" s="18"/>
      <x:c r="U10" s="18"/>
      <x:c r="V10" s="18"/>
      <x:c r="W10" s="18"/>
      <x:c r="X10" s="18"/>
      <x:c r="Y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30"/>
      <x:c r="J11" s="18"/>
      <x:c r="K11" s="18"/>
      <x:c r="L11" s="18"/>
      <x:c r="M11" s="18"/>
      <x:c r="N11" s="18"/>
      <x:c r="O11" s="18"/>
      <x:c r="P11" s="31"/>
      <x:c r="Q11" s="18"/>
      <x:c r="R11" s="18"/>
      <x:c r="S11" s="18"/>
      <x:c r="T11" s="18"/>
      <x:c r="U11" s="18"/>
      <x:c r="V11" s="18"/>
      <x:c r="W11" s="18"/>
      <x:c r="X11" s="18"/>
      <x:c r="Y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30"/>
      <x:c r="J12" s="18"/>
      <x:c r="K12" s="18"/>
      <x:c r="L12" s="18"/>
      <x:c r="M12" s="18"/>
      <x:c r="N12" s="18"/>
      <x:c r="O12" s="18"/>
      <x:c r="P12" s="31"/>
      <x:c r="Q12" s="18"/>
      <x:c r="R12" s="18"/>
      <x:c r="S12" s="18"/>
      <x:c r="T12" s="18"/>
      <x:c r="U12" s="18"/>
      <x:c r="V12" s="18"/>
      <x:c r="W12" s="18"/>
      <x:c r="X12" s="18"/>
      <x:c r="Y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30"/>
      <x:c r="J13" s="18"/>
      <x:c r="K13" s="18"/>
      <x:c r="L13" s="18"/>
      <x:c r="M13" s="18"/>
      <x:c r="N13" s="18"/>
      <x:c r="O13" s="18"/>
      <x:c r="P13" s="31"/>
      <x:c r="Q13" s="18"/>
      <x:c r="R13" s="18"/>
      <x:c r="S13" s="18"/>
      <x:c r="T13" s="18"/>
      <x:c r="U13" s="18"/>
      <x:c r="V13" s="18"/>
      <x:c r="W13" s="18"/>
      <x:c r="X13" s="18"/>
      <x:c r="Y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30"/>
      <x:c r="J14" s="18"/>
      <x:c r="K14" s="18"/>
      <x:c r="L14" s="18"/>
      <x:c r="M14" s="18"/>
      <x:c r="N14" s="18"/>
      <x:c r="O14" s="18"/>
      <x:c r="P14" s="31"/>
      <x:c r="Q14" s="18"/>
      <x:c r="R14" s="18"/>
      <x:c r="S14" s="18"/>
      <x:c r="T14" s="18"/>
      <x:c r="U14" s="18"/>
      <x:c r="V14" s="18"/>
      <x:c r="W14" s="18"/>
      <x:c r="X14" s="18"/>
      <x:c r="Y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30"/>
      <x:c r="J15" s="18"/>
      <x:c r="K15" s="18"/>
      <x:c r="L15" s="18"/>
      <x:c r="M15" s="18"/>
      <x:c r="N15" s="18"/>
      <x:c r="O15" s="18"/>
      <x:c r="P15" s="31"/>
      <x:c r="Q15" s="18"/>
      <x:c r="R15" s="18"/>
      <x:c r="S15" s="18"/>
      <x:c r="T15" s="18"/>
      <x:c r="U15" s="18"/>
      <x:c r="V15" s="18"/>
      <x:c r="W15" s="18"/>
      <x:c r="X15" s="18"/>
      <x:c r="Y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30"/>
      <x:c r="J16" s="18"/>
      <x:c r="K16" s="18"/>
      <x:c r="L16" s="18"/>
      <x:c r="M16" s="18"/>
      <x:c r="N16" s="18"/>
      <x:c r="O16" s="18"/>
      <x:c r="P16" s="31"/>
      <x:c r="Q16" s="18"/>
      <x:c r="R16" s="18"/>
      <x:c r="S16" s="18"/>
      <x:c r="T16" s="18"/>
      <x:c r="U16" s="18"/>
      <x:c r="V16" s="18"/>
      <x:c r="W16" s="18"/>
      <x:c r="X16" s="18"/>
      <x:c r="Y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30"/>
      <x:c r="J17" s="18"/>
      <x:c r="K17" s="18"/>
      <x:c r="L17" s="18"/>
      <x:c r="M17" s="18"/>
      <x:c r="N17" s="18"/>
      <x:c r="O17" s="18"/>
      <x:c r="P17" s="31"/>
      <x:c r="Q17" s="18"/>
      <x:c r="R17" s="18"/>
      <x:c r="S17" s="18"/>
      <x:c r="T17" s="18"/>
      <x:c r="U17" s="18"/>
      <x:c r="V17" s="18"/>
      <x:c r="W17" s="18"/>
      <x:c r="X17" s="18"/>
      <x:c r="Y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30"/>
      <x:c r="J18" s="18"/>
      <x:c r="K18" s="18"/>
      <x:c r="L18" s="18"/>
      <x:c r="M18" s="18"/>
      <x:c r="N18" s="18"/>
      <x:c r="O18" s="18"/>
      <x:c r="P18" s="31"/>
      <x:c r="Q18" s="18"/>
      <x:c r="R18" s="18"/>
      <x:c r="S18" s="18"/>
      <x:c r="T18" s="18"/>
      <x:c r="U18" s="18"/>
      <x:c r="V18" s="18"/>
      <x:c r="W18" s="18"/>
      <x:c r="X18" s="18"/>
      <x:c r="Y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30"/>
      <x:c r="J19" s="18"/>
      <x:c r="K19" s="18"/>
      <x:c r="L19" s="18"/>
      <x:c r="M19" s="18"/>
      <x:c r="N19" s="18"/>
      <x:c r="O19" s="18"/>
      <x:c r="P19" s="31"/>
      <x:c r="Q19" s="18"/>
      <x:c r="R19" s="18"/>
      <x:c r="S19" s="18"/>
      <x:c r="T19" s="18"/>
      <x:c r="U19" s="18"/>
      <x:c r="V19" s="18"/>
      <x:c r="W19" s="18"/>
      <x:c r="X19" s="18"/>
      <x:c r="Y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30"/>
      <x:c r="J20" s="18"/>
      <x:c r="K20" s="18"/>
      <x:c r="L20" s="18"/>
      <x:c r="M20" s="18"/>
      <x:c r="N20" s="18"/>
      <x:c r="O20" s="18"/>
      <x:c r="P20" s="31"/>
      <x:c r="Q20" s="18"/>
      <x:c r="R20" s="18"/>
      <x:c r="S20" s="18"/>
      <x:c r="T20" s="18"/>
      <x:c r="U20" s="18"/>
      <x:c r="V20" s="18"/>
      <x:c r="W20" s="18"/>
      <x:c r="X20" s="18"/>
      <x:c r="Y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30"/>
      <x:c r="J21" s="18"/>
      <x:c r="K21" s="18"/>
      <x:c r="L21" s="18"/>
      <x:c r="M21" s="18"/>
      <x:c r="N21" s="18"/>
      <x:c r="O21" s="18"/>
      <x:c r="P21" s="31"/>
      <x:c r="Q21" s="18"/>
      <x:c r="R21" s="18"/>
      <x:c r="S21" s="18"/>
      <x:c r="T21" s="18"/>
      <x:c r="U21" s="18"/>
      <x:c r="V21" s="18"/>
      <x:c r="W21" s="18"/>
      <x:c r="X21" s="18"/>
      <x:c r="Y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30"/>
      <x:c r="J22" s="18"/>
      <x:c r="K22" s="18"/>
      <x:c r="L22" s="18"/>
      <x:c r="M22" s="18"/>
      <x:c r="N22" s="18"/>
      <x:c r="O22" s="18"/>
      <x:c r="P22" s="31"/>
      <x:c r="Q22" s="18"/>
      <x:c r="R22" s="18"/>
      <x:c r="S22" s="18"/>
      <x:c r="T22" s="18"/>
      <x:c r="U22" s="18"/>
      <x:c r="V22" s="18"/>
      <x:c r="W22" s="18"/>
      <x:c r="X22" s="18"/>
      <x:c r="Y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30"/>
      <x:c r="J23" s="18"/>
      <x:c r="K23" s="18"/>
      <x:c r="L23" s="18"/>
      <x:c r="M23" s="18"/>
      <x:c r="N23" s="18"/>
      <x:c r="O23" s="18"/>
      <x:c r="P23" s="31"/>
      <x:c r="Q23" s="18"/>
      <x:c r="R23" s="18"/>
      <x:c r="S23" s="18"/>
      <x:c r="T23" s="18"/>
      <x:c r="U23" s="18"/>
      <x:c r="V23" s="18"/>
      <x:c r="W23" s="18"/>
      <x:c r="X23" s="18"/>
      <x:c r="Y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30"/>
      <x:c r="J24" s="18"/>
      <x:c r="K24" s="18"/>
      <x:c r="L24" s="18"/>
      <x:c r="M24" s="18"/>
      <x:c r="N24" s="18"/>
      <x:c r="O24" s="18"/>
      <x:c r="P24" s="31"/>
      <x:c r="Q24" s="18"/>
      <x:c r="R24" s="18"/>
      <x:c r="S24" s="18"/>
      <x:c r="T24" s="18"/>
      <x:c r="U24" s="18"/>
      <x:c r="V24" s="18"/>
      <x:c r="W24" s="18"/>
      <x:c r="X24" s="18"/>
      <x:c r="Y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30"/>
      <x:c r="J25" s="18"/>
      <x:c r="K25" s="18"/>
      <x:c r="L25" s="18"/>
      <x:c r="M25" s="18"/>
      <x:c r="N25" s="18"/>
      <x:c r="O25" s="18"/>
      <x:c r="P25" s="31"/>
      <x:c r="Q25" s="18"/>
      <x:c r="R25" s="18"/>
      <x:c r="S25" s="18"/>
      <x:c r="T25" s="18"/>
      <x:c r="U25" s="18"/>
      <x:c r="V25" s="18"/>
      <x:c r="W25" s="18"/>
      <x:c r="X25" s="18"/>
      <x:c r="Y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30"/>
      <x:c r="J26" s="18"/>
      <x:c r="K26" s="18"/>
      <x:c r="L26" s="18"/>
      <x:c r="M26" s="18"/>
      <x:c r="N26" s="18"/>
      <x:c r="O26" s="18"/>
      <x:c r="P26" s="31"/>
      <x:c r="Q26" s="18"/>
      <x:c r="R26" s="18"/>
      <x:c r="S26" s="18"/>
      <x:c r="T26" s="18"/>
      <x:c r="U26" s="18"/>
      <x:c r="V26" s="18"/>
      <x:c r="W26" s="18"/>
      <x:c r="X26" s="18"/>
      <x:c r="Y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30"/>
      <x:c r="J27" s="18"/>
      <x:c r="K27" s="18"/>
      <x:c r="L27" s="18"/>
      <x:c r="M27" s="18"/>
      <x:c r="N27" s="18"/>
      <x:c r="O27" s="18"/>
      <x:c r="P27" s="31"/>
      <x:c r="Q27" s="18"/>
      <x:c r="R27" s="18"/>
      <x:c r="S27" s="18"/>
      <x:c r="T27" s="18"/>
      <x:c r="U27" s="18"/>
      <x:c r="V27" s="18"/>
      <x:c r="W27" s="18"/>
      <x:c r="X27" s="18"/>
      <x:c r="Y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30"/>
      <x:c r="J28" s="18"/>
      <x:c r="K28" s="18"/>
      <x:c r="L28" s="18"/>
      <x:c r="M28" s="18"/>
      <x:c r="N28" s="18"/>
      <x:c r="O28" s="18"/>
      <x:c r="P28" s="31"/>
      <x:c r="Q28" s="18"/>
      <x:c r="R28" s="18"/>
      <x:c r="S28" s="18"/>
      <x:c r="T28" s="18"/>
      <x:c r="U28" s="18"/>
      <x:c r="V28" s="18"/>
      <x:c r="W28" s="18"/>
      <x:c r="X28" s="18"/>
      <x:c r="Y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30"/>
      <x:c r="J29" s="18"/>
      <x:c r="K29" s="18"/>
      <x:c r="L29" s="18"/>
      <x:c r="M29" s="18"/>
      <x:c r="N29" s="18"/>
      <x:c r="O29" s="18"/>
      <x:c r="P29" s="31"/>
      <x:c r="Q29" s="18"/>
      <x:c r="R29" s="18"/>
      <x:c r="S29" s="18"/>
      <x:c r="T29" s="18"/>
      <x:c r="U29" s="18"/>
      <x:c r="V29" s="18"/>
      <x:c r="W29" s="18"/>
      <x:c r="X29" s="18"/>
      <x:c r="Y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30"/>
      <x:c r="J30" s="18"/>
      <x:c r="K30" s="18"/>
      <x:c r="L30" s="18"/>
      <x:c r="M30" s="18"/>
      <x:c r="N30" s="18"/>
      <x:c r="O30" s="18"/>
      <x:c r="P30" s="31"/>
      <x:c r="Q30" s="18"/>
      <x:c r="R30" s="18"/>
      <x:c r="S30" s="18"/>
      <x:c r="T30" s="18"/>
      <x:c r="U30" s="18"/>
      <x:c r="V30" s="18"/>
      <x:c r="W30" s="18"/>
      <x:c r="X30" s="18"/>
      <x:c r="Y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30"/>
      <x:c r="J31" s="18"/>
      <x:c r="K31" s="18"/>
      <x:c r="L31" s="18"/>
      <x:c r="M31" s="18"/>
      <x:c r="N31" s="18"/>
      <x:c r="O31" s="18"/>
      <x:c r="P31" s="31"/>
      <x:c r="Q31" s="18"/>
      <x:c r="R31" s="18"/>
      <x:c r="S31" s="18"/>
      <x:c r="T31" s="18"/>
      <x:c r="U31" s="18"/>
      <x:c r="V31" s="18"/>
      <x:c r="W31" s="18"/>
      <x:c r="X31" s="18"/>
      <x:c r="Y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30"/>
      <x:c r="J32" s="18"/>
      <x:c r="K32" s="18"/>
      <x:c r="L32" s="18"/>
      <x:c r="M32" s="18"/>
      <x:c r="N32" s="18"/>
      <x:c r="O32" s="18"/>
      <x:c r="P32" s="31"/>
      <x:c r="Q32" s="18"/>
      <x:c r="R32" s="18"/>
      <x:c r="S32" s="18"/>
      <x:c r="T32" s="18"/>
      <x:c r="U32" s="18"/>
      <x:c r="V32" s="18"/>
      <x:c r="W32" s="18"/>
      <x:c r="X32" s="18"/>
      <x:c r="Y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30"/>
      <x:c r="J33" s="18"/>
      <x:c r="K33" s="18"/>
      <x:c r="L33" s="18"/>
      <x:c r="M33" s="18"/>
      <x:c r="N33" s="18"/>
      <x:c r="O33" s="18"/>
      <x:c r="P33" s="31"/>
      <x:c r="Q33" s="18"/>
      <x:c r="R33" s="18"/>
      <x:c r="S33" s="18"/>
      <x:c r="T33" s="18"/>
      <x:c r="U33" s="18"/>
      <x:c r="V33" s="18"/>
      <x:c r="W33" s="18"/>
      <x:c r="X33" s="18"/>
      <x:c r="Y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30"/>
      <x:c r="J34" s="18"/>
      <x:c r="K34" s="18"/>
      <x:c r="L34" s="18"/>
      <x:c r="M34" s="18"/>
      <x:c r="N34" s="18"/>
      <x:c r="O34" s="18"/>
      <x:c r="P34" s="31"/>
      <x:c r="Q34" s="18"/>
      <x:c r="R34" s="18"/>
      <x:c r="S34" s="18"/>
      <x:c r="T34" s="18"/>
      <x:c r="U34" s="18"/>
      <x:c r="V34" s="18"/>
      <x:c r="W34" s="18"/>
      <x:c r="X34" s="18"/>
      <x:c r="Y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30"/>
      <x:c r="J35" s="18"/>
      <x:c r="K35" s="18"/>
      <x:c r="L35" s="18"/>
      <x:c r="M35" s="18"/>
      <x:c r="N35" s="18"/>
      <x:c r="O35" s="18"/>
      <x:c r="P35" s="31"/>
      <x:c r="Q35" s="18"/>
      <x:c r="R35" s="18"/>
      <x:c r="S35" s="18"/>
      <x:c r="T35" s="18"/>
      <x:c r="U35" s="18"/>
      <x:c r="V35" s="18"/>
      <x:c r="W35" s="18"/>
      <x:c r="X35" s="18"/>
      <x:c r="Y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30"/>
      <x:c r="J36" s="18"/>
      <x:c r="K36" s="18"/>
      <x:c r="L36" s="18"/>
      <x:c r="M36" s="18"/>
      <x:c r="N36" s="18"/>
      <x:c r="O36" s="18"/>
      <x:c r="P36" s="31"/>
      <x:c r="Q36" s="18"/>
      <x:c r="R36" s="18"/>
      <x:c r="S36" s="18"/>
      <x:c r="T36" s="18"/>
      <x:c r="U36" s="18"/>
      <x:c r="V36" s="18"/>
      <x:c r="W36" s="18"/>
      <x:c r="X36" s="18"/>
      <x:c r="Y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30"/>
      <x:c r="J37" s="18"/>
      <x:c r="K37" s="18"/>
      <x:c r="L37" s="18"/>
      <x:c r="M37" s="18"/>
      <x:c r="N37" s="18"/>
      <x:c r="O37" s="18"/>
      <x:c r="P37" s="31"/>
      <x:c r="Q37" s="18"/>
      <x:c r="R37" s="18"/>
      <x:c r="S37" s="18"/>
      <x:c r="T37" s="18"/>
      <x:c r="U37" s="18"/>
      <x:c r="V37" s="18"/>
      <x:c r="W37" s="18"/>
      <x:c r="X37" s="18"/>
      <x:c r="Y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30"/>
      <x:c r="J38" s="18"/>
      <x:c r="K38" s="18"/>
      <x:c r="L38" s="18"/>
      <x:c r="M38" s="18"/>
      <x:c r="N38" s="18"/>
      <x:c r="O38" s="18"/>
      <x:c r="P38" s="31"/>
      <x:c r="Q38" s="18"/>
      <x:c r="R38" s="18"/>
      <x:c r="S38" s="18"/>
      <x:c r="T38" s="18"/>
      <x:c r="U38" s="18"/>
      <x:c r="V38" s="18"/>
      <x:c r="W38" s="18"/>
      <x:c r="X38" s="18"/>
      <x:c r="Y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30"/>
      <x:c r="J39" s="18"/>
      <x:c r="K39" s="18"/>
      <x:c r="L39" s="18"/>
      <x:c r="M39" s="18"/>
      <x:c r="N39" s="18"/>
      <x:c r="O39" s="18"/>
      <x:c r="P39" s="31"/>
      <x:c r="Q39" s="18"/>
      <x:c r="R39" s="18"/>
      <x:c r="S39" s="18"/>
      <x:c r="T39" s="18"/>
      <x:c r="U39" s="18"/>
      <x:c r="V39" s="18"/>
      <x:c r="W39" s="18"/>
      <x:c r="X39" s="18"/>
      <x:c r="Y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30"/>
      <x:c r="J40" s="18"/>
      <x:c r="K40" s="18"/>
      <x:c r="L40" s="18"/>
      <x:c r="M40" s="18"/>
      <x:c r="N40" s="18"/>
      <x:c r="O40" s="18"/>
      <x:c r="P40" s="31"/>
      <x:c r="Q40" s="18"/>
      <x:c r="R40" s="18"/>
      <x:c r="S40" s="18"/>
      <x:c r="T40" s="18"/>
      <x:c r="U40" s="18"/>
      <x:c r="V40" s="18"/>
      <x:c r="W40" s="18"/>
      <x:c r="X40" s="18"/>
      <x:c r="Y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30"/>
      <x:c r="J41" s="18"/>
      <x:c r="K41" s="18"/>
      <x:c r="L41" s="18"/>
      <x:c r="M41" s="18"/>
      <x:c r="N41" s="18"/>
      <x:c r="O41" s="18"/>
      <x:c r="P41" s="31"/>
      <x:c r="Q41" s="18"/>
      <x:c r="R41" s="18"/>
      <x:c r="S41" s="18"/>
      <x:c r="T41" s="18"/>
      <x:c r="U41" s="18"/>
      <x:c r="V41" s="18"/>
      <x:c r="W41" s="18"/>
      <x:c r="X41" s="18"/>
      <x:c r="Y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30"/>
      <x:c r="J42" s="18"/>
      <x:c r="K42" s="18"/>
      <x:c r="L42" s="18"/>
      <x:c r="M42" s="18"/>
      <x:c r="N42" s="18"/>
      <x:c r="O42" s="18"/>
      <x:c r="P42" s="31"/>
      <x:c r="Q42" s="18"/>
      <x:c r="R42" s="18"/>
      <x:c r="S42" s="18"/>
      <x:c r="T42" s="18"/>
      <x:c r="U42" s="18"/>
      <x:c r="V42" s="18"/>
      <x:c r="W42" s="18"/>
      <x:c r="X42" s="18"/>
      <x:c r="Y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30"/>
      <x:c r="J43" s="18"/>
      <x:c r="K43" s="18"/>
      <x:c r="L43" s="18"/>
      <x:c r="M43" s="18"/>
      <x:c r="N43" s="18"/>
      <x:c r="O43" s="18"/>
      <x:c r="P43" s="31"/>
      <x:c r="Q43" s="18"/>
      <x:c r="R43" s="18"/>
      <x:c r="S43" s="18"/>
      <x:c r="T43" s="18"/>
      <x:c r="U43" s="18"/>
      <x:c r="V43" s="18"/>
      <x:c r="W43" s="18"/>
      <x:c r="X43" s="18"/>
      <x:c r="Y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30"/>
      <x:c r="J44" s="18"/>
      <x:c r="K44" s="18"/>
      <x:c r="L44" s="18"/>
      <x:c r="M44" s="18"/>
      <x:c r="N44" s="18"/>
      <x:c r="O44" s="18"/>
      <x:c r="P44" s="31"/>
      <x:c r="Q44" s="18"/>
      <x:c r="R44" s="18"/>
      <x:c r="S44" s="18"/>
      <x:c r="T44" s="18"/>
      <x:c r="U44" s="18"/>
      <x:c r="V44" s="18"/>
      <x:c r="W44" s="18"/>
      <x:c r="X44" s="18"/>
      <x:c r="Y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30"/>
      <x:c r="J45" s="18"/>
      <x:c r="K45" s="18"/>
      <x:c r="L45" s="18"/>
      <x:c r="M45" s="18"/>
      <x:c r="N45" s="18"/>
      <x:c r="O45" s="18"/>
      <x:c r="P45" s="31"/>
      <x:c r="Q45" s="18"/>
      <x:c r="R45" s="18"/>
      <x:c r="S45" s="18"/>
      <x:c r="T45" s="18"/>
      <x:c r="U45" s="18"/>
      <x:c r="V45" s="18"/>
      <x:c r="W45" s="18"/>
      <x:c r="X45" s="18"/>
      <x:c r="Y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30"/>
      <x:c r="J46" s="18"/>
      <x:c r="K46" s="18"/>
      <x:c r="L46" s="18"/>
      <x:c r="M46" s="18"/>
      <x:c r="N46" s="18"/>
      <x:c r="O46" s="18"/>
      <x:c r="P46" s="31"/>
      <x:c r="Q46" s="18"/>
      <x:c r="R46" s="18"/>
      <x:c r="S46" s="18"/>
      <x:c r="T46" s="18"/>
      <x:c r="U46" s="18"/>
      <x:c r="V46" s="18"/>
      <x:c r="W46" s="18"/>
      <x:c r="X46" s="18"/>
      <x:c r="Y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30"/>
      <x:c r="J47" s="18"/>
      <x:c r="K47" s="18"/>
      <x:c r="L47" s="18"/>
      <x:c r="M47" s="18"/>
      <x:c r="N47" s="18"/>
      <x:c r="O47" s="18"/>
      <x:c r="P47" s="31"/>
      <x:c r="Q47" s="18"/>
      <x:c r="R47" s="18"/>
      <x:c r="S47" s="18"/>
      <x:c r="T47" s="18"/>
      <x:c r="U47" s="18"/>
      <x:c r="V47" s="18"/>
      <x:c r="W47" s="18"/>
      <x:c r="X47" s="18"/>
      <x:c r="Y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30"/>
      <x:c r="J48" s="18"/>
      <x:c r="K48" s="18"/>
      <x:c r="L48" s="18"/>
      <x:c r="M48" s="18"/>
      <x:c r="N48" s="18"/>
      <x:c r="O48" s="18"/>
      <x:c r="P48" s="31"/>
      <x:c r="Q48" s="18"/>
      <x:c r="R48" s="18"/>
      <x:c r="S48" s="18"/>
      <x:c r="T48" s="18"/>
      <x:c r="U48" s="18"/>
      <x:c r="V48" s="18"/>
      <x:c r="W48" s="18"/>
      <x:c r="X48" s="18"/>
      <x:c r="Y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30"/>
      <x:c r="J49" s="18"/>
      <x:c r="K49" s="18"/>
      <x:c r="L49" s="18"/>
      <x:c r="M49" s="18"/>
      <x:c r="N49" s="18"/>
      <x:c r="O49" s="18"/>
      <x:c r="P49" s="31"/>
      <x:c r="Q49" s="18"/>
      <x:c r="R49" s="18"/>
      <x:c r="S49" s="18"/>
      <x:c r="T49" s="18"/>
      <x:c r="U49" s="18"/>
      <x:c r="V49" s="18"/>
      <x:c r="W49" s="18"/>
      <x:c r="X49" s="18"/>
      <x:c r="Y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30"/>
      <x:c r="J50" s="18"/>
      <x:c r="K50" s="18"/>
      <x:c r="L50" s="18"/>
      <x:c r="M50" s="18"/>
      <x:c r="N50" s="18"/>
      <x:c r="O50" s="18"/>
      <x:c r="P50" s="31"/>
      <x:c r="Q50" s="18"/>
      <x:c r="R50" s="18"/>
      <x:c r="S50" s="18"/>
      <x:c r="T50" s="18"/>
      <x:c r="U50" s="18"/>
      <x:c r="V50" s="18"/>
      <x:c r="W50" s="18"/>
      <x:c r="X50" s="18"/>
      <x:c r="Y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30"/>
      <x:c r="J51" s="18"/>
      <x:c r="K51" s="18"/>
      <x:c r="L51" s="18"/>
      <x:c r="M51" s="18"/>
      <x:c r="N51" s="18"/>
      <x:c r="O51" s="18"/>
      <x:c r="P51" s="31"/>
      <x:c r="Q51" s="18"/>
      <x:c r="R51" s="18"/>
      <x:c r="S51" s="18"/>
      <x:c r="T51" s="18"/>
      <x:c r="U51" s="18"/>
      <x:c r="V51" s="18"/>
      <x:c r="W51" s="18"/>
      <x:c r="X51" s="18"/>
      <x:c r="Y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30"/>
      <x:c r="J52" s="18"/>
      <x:c r="K52" s="18"/>
      <x:c r="L52" s="18"/>
      <x:c r="M52" s="18"/>
      <x:c r="N52" s="18"/>
      <x:c r="O52" s="18"/>
      <x:c r="P52" s="31"/>
      <x:c r="Q52" s="18"/>
      <x:c r="R52" s="18"/>
      <x:c r="S52" s="18"/>
      <x:c r="T52" s="18"/>
      <x:c r="U52" s="18"/>
      <x:c r="V52" s="18"/>
      <x:c r="W52" s="18"/>
      <x:c r="X52" s="18"/>
      <x:c r="Y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30"/>
      <x:c r="J53" s="18"/>
      <x:c r="K53" s="18"/>
      <x:c r="L53" s="18"/>
      <x:c r="M53" s="18"/>
      <x:c r="N53" s="18"/>
      <x:c r="O53" s="18"/>
      <x:c r="P53" s="31"/>
      <x:c r="Q53" s="18"/>
      <x:c r="R53" s="18"/>
      <x:c r="S53" s="18"/>
      <x:c r="T53" s="18"/>
      <x:c r="U53" s="18"/>
      <x:c r="V53" s="18"/>
      <x:c r="W53" s="18"/>
      <x:c r="X53" s="18"/>
      <x:c r="Y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30"/>
      <x:c r="J54" s="18"/>
      <x:c r="K54" s="18"/>
      <x:c r="L54" s="18"/>
      <x:c r="M54" s="18"/>
      <x:c r="N54" s="18"/>
      <x:c r="O54" s="18"/>
      <x:c r="P54" s="31"/>
      <x:c r="Q54" s="18"/>
      <x:c r="R54" s="18"/>
      <x:c r="S54" s="18"/>
      <x:c r="T54" s="18"/>
      <x:c r="U54" s="18"/>
      <x:c r="V54" s="18"/>
      <x:c r="W54" s="18"/>
      <x:c r="X54" s="18"/>
      <x:c r="Y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30"/>
      <x:c r="J55" s="18"/>
      <x:c r="K55" s="18"/>
      <x:c r="L55" s="18"/>
      <x:c r="M55" s="18"/>
      <x:c r="N55" s="18"/>
      <x:c r="O55" s="18"/>
      <x:c r="P55" s="31"/>
      <x:c r="Q55" s="18"/>
      <x:c r="R55" s="18"/>
      <x:c r="S55" s="18"/>
      <x:c r="T55" s="18"/>
      <x:c r="U55" s="18"/>
      <x:c r="V55" s="18"/>
      <x:c r="W55" s="18"/>
      <x:c r="X55" s="18"/>
      <x:c r="Y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30"/>
      <x:c r="J56" s="18"/>
      <x:c r="K56" s="18"/>
      <x:c r="L56" s="18"/>
      <x:c r="M56" s="18"/>
      <x:c r="N56" s="18"/>
      <x:c r="O56" s="18"/>
      <x:c r="P56" s="31"/>
      <x:c r="Q56" s="18"/>
      <x:c r="R56" s="18"/>
      <x:c r="S56" s="18"/>
      <x:c r="T56" s="18"/>
      <x:c r="U56" s="18"/>
      <x:c r="V56" s="18"/>
      <x:c r="W56" s="18"/>
      <x:c r="X56" s="18"/>
      <x:c r="Y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30"/>
      <x:c r="J57" s="18"/>
      <x:c r="K57" s="18"/>
      <x:c r="L57" s="18"/>
      <x:c r="M57" s="18"/>
      <x:c r="N57" s="18"/>
      <x:c r="O57" s="18"/>
      <x:c r="P57" s="31"/>
      <x:c r="Q57" s="18"/>
      <x:c r="R57" s="18"/>
      <x:c r="S57" s="18"/>
      <x:c r="T57" s="18"/>
      <x:c r="U57" s="18"/>
      <x:c r="V57" s="18"/>
      <x:c r="W57" s="18"/>
      <x:c r="X57" s="18"/>
      <x:c r="Y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30"/>
      <x:c r="J58" s="18"/>
      <x:c r="K58" s="18"/>
      <x:c r="L58" s="18"/>
      <x:c r="M58" s="18"/>
      <x:c r="N58" s="18"/>
      <x:c r="O58" s="18"/>
      <x:c r="P58" s="31"/>
      <x:c r="Q58" s="18"/>
      <x:c r="R58" s="18"/>
      <x:c r="S58" s="18"/>
      <x:c r="T58" s="18"/>
      <x:c r="U58" s="18"/>
      <x:c r="V58" s="18"/>
      <x:c r="W58" s="18"/>
      <x:c r="X58" s="18"/>
      <x:c r="Y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30"/>
      <x:c r="J59" s="18"/>
      <x:c r="K59" s="18"/>
      <x:c r="L59" s="18"/>
      <x:c r="M59" s="18"/>
      <x:c r="N59" s="18"/>
      <x:c r="O59" s="18"/>
      <x:c r="P59" s="31"/>
      <x:c r="Q59" s="18"/>
      <x:c r="R59" s="18"/>
      <x:c r="S59" s="18"/>
      <x:c r="T59" s="18"/>
      <x:c r="U59" s="18"/>
      <x:c r="V59" s="18"/>
      <x:c r="W59" s="18"/>
      <x:c r="X59" s="18"/>
      <x:c r="Y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30"/>
      <x:c r="J60" s="18"/>
      <x:c r="K60" s="18"/>
      <x:c r="L60" s="18"/>
      <x:c r="M60" s="18"/>
      <x:c r="N60" s="18"/>
      <x:c r="O60" s="18"/>
      <x:c r="P60" s="31"/>
      <x:c r="Q60" s="18"/>
      <x:c r="R60" s="18"/>
      <x:c r="S60" s="18"/>
      <x:c r="T60" s="18"/>
      <x:c r="U60" s="18"/>
      <x:c r="V60" s="18"/>
      <x:c r="W60" s="18"/>
      <x:c r="X60" s="18"/>
      <x:c r="Y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30"/>
      <x:c r="J61" s="18"/>
      <x:c r="K61" s="18"/>
      <x:c r="L61" s="18"/>
      <x:c r="M61" s="18"/>
      <x:c r="N61" s="18"/>
      <x:c r="O61" s="18"/>
      <x:c r="P61" s="31"/>
      <x:c r="Q61" s="18"/>
      <x:c r="R61" s="18"/>
      <x:c r="S61" s="18"/>
      <x:c r="T61" s="18"/>
      <x:c r="U61" s="18"/>
      <x:c r="V61" s="18"/>
      <x:c r="W61" s="18"/>
      <x:c r="X61" s="18"/>
      <x:c r="Y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30"/>
      <x:c r="J62" s="18"/>
      <x:c r="K62" s="18"/>
      <x:c r="L62" s="18"/>
      <x:c r="M62" s="18"/>
      <x:c r="N62" s="18"/>
      <x:c r="O62" s="18"/>
      <x:c r="P62" s="31"/>
      <x:c r="Q62" s="18"/>
      <x:c r="R62" s="18"/>
      <x:c r="S62" s="18"/>
      <x:c r="T62" s="18"/>
      <x:c r="U62" s="18"/>
      <x:c r="V62" s="18"/>
      <x:c r="W62" s="18"/>
      <x:c r="X62" s="18"/>
      <x:c r="Y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30"/>
      <x:c r="J63" s="18"/>
      <x:c r="K63" s="18"/>
      <x:c r="L63" s="18"/>
      <x:c r="M63" s="18"/>
      <x:c r="N63" s="18"/>
      <x:c r="O63" s="18"/>
      <x:c r="P63" s="31"/>
      <x:c r="Q63" s="18"/>
      <x:c r="R63" s="18"/>
      <x:c r="S63" s="18"/>
      <x:c r="T63" s="18"/>
      <x:c r="U63" s="18"/>
      <x:c r="V63" s="18"/>
      <x:c r="W63" s="18"/>
      <x:c r="X63" s="18"/>
      <x:c r="Y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30"/>
      <x:c r="J64" s="18"/>
      <x:c r="K64" s="18"/>
      <x:c r="L64" s="18"/>
      <x:c r="M64" s="18"/>
      <x:c r="N64" s="18"/>
      <x:c r="O64" s="18"/>
      <x:c r="P64" s="31"/>
      <x:c r="Q64" s="18"/>
      <x:c r="R64" s="18"/>
      <x:c r="S64" s="18"/>
      <x:c r="T64" s="18"/>
      <x:c r="U64" s="18"/>
      <x:c r="V64" s="18"/>
      <x:c r="W64" s="18"/>
      <x:c r="X64" s="18"/>
      <x:c r="Y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30"/>
      <x:c r="J65" s="18"/>
      <x:c r="K65" s="18"/>
      <x:c r="L65" s="18"/>
      <x:c r="M65" s="18"/>
      <x:c r="N65" s="18"/>
      <x:c r="O65" s="18"/>
      <x:c r="P65" s="31"/>
      <x:c r="Q65" s="18"/>
      <x:c r="R65" s="18"/>
      <x:c r="S65" s="18"/>
      <x:c r="T65" s="18"/>
      <x:c r="U65" s="18"/>
      <x:c r="V65" s="18"/>
      <x:c r="W65" s="18"/>
      <x:c r="X65" s="18"/>
      <x:c r="Y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30"/>
      <x:c r="J66" s="18"/>
      <x:c r="K66" s="18"/>
      <x:c r="L66" s="18"/>
      <x:c r="M66" s="18"/>
      <x:c r="N66" s="18"/>
      <x:c r="O66" s="18"/>
      <x:c r="P66" s="31"/>
      <x:c r="Q66" s="18"/>
      <x:c r="R66" s="18"/>
      <x:c r="S66" s="18"/>
      <x:c r="T66" s="18"/>
      <x:c r="U66" s="18"/>
      <x:c r="V66" s="18"/>
      <x:c r="W66" s="18"/>
      <x:c r="X66" s="18"/>
      <x:c r="Y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30"/>
      <x:c r="J67" s="18"/>
      <x:c r="K67" s="18"/>
      <x:c r="L67" s="18"/>
      <x:c r="M67" s="18"/>
      <x:c r="N67" s="18"/>
      <x:c r="O67" s="18"/>
      <x:c r="P67" s="31"/>
      <x:c r="Q67" s="18"/>
      <x:c r="R67" s="18"/>
      <x:c r="S67" s="18"/>
      <x:c r="T67" s="18"/>
      <x:c r="U67" s="18"/>
      <x:c r="V67" s="18"/>
      <x:c r="W67" s="18"/>
      <x:c r="X67" s="18"/>
      <x:c r="Y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30"/>
      <x:c r="J68" s="18"/>
      <x:c r="K68" s="18"/>
      <x:c r="L68" s="18"/>
      <x:c r="M68" s="18"/>
      <x:c r="N68" s="18"/>
      <x:c r="O68" s="18"/>
      <x:c r="P68" s="31"/>
      <x:c r="Q68" s="18"/>
      <x:c r="R68" s="18"/>
      <x:c r="S68" s="18"/>
      <x:c r="T68" s="18"/>
      <x:c r="U68" s="18"/>
      <x:c r="V68" s="18"/>
      <x:c r="W68" s="18"/>
      <x:c r="X68" s="18"/>
      <x:c r="Y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30"/>
      <x:c r="J69" s="18"/>
      <x:c r="K69" s="18"/>
      <x:c r="L69" s="18"/>
      <x:c r="M69" s="18"/>
      <x:c r="N69" s="18"/>
      <x:c r="O69" s="18"/>
      <x:c r="P69" s="31"/>
      <x:c r="Q69" s="18"/>
      <x:c r="R69" s="18"/>
      <x:c r="S69" s="18"/>
      <x:c r="T69" s="18"/>
      <x:c r="U69" s="18"/>
      <x:c r="V69" s="18"/>
      <x:c r="W69" s="18"/>
      <x:c r="X69" s="18"/>
      <x:c r="Y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30"/>
      <x:c r="J70" s="18"/>
      <x:c r="K70" s="18"/>
      <x:c r="L70" s="18"/>
      <x:c r="M70" s="18"/>
      <x:c r="N70" s="18"/>
      <x:c r="O70" s="18"/>
      <x:c r="P70" s="31"/>
      <x:c r="Q70" s="18"/>
      <x:c r="R70" s="18"/>
      <x:c r="S70" s="18"/>
      <x:c r="T70" s="18"/>
      <x:c r="U70" s="18"/>
      <x:c r="V70" s="18"/>
      <x:c r="W70" s="18"/>
      <x:c r="X70" s="18"/>
      <x:c r="Y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30"/>
      <x:c r="J71" s="18"/>
      <x:c r="K71" s="18"/>
      <x:c r="L71" s="18"/>
      <x:c r="M71" s="18"/>
      <x:c r="N71" s="18"/>
      <x:c r="O71" s="18"/>
      <x:c r="P71" s="31"/>
      <x:c r="Q71" s="18"/>
      <x:c r="R71" s="18"/>
      <x:c r="S71" s="18"/>
      <x:c r="T71" s="18"/>
      <x:c r="U71" s="18"/>
      <x:c r="V71" s="18"/>
      <x:c r="W71" s="18"/>
      <x:c r="X71" s="18"/>
      <x:c r="Y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30"/>
      <x:c r="J72" s="18"/>
      <x:c r="K72" s="18"/>
      <x:c r="L72" s="18"/>
      <x:c r="M72" s="18"/>
      <x:c r="N72" s="18"/>
      <x:c r="O72" s="18"/>
      <x:c r="P72" s="31"/>
      <x:c r="Q72" s="18"/>
      <x:c r="R72" s="18"/>
      <x:c r="S72" s="18"/>
      <x:c r="T72" s="18"/>
      <x:c r="U72" s="18"/>
      <x:c r="V72" s="18"/>
      <x:c r="W72" s="18"/>
      <x:c r="X72" s="18"/>
      <x:c r="Y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30"/>
      <x:c r="J73" s="18"/>
      <x:c r="K73" s="18"/>
      <x:c r="L73" s="18"/>
      <x:c r="M73" s="18"/>
      <x:c r="N73" s="18"/>
      <x:c r="O73" s="18"/>
      <x:c r="P73" s="31"/>
      <x:c r="Q73" s="18"/>
      <x:c r="R73" s="18"/>
      <x:c r="S73" s="18"/>
      <x:c r="T73" s="18"/>
      <x:c r="U73" s="18"/>
      <x:c r="V73" s="18"/>
      <x:c r="W73" s="18"/>
      <x:c r="X73" s="18"/>
      <x:c r="Y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30"/>
      <x:c r="J74" s="18"/>
      <x:c r="K74" s="18"/>
      <x:c r="L74" s="18"/>
      <x:c r="M74" s="18"/>
      <x:c r="N74" s="18"/>
      <x:c r="O74" s="18"/>
      <x:c r="P74" s="31"/>
      <x:c r="Q74" s="18"/>
      <x:c r="R74" s="18"/>
      <x:c r="S74" s="18"/>
      <x:c r="T74" s="18"/>
      <x:c r="U74" s="18"/>
      <x:c r="V74" s="18"/>
      <x:c r="W74" s="18"/>
      <x:c r="X74" s="18"/>
      <x:c r="Y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30"/>
      <x:c r="J75" s="18"/>
      <x:c r="K75" s="18"/>
      <x:c r="L75" s="18"/>
      <x:c r="M75" s="18"/>
      <x:c r="N75" s="18"/>
      <x:c r="O75" s="18"/>
      <x:c r="P75" s="31"/>
      <x:c r="Q75" s="18"/>
      <x:c r="R75" s="18"/>
      <x:c r="S75" s="18"/>
      <x:c r="T75" s="18"/>
      <x:c r="U75" s="18"/>
      <x:c r="V75" s="18"/>
      <x:c r="W75" s="18"/>
      <x:c r="X75" s="18"/>
      <x:c r="Y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30"/>
      <x:c r="J76" s="18"/>
      <x:c r="K76" s="18"/>
      <x:c r="L76" s="18"/>
      <x:c r="M76" s="18"/>
      <x:c r="N76" s="18"/>
      <x:c r="O76" s="18"/>
      <x:c r="P76" s="31"/>
      <x:c r="Q76" s="18"/>
      <x:c r="R76" s="18"/>
      <x:c r="S76" s="18"/>
      <x:c r="T76" s="18"/>
      <x:c r="U76" s="18"/>
      <x:c r="V76" s="18"/>
      <x:c r="W76" s="18"/>
      <x:c r="X76" s="18"/>
      <x:c r="Y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30"/>
      <x:c r="J77" s="18"/>
      <x:c r="K77" s="18"/>
      <x:c r="L77" s="18"/>
      <x:c r="M77" s="18"/>
      <x:c r="N77" s="18"/>
      <x:c r="O77" s="18"/>
      <x:c r="P77" s="31"/>
      <x:c r="Q77" s="18"/>
      <x:c r="R77" s="18"/>
      <x:c r="S77" s="18"/>
      <x:c r="T77" s="18"/>
      <x:c r="U77" s="18"/>
      <x:c r="V77" s="18"/>
      <x:c r="W77" s="18"/>
      <x:c r="X77" s="18"/>
      <x:c r="Y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30"/>
      <x:c r="J78" s="18"/>
      <x:c r="K78" s="18"/>
      <x:c r="L78" s="18"/>
      <x:c r="M78" s="18"/>
      <x:c r="N78" s="18"/>
      <x:c r="O78" s="18"/>
      <x:c r="P78" s="31"/>
      <x:c r="Q78" s="18"/>
      <x:c r="R78" s="18"/>
      <x:c r="S78" s="18"/>
      <x:c r="T78" s="18"/>
      <x:c r="U78" s="18"/>
      <x:c r="V78" s="18"/>
      <x:c r="W78" s="18"/>
      <x:c r="X78" s="18"/>
      <x:c r="Y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30"/>
      <x:c r="J79" s="18"/>
      <x:c r="K79" s="18"/>
      <x:c r="L79" s="18"/>
      <x:c r="M79" s="18"/>
      <x:c r="N79" s="18"/>
      <x:c r="O79" s="18"/>
      <x:c r="P79" s="31"/>
      <x:c r="Q79" s="18"/>
      <x:c r="R79" s="18"/>
      <x:c r="S79" s="18"/>
      <x:c r="T79" s="18"/>
      <x:c r="U79" s="18"/>
      <x:c r="V79" s="18"/>
      <x:c r="W79" s="18"/>
      <x:c r="X79" s="18"/>
      <x:c r="Y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30"/>
      <x:c r="J80" s="18"/>
      <x:c r="K80" s="18"/>
      <x:c r="L80" s="18"/>
      <x:c r="M80" s="18"/>
      <x:c r="N80" s="18"/>
      <x:c r="O80" s="18"/>
      <x:c r="P80" s="31"/>
      <x:c r="Q80" s="18"/>
      <x:c r="R80" s="18"/>
      <x:c r="S80" s="18"/>
      <x:c r="T80" s="18"/>
      <x:c r="U80" s="18"/>
      <x:c r="V80" s="18"/>
      <x:c r="W80" s="18"/>
      <x:c r="X80" s="18"/>
      <x:c r="Y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30"/>
      <x:c r="J81" s="18"/>
      <x:c r="K81" s="18"/>
      <x:c r="L81" s="18"/>
      <x:c r="M81" s="18"/>
      <x:c r="N81" s="18"/>
      <x:c r="O81" s="18"/>
      <x:c r="P81" s="31"/>
      <x:c r="Q81" s="18"/>
      <x:c r="R81" s="18"/>
      <x:c r="S81" s="18"/>
      <x:c r="T81" s="18"/>
      <x:c r="U81" s="18"/>
      <x:c r="V81" s="18"/>
      <x:c r="W81" s="18"/>
      <x:c r="X81" s="18"/>
      <x:c r="Y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30"/>
      <x:c r="J82" s="18"/>
      <x:c r="K82" s="18"/>
      <x:c r="L82" s="18"/>
      <x:c r="M82" s="18"/>
      <x:c r="N82" s="18"/>
      <x:c r="O82" s="18"/>
      <x:c r="P82" s="31"/>
      <x:c r="Q82" s="18"/>
      <x:c r="R82" s="18"/>
      <x:c r="S82" s="18"/>
      <x:c r="T82" s="18"/>
      <x:c r="U82" s="18"/>
      <x:c r="V82" s="18"/>
      <x:c r="W82" s="18"/>
      <x:c r="X82" s="18"/>
      <x:c r="Y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30"/>
      <x:c r="J83" s="18"/>
      <x:c r="K83" s="18"/>
      <x:c r="L83" s="18"/>
      <x:c r="M83" s="18"/>
      <x:c r="N83" s="18"/>
      <x:c r="O83" s="18"/>
      <x:c r="P83" s="31"/>
      <x:c r="Q83" s="18"/>
      <x:c r="R83" s="18"/>
      <x:c r="S83" s="18"/>
      <x:c r="T83" s="18"/>
      <x:c r="U83" s="18"/>
      <x:c r="V83" s="18"/>
      <x:c r="W83" s="18"/>
      <x:c r="X83" s="18"/>
      <x:c r="Y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30"/>
      <x:c r="J84" s="18"/>
      <x:c r="K84" s="18"/>
      <x:c r="L84" s="18"/>
      <x:c r="M84" s="18"/>
      <x:c r="N84" s="18"/>
      <x:c r="O84" s="18"/>
      <x:c r="P84" s="31"/>
      <x:c r="Q84" s="18"/>
      <x:c r="R84" s="18"/>
      <x:c r="S84" s="18"/>
      <x:c r="T84" s="18"/>
      <x:c r="U84" s="18"/>
      <x:c r="V84" s="18"/>
      <x:c r="W84" s="18"/>
      <x:c r="X84" s="18"/>
      <x:c r="Y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30"/>
      <x:c r="J85" s="18"/>
      <x:c r="K85" s="18"/>
      <x:c r="L85" s="18"/>
      <x:c r="M85" s="18"/>
      <x:c r="N85" s="18"/>
      <x:c r="O85" s="18"/>
      <x:c r="P85" s="31"/>
      <x:c r="Q85" s="18"/>
      <x:c r="R85" s="18"/>
      <x:c r="S85" s="18"/>
      <x:c r="T85" s="18"/>
      <x:c r="U85" s="18"/>
      <x:c r="V85" s="18"/>
      <x:c r="W85" s="18"/>
      <x:c r="X85" s="18"/>
      <x:c r="Y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30"/>
      <x:c r="J86" s="18"/>
      <x:c r="K86" s="18"/>
      <x:c r="L86" s="18"/>
      <x:c r="M86" s="18"/>
      <x:c r="N86" s="18"/>
      <x:c r="O86" s="18"/>
      <x:c r="P86" s="31"/>
      <x:c r="Q86" s="18"/>
      <x:c r="R86" s="18"/>
      <x:c r="S86" s="18"/>
      <x:c r="T86" s="18"/>
      <x:c r="U86" s="18"/>
      <x:c r="V86" s="18"/>
      <x:c r="W86" s="18"/>
      <x:c r="X86" s="18"/>
      <x:c r="Y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30"/>
      <x:c r="J87" s="18"/>
      <x:c r="K87" s="18"/>
      <x:c r="L87" s="18"/>
      <x:c r="M87" s="18"/>
      <x:c r="N87" s="18"/>
      <x:c r="O87" s="18"/>
      <x:c r="P87" s="31"/>
      <x:c r="Q87" s="18"/>
      <x:c r="R87" s="18"/>
      <x:c r="S87" s="18"/>
      <x:c r="T87" s="18"/>
      <x:c r="U87" s="18"/>
      <x:c r="V87" s="18"/>
      <x:c r="W87" s="18"/>
      <x:c r="X87" s="18"/>
      <x:c r="Y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30"/>
      <x:c r="J88" s="18"/>
      <x:c r="K88" s="18"/>
      <x:c r="L88" s="18"/>
      <x:c r="M88" s="18"/>
      <x:c r="N88" s="18"/>
      <x:c r="O88" s="18"/>
      <x:c r="P88" s="31"/>
      <x:c r="Q88" s="18"/>
      <x:c r="R88" s="18"/>
      <x:c r="S88" s="18"/>
      <x:c r="T88" s="18"/>
      <x:c r="U88" s="18"/>
      <x:c r="V88" s="18"/>
      <x:c r="W88" s="18"/>
      <x:c r="X88" s="18"/>
      <x:c r="Y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30"/>
      <x:c r="J89" s="18"/>
      <x:c r="K89" s="18"/>
      <x:c r="L89" s="18"/>
      <x:c r="M89" s="18"/>
      <x:c r="N89" s="18"/>
      <x:c r="O89" s="18"/>
      <x:c r="P89" s="31"/>
      <x:c r="Q89" s="18"/>
      <x:c r="R89" s="18"/>
      <x:c r="S89" s="18"/>
      <x:c r="T89" s="18"/>
      <x:c r="U89" s="18"/>
      <x:c r="V89" s="18"/>
      <x:c r="W89" s="18"/>
      <x:c r="X89" s="18"/>
      <x:c r="Y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30"/>
      <x:c r="J90" s="18"/>
      <x:c r="K90" s="18"/>
      <x:c r="L90" s="18"/>
      <x:c r="M90" s="18"/>
      <x:c r="N90" s="18"/>
      <x:c r="O90" s="18"/>
      <x:c r="P90" s="31"/>
      <x:c r="Q90" s="18"/>
      <x:c r="R90" s="18"/>
      <x:c r="S90" s="18"/>
      <x:c r="T90" s="18"/>
      <x:c r="U90" s="18"/>
      <x:c r="V90" s="18"/>
      <x:c r="W90" s="18"/>
      <x:c r="X90" s="18"/>
      <x:c r="Y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30"/>
      <x:c r="J91" s="18"/>
      <x:c r="K91" s="18"/>
      <x:c r="L91" s="18"/>
      <x:c r="M91" s="18"/>
      <x:c r="N91" s="18"/>
      <x:c r="O91" s="18"/>
      <x:c r="P91" s="31"/>
      <x:c r="Q91" s="18"/>
      <x:c r="R91" s="18"/>
      <x:c r="S91" s="18"/>
      <x:c r="T91" s="18"/>
      <x:c r="U91" s="18"/>
      <x:c r="V91" s="18"/>
      <x:c r="W91" s="18"/>
      <x:c r="X91" s="18"/>
      <x:c r="Y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30"/>
      <x:c r="J92" s="18"/>
      <x:c r="K92" s="18"/>
      <x:c r="L92" s="18"/>
      <x:c r="M92" s="18"/>
      <x:c r="N92" s="18"/>
      <x:c r="O92" s="18"/>
      <x:c r="P92" s="31"/>
      <x:c r="Q92" s="18"/>
      <x:c r="R92" s="18"/>
      <x:c r="S92" s="18"/>
      <x:c r="T92" s="18"/>
      <x:c r="U92" s="18"/>
      <x:c r="V92" s="18"/>
      <x:c r="W92" s="18"/>
      <x:c r="X92" s="18"/>
      <x:c r="Y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30"/>
      <x:c r="J93" s="18"/>
      <x:c r="K93" s="18"/>
      <x:c r="L93" s="18"/>
      <x:c r="M93" s="18"/>
      <x:c r="N93" s="18"/>
      <x:c r="O93" s="18"/>
      <x:c r="P93" s="31"/>
      <x:c r="Q93" s="18"/>
      <x:c r="R93" s="18"/>
      <x:c r="S93" s="18"/>
      <x:c r="T93" s="18"/>
      <x:c r="U93" s="18"/>
      <x:c r="V93" s="18"/>
      <x:c r="W93" s="18"/>
      <x:c r="X93" s="18"/>
      <x:c r="Y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30"/>
      <x:c r="J94" s="18"/>
      <x:c r="K94" s="18"/>
      <x:c r="L94" s="18"/>
      <x:c r="M94" s="18"/>
      <x:c r="N94" s="18"/>
      <x:c r="O94" s="18"/>
      <x:c r="P94" s="31"/>
      <x:c r="Q94" s="18"/>
      <x:c r="R94" s="18"/>
      <x:c r="S94" s="18"/>
      <x:c r="T94" s="18"/>
      <x:c r="U94" s="18"/>
      <x:c r="V94" s="18"/>
      <x:c r="W94" s="18"/>
      <x:c r="X94" s="18"/>
      <x:c r="Y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30"/>
      <x:c r="J95" s="18"/>
      <x:c r="K95" s="18"/>
      <x:c r="L95" s="18"/>
      <x:c r="M95" s="18"/>
      <x:c r="N95" s="18"/>
      <x:c r="O95" s="18"/>
      <x:c r="P95" s="31"/>
      <x:c r="Q95" s="18"/>
      <x:c r="R95" s="18"/>
      <x:c r="S95" s="18"/>
      <x:c r="T95" s="18"/>
      <x:c r="U95" s="18"/>
      <x:c r="V95" s="18"/>
      <x:c r="W95" s="18"/>
      <x:c r="X95" s="18"/>
      <x:c r="Y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30"/>
      <x:c r="J96" s="18"/>
      <x:c r="K96" s="18"/>
      <x:c r="L96" s="18"/>
      <x:c r="M96" s="18"/>
      <x:c r="N96" s="18"/>
      <x:c r="O96" s="18"/>
      <x:c r="P96" s="31"/>
      <x:c r="Q96" s="18"/>
      <x:c r="R96" s="18"/>
      <x:c r="S96" s="18"/>
      <x:c r="T96" s="18"/>
      <x:c r="U96" s="18"/>
      <x:c r="V96" s="18"/>
      <x:c r="W96" s="18"/>
      <x:c r="X96" s="18"/>
      <x:c r="Y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30"/>
      <x:c r="J97" s="18"/>
      <x:c r="K97" s="18"/>
      <x:c r="L97" s="18"/>
      <x:c r="M97" s="18"/>
      <x:c r="N97" s="18"/>
      <x:c r="O97" s="18"/>
      <x:c r="P97" s="31"/>
      <x:c r="Q97" s="18"/>
      <x:c r="R97" s="18"/>
      <x:c r="S97" s="18"/>
      <x:c r="T97" s="18"/>
      <x:c r="U97" s="18"/>
      <x:c r="V97" s="18"/>
      <x:c r="W97" s="18"/>
      <x:c r="X97" s="18"/>
      <x:c r="Y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30"/>
      <x:c r="J98" s="18"/>
      <x:c r="K98" s="18"/>
      <x:c r="L98" s="18"/>
      <x:c r="M98" s="18"/>
      <x:c r="N98" s="18"/>
      <x:c r="O98" s="18"/>
      <x:c r="P98" s="31"/>
      <x:c r="Q98" s="18"/>
      <x:c r="R98" s="18"/>
      <x:c r="S98" s="18"/>
      <x:c r="T98" s="18"/>
      <x:c r="U98" s="18"/>
      <x:c r="V98" s="18"/>
      <x:c r="W98" s="18"/>
      <x:c r="X98" s="18"/>
      <x:c r="Y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30"/>
      <x:c r="J99" s="18"/>
      <x:c r="K99" s="18"/>
      <x:c r="L99" s="18"/>
      <x:c r="M99" s="18"/>
      <x:c r="N99" s="18"/>
      <x:c r="O99" s="18"/>
      <x:c r="P99" s="31"/>
      <x:c r="Q99" s="18"/>
      <x:c r="R99" s="18"/>
      <x:c r="S99" s="18"/>
      <x:c r="T99" s="18"/>
      <x:c r="U99" s="18"/>
      <x:c r="V99" s="18"/>
      <x:c r="W99" s="18"/>
      <x:c r="X99" s="18"/>
      <x:c r="Y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30"/>
      <x:c r="J100" s="18"/>
      <x:c r="K100" s="18"/>
      <x:c r="L100" s="18"/>
      <x:c r="M100" s="18"/>
      <x:c r="N100" s="18"/>
      <x:c r="O100" s="18"/>
      <x:c r="P100" s="31"/>
      <x:c r="Q100" s="18"/>
      <x:c r="R100" s="18"/>
      <x:c r="S100" s="18"/>
      <x:c r="T100" s="18"/>
      <x:c r="U100" s="18"/>
      <x:c r="V100" s="18"/>
      <x:c r="W100" s="18"/>
      <x:c r="X100" s="18"/>
      <x:c r="Y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30"/>
      <x:c r="J101" s="18"/>
      <x:c r="K101" s="18"/>
      <x:c r="L101" s="18"/>
      <x:c r="M101" s="18"/>
      <x:c r="N101" s="18"/>
      <x:c r="O101" s="18"/>
      <x:c r="P101" s="31"/>
      <x:c r="Q101" s="18"/>
      <x:c r="R101" s="18"/>
      <x:c r="S101" s="18"/>
      <x:c r="T101" s="18"/>
      <x:c r="U101" s="18"/>
      <x:c r="V101" s="18"/>
      <x:c r="W101" s="18"/>
      <x:c r="X101" s="18"/>
      <x:c r="Y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30"/>
      <x:c r="J102" s="18"/>
      <x:c r="K102" s="18"/>
      <x:c r="L102" s="18"/>
      <x:c r="M102" s="18"/>
      <x:c r="N102" s="18"/>
      <x:c r="O102" s="18"/>
      <x:c r="P102" s="31"/>
      <x:c r="Q102" s="18"/>
      <x:c r="R102" s="18"/>
      <x:c r="S102" s="18"/>
      <x:c r="T102" s="18"/>
      <x:c r="U102" s="18"/>
      <x:c r="V102" s="18"/>
      <x:c r="W102" s="18"/>
      <x:c r="X102" s="18"/>
      <x:c r="Y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30"/>
      <x:c r="J103" s="18"/>
      <x:c r="K103" s="18"/>
      <x:c r="L103" s="18"/>
      <x:c r="M103" s="18"/>
      <x:c r="N103" s="18"/>
      <x:c r="O103" s="18"/>
      <x:c r="P103" s="31"/>
      <x:c r="Q103" s="18"/>
      <x:c r="R103" s="18"/>
      <x:c r="S103" s="18"/>
      <x:c r="T103" s="18"/>
      <x:c r="U103" s="18"/>
      <x:c r="V103" s="18"/>
      <x:c r="W103" s="18"/>
      <x:c r="X103" s="18"/>
      <x:c r="Y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30"/>
      <x:c r="J104" s="18"/>
      <x:c r="K104" s="18"/>
      <x:c r="L104" s="18"/>
      <x:c r="M104" s="18"/>
      <x:c r="N104" s="18"/>
      <x:c r="O104" s="18"/>
      <x:c r="P104" s="31"/>
      <x:c r="Q104" s="18"/>
      <x:c r="R104" s="18"/>
      <x:c r="S104" s="18"/>
      <x:c r="T104" s="18"/>
      <x:c r="U104" s="18"/>
      <x:c r="V104" s="18"/>
      <x:c r="W104" s="18"/>
      <x:c r="X104" s="18"/>
      <x:c r="Y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30"/>
      <x:c r="J105" s="18"/>
      <x:c r="K105" s="18"/>
      <x:c r="L105" s="18"/>
      <x:c r="M105" s="18"/>
      <x:c r="N105" s="18"/>
      <x:c r="O105" s="18"/>
      <x:c r="P105" s="31"/>
      <x:c r="Q105" s="18"/>
      <x:c r="R105" s="18"/>
      <x:c r="S105" s="18"/>
      <x:c r="T105" s="18"/>
      <x:c r="U105" s="18"/>
      <x:c r="V105" s="18"/>
      <x:c r="W105" s="18"/>
      <x:c r="X105" s="18"/>
      <x:c r="Y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30"/>
      <x:c r="J106" s="18"/>
      <x:c r="K106" s="18"/>
      <x:c r="L106" s="18"/>
      <x:c r="M106" s="18"/>
      <x:c r="N106" s="18"/>
      <x:c r="O106" s="18"/>
      <x:c r="P106" s="31"/>
      <x:c r="Q106" s="18"/>
      <x:c r="R106" s="18"/>
      <x:c r="S106" s="18"/>
      <x:c r="T106" s="18"/>
      <x:c r="U106" s="18"/>
      <x:c r="V106" s="18"/>
      <x:c r="W106" s="18"/>
      <x:c r="X106" s="18"/>
      <x:c r="Y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30"/>
      <x:c r="J107" s="18"/>
      <x:c r="K107" s="18"/>
      <x:c r="L107" s="18"/>
      <x:c r="M107" s="18"/>
      <x:c r="N107" s="18"/>
      <x:c r="O107" s="18"/>
      <x:c r="P107" s="31"/>
      <x:c r="Q107" s="18"/>
      <x:c r="R107" s="18"/>
      <x:c r="S107" s="18"/>
      <x:c r="T107" s="18"/>
      <x:c r="U107" s="18"/>
      <x:c r="V107" s="18"/>
      <x:c r="W107" s="18"/>
      <x:c r="X107" s="18"/>
      <x:c r="Y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30"/>
      <x:c r="J108" s="18"/>
      <x:c r="K108" s="18"/>
      <x:c r="L108" s="18"/>
      <x:c r="M108" s="18"/>
      <x:c r="N108" s="18"/>
      <x:c r="O108" s="18"/>
      <x:c r="P108" s="31"/>
      <x:c r="Q108" s="18"/>
      <x:c r="R108" s="18"/>
      <x:c r="S108" s="18"/>
      <x:c r="T108" s="18"/>
      <x:c r="U108" s="18"/>
      <x:c r="V108" s="18"/>
      <x:c r="W108" s="18"/>
      <x:c r="X108" s="18"/>
      <x:c r="Y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30"/>
      <x:c r="J109" s="18"/>
      <x:c r="K109" s="18"/>
      <x:c r="L109" s="18"/>
      <x:c r="M109" s="18"/>
      <x:c r="N109" s="18"/>
      <x:c r="O109" s="18"/>
      <x:c r="P109" s="31"/>
      <x:c r="Q109" s="18"/>
      <x:c r="R109" s="18"/>
      <x:c r="S109" s="18"/>
      <x:c r="T109" s="18"/>
      <x:c r="U109" s="18"/>
      <x:c r="V109" s="18"/>
      <x:c r="W109" s="18"/>
      <x:c r="X109" s="18"/>
      <x:c r="Y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30"/>
      <x:c r="J110" s="18"/>
      <x:c r="K110" s="18"/>
      <x:c r="L110" s="18"/>
      <x:c r="M110" s="18"/>
      <x:c r="N110" s="18"/>
      <x:c r="O110" s="18"/>
      <x:c r="P110" s="31"/>
      <x:c r="Q110" s="18"/>
      <x:c r="R110" s="18"/>
      <x:c r="S110" s="18"/>
      <x:c r="T110" s="18"/>
      <x:c r="U110" s="18"/>
      <x:c r="V110" s="18"/>
      <x:c r="W110" s="18"/>
      <x:c r="X110" s="18"/>
      <x:c r="Y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30"/>
      <x:c r="J111" s="18"/>
      <x:c r="K111" s="18"/>
      <x:c r="L111" s="18"/>
      <x:c r="M111" s="18"/>
      <x:c r="N111" s="18"/>
      <x:c r="O111" s="18"/>
      <x:c r="P111" s="31"/>
      <x:c r="Q111" s="18"/>
      <x:c r="R111" s="18"/>
      <x:c r="S111" s="18"/>
      <x:c r="T111" s="18"/>
      <x:c r="U111" s="18"/>
      <x:c r="V111" s="18"/>
      <x:c r="W111" s="18"/>
      <x:c r="X111" s="18"/>
      <x:c r="Y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30"/>
      <x:c r="J112" s="18"/>
      <x:c r="K112" s="18"/>
      <x:c r="L112" s="18"/>
      <x:c r="M112" s="18"/>
      <x:c r="N112" s="18"/>
      <x:c r="O112" s="18"/>
      <x:c r="P112" s="31"/>
      <x:c r="Q112" s="18"/>
      <x:c r="R112" s="18"/>
      <x:c r="S112" s="18"/>
      <x:c r="T112" s="18"/>
      <x:c r="U112" s="18"/>
      <x:c r="V112" s="18"/>
      <x:c r="W112" s="18"/>
      <x:c r="X112" s="18"/>
      <x:c r="Y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30"/>
      <x:c r="J113" s="18"/>
      <x:c r="K113" s="18"/>
      <x:c r="L113" s="18"/>
      <x:c r="M113" s="18"/>
      <x:c r="N113" s="18"/>
      <x:c r="O113" s="18"/>
      <x:c r="P113" s="31"/>
      <x:c r="Q113" s="18"/>
      <x:c r="R113" s="18"/>
      <x:c r="S113" s="18"/>
      <x:c r="T113" s="18"/>
      <x:c r="U113" s="18"/>
      <x:c r="V113" s="18"/>
      <x:c r="W113" s="18"/>
      <x:c r="X113" s="18"/>
      <x:c r="Y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30"/>
      <x:c r="J114" s="18"/>
      <x:c r="K114" s="18"/>
      <x:c r="L114" s="18"/>
      <x:c r="M114" s="18"/>
      <x:c r="N114" s="18"/>
      <x:c r="O114" s="18"/>
      <x:c r="P114" s="31"/>
      <x:c r="Q114" s="18"/>
      <x:c r="R114" s="18"/>
      <x:c r="S114" s="18"/>
      <x:c r="T114" s="18"/>
      <x:c r="U114" s="18"/>
      <x:c r="V114" s="18"/>
      <x:c r="W114" s="18"/>
      <x:c r="X114" s="18"/>
      <x:c r="Y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30"/>
      <x:c r="J115" s="18"/>
      <x:c r="K115" s="18"/>
      <x:c r="L115" s="18"/>
      <x:c r="M115" s="18"/>
      <x:c r="N115" s="18"/>
      <x:c r="O115" s="18"/>
      <x:c r="P115" s="31"/>
      <x:c r="Q115" s="18"/>
      <x:c r="R115" s="18"/>
      <x:c r="S115" s="18"/>
      <x:c r="T115" s="18"/>
      <x:c r="U115" s="18"/>
      <x:c r="V115" s="18"/>
      <x:c r="W115" s="18"/>
      <x:c r="X115" s="18"/>
      <x:c r="Y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30"/>
      <x:c r="J116" s="18"/>
      <x:c r="K116" s="18"/>
      <x:c r="L116" s="18"/>
      <x:c r="M116" s="18"/>
      <x:c r="N116" s="18"/>
      <x:c r="O116" s="18"/>
      <x:c r="P116" s="31"/>
      <x:c r="Q116" s="18"/>
      <x:c r="R116" s="18"/>
      <x:c r="S116" s="18"/>
      <x:c r="T116" s="18"/>
      <x:c r="U116" s="18"/>
      <x:c r="V116" s="18"/>
      <x:c r="W116" s="18"/>
      <x:c r="X116" s="18"/>
      <x:c r="Y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30"/>
      <x:c r="J117" s="18"/>
      <x:c r="K117" s="18"/>
      <x:c r="L117" s="18"/>
      <x:c r="M117" s="18"/>
      <x:c r="N117" s="18"/>
      <x:c r="O117" s="18"/>
      <x:c r="P117" s="31"/>
      <x:c r="Q117" s="18"/>
      <x:c r="R117" s="18"/>
      <x:c r="S117" s="18"/>
      <x:c r="T117" s="18"/>
      <x:c r="U117" s="18"/>
      <x:c r="V117" s="18"/>
      <x:c r="W117" s="18"/>
      <x:c r="X117" s="18"/>
      <x:c r="Y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30"/>
      <x:c r="J118" s="18"/>
      <x:c r="K118" s="18"/>
      <x:c r="L118" s="18"/>
      <x:c r="M118" s="18"/>
      <x:c r="N118" s="18"/>
      <x:c r="O118" s="18"/>
      <x:c r="P118" s="31"/>
      <x:c r="Q118" s="18"/>
      <x:c r="R118" s="18"/>
      <x:c r="S118" s="18"/>
      <x:c r="T118" s="18"/>
      <x:c r="U118" s="18"/>
      <x:c r="V118" s="18"/>
      <x:c r="W118" s="18"/>
      <x:c r="X118" s="18"/>
      <x:c r="Y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30"/>
      <x:c r="J119" s="18"/>
      <x:c r="K119" s="18"/>
      <x:c r="L119" s="18"/>
      <x:c r="M119" s="18"/>
      <x:c r="N119" s="18"/>
      <x:c r="O119" s="18"/>
      <x:c r="P119" s="31"/>
      <x:c r="Q119" s="18"/>
      <x:c r="R119" s="18"/>
      <x:c r="S119" s="18"/>
      <x:c r="T119" s="18"/>
      <x:c r="U119" s="18"/>
      <x:c r="V119" s="18"/>
      <x:c r="W119" s="18"/>
      <x:c r="X119" s="18"/>
      <x:c r="Y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30"/>
      <x:c r="J120" s="18"/>
      <x:c r="K120" s="18"/>
      <x:c r="L120" s="18"/>
      <x:c r="M120" s="18"/>
      <x:c r="N120" s="18"/>
      <x:c r="O120" s="18"/>
      <x:c r="P120" s="31"/>
      <x:c r="Q120" s="18"/>
      <x:c r="R120" s="18"/>
      <x:c r="S120" s="18"/>
      <x:c r="T120" s="18"/>
      <x:c r="U120" s="18"/>
      <x:c r="V120" s="18"/>
      <x:c r="W120" s="18"/>
      <x:c r="X120" s="18"/>
      <x:c r="Y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30"/>
      <x:c r="J121" s="18"/>
      <x:c r="K121" s="18"/>
      <x:c r="L121" s="18"/>
      <x:c r="M121" s="18"/>
      <x:c r="N121" s="18"/>
      <x:c r="O121" s="18"/>
      <x:c r="P121" s="31"/>
      <x:c r="Q121" s="18"/>
      <x:c r="R121" s="18"/>
      <x:c r="S121" s="18"/>
      <x:c r="T121" s="18"/>
      <x:c r="U121" s="18"/>
      <x:c r="V121" s="18"/>
      <x:c r="W121" s="18"/>
      <x:c r="X121" s="18"/>
      <x:c r="Y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30"/>
      <x:c r="J122" s="18"/>
      <x:c r="K122" s="18"/>
      <x:c r="L122" s="18"/>
      <x:c r="M122" s="18"/>
      <x:c r="N122" s="18"/>
      <x:c r="O122" s="18"/>
      <x:c r="P122" s="31"/>
      <x:c r="Q122" s="18"/>
      <x:c r="R122" s="18"/>
      <x:c r="S122" s="18"/>
      <x:c r="T122" s="18"/>
      <x:c r="U122" s="18"/>
      <x:c r="V122" s="18"/>
      <x:c r="W122" s="18"/>
      <x:c r="X122" s="18"/>
      <x:c r="Y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30"/>
      <x:c r="J123" s="18"/>
      <x:c r="K123" s="18"/>
      <x:c r="L123" s="18"/>
      <x:c r="M123" s="18"/>
      <x:c r="N123" s="18"/>
      <x:c r="O123" s="18"/>
      <x:c r="P123" s="31"/>
      <x:c r="Q123" s="18"/>
      <x:c r="R123" s="18"/>
      <x:c r="S123" s="18"/>
      <x:c r="T123" s="18"/>
      <x:c r="U123" s="18"/>
      <x:c r="V123" s="18"/>
      <x:c r="W123" s="18"/>
      <x:c r="X123" s="18"/>
      <x:c r="Y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30"/>
      <x:c r="J124" s="18"/>
      <x:c r="K124" s="18"/>
      <x:c r="L124" s="18"/>
      <x:c r="M124" s="18"/>
      <x:c r="N124" s="18"/>
      <x:c r="O124" s="18"/>
      <x:c r="P124" s="31"/>
      <x:c r="Q124" s="18"/>
      <x:c r="R124" s="18"/>
      <x:c r="S124" s="18"/>
      <x:c r="T124" s="18"/>
      <x:c r="U124" s="18"/>
      <x:c r="V124" s="18"/>
      <x:c r="W124" s="18"/>
      <x:c r="X124" s="18"/>
      <x:c r="Y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30"/>
      <x:c r="J125" s="18"/>
      <x:c r="K125" s="18"/>
      <x:c r="L125" s="18"/>
      <x:c r="M125" s="18"/>
      <x:c r="N125" s="18"/>
      <x:c r="O125" s="18"/>
      <x:c r="P125" s="31"/>
      <x:c r="Q125" s="18"/>
      <x:c r="R125" s="18"/>
      <x:c r="S125" s="18"/>
      <x:c r="T125" s="18"/>
      <x:c r="U125" s="18"/>
      <x:c r="V125" s="18"/>
      <x:c r="W125" s="18"/>
      <x:c r="X125" s="18"/>
      <x:c r="Y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30"/>
      <x:c r="J126" s="18"/>
      <x:c r="K126" s="18"/>
      <x:c r="L126" s="18"/>
      <x:c r="M126" s="18"/>
      <x:c r="N126" s="18"/>
      <x:c r="O126" s="18"/>
      <x:c r="P126" s="31"/>
      <x:c r="Q126" s="18"/>
      <x:c r="R126" s="18"/>
      <x:c r="S126" s="18"/>
      <x:c r="T126" s="18"/>
      <x:c r="U126" s="18"/>
      <x:c r="V126" s="18"/>
      <x:c r="W126" s="18"/>
      <x:c r="X126" s="18"/>
      <x:c r="Y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30"/>
      <x:c r="J127" s="18"/>
      <x:c r="K127" s="18"/>
      <x:c r="L127" s="18"/>
      <x:c r="M127" s="18"/>
      <x:c r="N127" s="18"/>
      <x:c r="O127" s="18"/>
      <x:c r="P127" s="31"/>
      <x:c r="Q127" s="18"/>
      <x:c r="R127" s="18"/>
      <x:c r="S127" s="18"/>
      <x:c r="T127" s="18"/>
      <x:c r="U127" s="18"/>
      <x:c r="V127" s="18"/>
      <x:c r="W127" s="18"/>
      <x:c r="X127" s="18"/>
      <x:c r="Y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30"/>
      <x:c r="J128" s="18"/>
      <x:c r="K128" s="18"/>
      <x:c r="L128" s="18"/>
      <x:c r="M128" s="18"/>
      <x:c r="N128" s="18"/>
      <x:c r="O128" s="18"/>
      <x:c r="P128" s="31"/>
      <x:c r="Q128" s="18"/>
      <x:c r="R128" s="18"/>
      <x:c r="S128" s="18"/>
      <x:c r="T128" s="18"/>
      <x:c r="U128" s="18"/>
      <x:c r="V128" s="18"/>
      <x:c r="W128" s="18"/>
      <x:c r="X128" s="18"/>
      <x:c r="Y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30"/>
      <x:c r="J129" s="18"/>
      <x:c r="K129" s="18"/>
      <x:c r="L129" s="18"/>
      <x:c r="M129" s="18"/>
      <x:c r="N129" s="18"/>
      <x:c r="O129" s="18"/>
      <x:c r="P129" s="31"/>
      <x:c r="Q129" s="18"/>
      <x:c r="R129" s="18"/>
      <x:c r="S129" s="18"/>
      <x:c r="T129" s="18"/>
      <x:c r="U129" s="18"/>
      <x:c r="V129" s="18"/>
      <x:c r="W129" s="18"/>
      <x:c r="X129" s="18"/>
      <x:c r="Y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30"/>
      <x:c r="J130" s="18"/>
      <x:c r="K130" s="18"/>
      <x:c r="L130" s="18"/>
      <x:c r="M130" s="18"/>
      <x:c r="N130" s="18"/>
      <x:c r="O130" s="18"/>
      <x:c r="P130" s="31"/>
      <x:c r="Q130" s="18"/>
      <x:c r="R130" s="18"/>
      <x:c r="S130" s="18"/>
      <x:c r="T130" s="18"/>
      <x:c r="U130" s="18"/>
      <x:c r="V130" s="18"/>
      <x:c r="W130" s="18"/>
      <x:c r="X130" s="18"/>
      <x:c r="Y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30"/>
      <x:c r="J131" s="18"/>
      <x:c r="K131" s="18"/>
      <x:c r="L131" s="18"/>
      <x:c r="M131" s="18"/>
      <x:c r="N131" s="18"/>
      <x:c r="O131" s="18"/>
      <x:c r="P131" s="31"/>
      <x:c r="Q131" s="18"/>
      <x:c r="R131" s="18"/>
      <x:c r="S131" s="18"/>
      <x:c r="T131" s="18"/>
      <x:c r="U131" s="18"/>
      <x:c r="V131" s="18"/>
      <x:c r="W131" s="18"/>
      <x:c r="X131" s="18"/>
      <x:c r="Y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30"/>
      <x:c r="J132" s="18"/>
      <x:c r="K132" s="18"/>
      <x:c r="L132" s="18"/>
      <x:c r="M132" s="18"/>
      <x:c r="N132" s="18"/>
      <x:c r="O132" s="18"/>
      <x:c r="P132" s="31"/>
      <x:c r="Q132" s="18"/>
      <x:c r="R132" s="18"/>
      <x:c r="S132" s="18"/>
      <x:c r="T132" s="18"/>
      <x:c r="U132" s="18"/>
      <x:c r="V132" s="18"/>
      <x:c r="W132" s="18"/>
      <x:c r="X132" s="18"/>
      <x:c r="Y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30"/>
      <x:c r="J133" s="18"/>
      <x:c r="K133" s="18"/>
      <x:c r="L133" s="18"/>
      <x:c r="M133" s="18"/>
      <x:c r="N133" s="18"/>
      <x:c r="O133" s="18"/>
      <x:c r="P133" s="31"/>
      <x:c r="Q133" s="18"/>
      <x:c r="R133" s="18"/>
      <x:c r="S133" s="18"/>
      <x:c r="T133" s="18"/>
      <x:c r="U133" s="18"/>
      <x:c r="V133" s="18"/>
      <x:c r="W133" s="18"/>
      <x:c r="X133" s="18"/>
      <x:c r="Y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30"/>
      <x:c r="J134" s="18"/>
      <x:c r="K134" s="18"/>
      <x:c r="L134" s="18"/>
      <x:c r="M134" s="18"/>
      <x:c r="N134" s="18"/>
      <x:c r="O134" s="18"/>
      <x:c r="P134" s="31"/>
      <x:c r="Q134" s="18"/>
      <x:c r="R134" s="18"/>
      <x:c r="S134" s="18"/>
      <x:c r="T134" s="18"/>
      <x:c r="U134" s="18"/>
      <x:c r="V134" s="18"/>
      <x:c r="W134" s="18"/>
      <x:c r="X134" s="18"/>
      <x:c r="Y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30"/>
      <x:c r="J135" s="18"/>
      <x:c r="K135" s="18"/>
      <x:c r="L135" s="18"/>
      <x:c r="M135" s="18"/>
      <x:c r="N135" s="18"/>
      <x:c r="O135" s="18"/>
      <x:c r="P135" s="31"/>
      <x:c r="Q135" s="18"/>
      <x:c r="R135" s="18"/>
      <x:c r="S135" s="18"/>
      <x:c r="T135" s="18"/>
      <x:c r="U135" s="18"/>
      <x:c r="V135" s="18"/>
      <x:c r="W135" s="18"/>
      <x:c r="X135" s="18"/>
      <x:c r="Y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30"/>
      <x:c r="J136" s="18"/>
      <x:c r="K136" s="18"/>
      <x:c r="L136" s="18"/>
      <x:c r="M136" s="18"/>
      <x:c r="N136" s="18"/>
      <x:c r="O136" s="18"/>
      <x:c r="P136" s="31"/>
      <x:c r="Q136" s="18"/>
      <x:c r="R136" s="18"/>
      <x:c r="S136" s="18"/>
      <x:c r="T136" s="18"/>
      <x:c r="U136" s="18"/>
      <x:c r="V136" s="18"/>
      <x:c r="W136" s="18"/>
      <x:c r="X136" s="18"/>
      <x:c r="Y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30"/>
      <x:c r="J137" s="18"/>
      <x:c r="K137" s="18"/>
      <x:c r="L137" s="18"/>
      <x:c r="M137" s="18"/>
      <x:c r="N137" s="18"/>
      <x:c r="O137" s="18"/>
      <x:c r="P137" s="31"/>
      <x:c r="Q137" s="18"/>
      <x:c r="R137" s="18"/>
      <x:c r="S137" s="18"/>
      <x:c r="T137" s="18"/>
      <x:c r="U137" s="18"/>
      <x:c r="V137" s="18"/>
      <x:c r="W137" s="18"/>
      <x:c r="X137" s="18"/>
      <x:c r="Y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30"/>
      <x:c r="J138" s="18"/>
      <x:c r="K138" s="18"/>
      <x:c r="L138" s="18"/>
      <x:c r="M138" s="18"/>
      <x:c r="N138" s="18"/>
      <x:c r="O138" s="18"/>
      <x:c r="P138" s="31"/>
      <x:c r="Q138" s="18"/>
      <x:c r="R138" s="18"/>
      <x:c r="S138" s="18"/>
      <x:c r="T138" s="18"/>
      <x:c r="U138" s="18"/>
      <x:c r="V138" s="18"/>
      <x:c r="W138" s="18"/>
      <x:c r="X138" s="18"/>
      <x:c r="Y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30"/>
      <x:c r="J139" s="18"/>
      <x:c r="K139" s="18"/>
      <x:c r="L139" s="18"/>
      <x:c r="M139" s="18"/>
      <x:c r="N139" s="18"/>
      <x:c r="O139" s="18"/>
      <x:c r="P139" s="31"/>
      <x:c r="Q139" s="18"/>
      <x:c r="R139" s="18"/>
      <x:c r="S139" s="18"/>
      <x:c r="T139" s="18"/>
      <x:c r="U139" s="18"/>
      <x:c r="V139" s="18"/>
      <x:c r="W139" s="18"/>
      <x:c r="X139" s="18"/>
      <x:c r="Y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30"/>
      <x:c r="J140" s="18"/>
      <x:c r="K140" s="18"/>
      <x:c r="L140" s="18"/>
      <x:c r="M140" s="18"/>
      <x:c r="N140" s="18"/>
      <x:c r="O140" s="18"/>
      <x:c r="P140" s="31"/>
      <x:c r="Q140" s="18"/>
      <x:c r="R140" s="18"/>
      <x:c r="S140" s="18"/>
      <x:c r="T140" s="18"/>
      <x:c r="U140" s="18"/>
      <x:c r="V140" s="18"/>
      <x:c r="W140" s="18"/>
      <x:c r="X140" s="18"/>
      <x:c r="Y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30"/>
      <x:c r="J141" s="18"/>
      <x:c r="K141" s="18"/>
      <x:c r="L141" s="18"/>
      <x:c r="M141" s="18"/>
      <x:c r="N141" s="18"/>
      <x:c r="O141" s="18"/>
      <x:c r="P141" s="31"/>
      <x:c r="Q141" s="18"/>
      <x:c r="R141" s="18"/>
      <x:c r="S141" s="18"/>
      <x:c r="T141" s="18"/>
      <x:c r="U141" s="18"/>
      <x:c r="V141" s="18"/>
      <x:c r="W141" s="18"/>
      <x:c r="X141" s="18"/>
      <x:c r="Y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30"/>
      <x:c r="J142" s="18"/>
      <x:c r="K142" s="18"/>
      <x:c r="L142" s="18"/>
      <x:c r="M142" s="18"/>
      <x:c r="N142" s="18"/>
      <x:c r="O142" s="18"/>
      <x:c r="P142" s="31"/>
      <x:c r="Q142" s="18"/>
      <x:c r="R142" s="18"/>
      <x:c r="S142" s="18"/>
      <x:c r="T142" s="18"/>
      <x:c r="U142" s="18"/>
      <x:c r="V142" s="18"/>
      <x:c r="W142" s="18"/>
      <x:c r="X142" s="18"/>
      <x:c r="Y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30"/>
      <x:c r="J143" s="18"/>
      <x:c r="K143" s="18"/>
      <x:c r="L143" s="18"/>
      <x:c r="M143" s="18"/>
      <x:c r="N143" s="18"/>
      <x:c r="O143" s="18"/>
      <x:c r="P143" s="31"/>
      <x:c r="Q143" s="18"/>
      <x:c r="R143" s="18"/>
      <x:c r="S143" s="18"/>
      <x:c r="T143" s="18"/>
      <x:c r="U143" s="18"/>
      <x:c r="V143" s="18"/>
      <x:c r="W143" s="18"/>
      <x:c r="X143" s="18"/>
      <x:c r="Y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30"/>
      <x:c r="J144" s="18"/>
      <x:c r="K144" s="18"/>
      <x:c r="L144" s="18"/>
      <x:c r="M144" s="18"/>
      <x:c r="N144" s="18"/>
      <x:c r="O144" s="18"/>
      <x:c r="P144" s="31"/>
      <x:c r="Q144" s="18"/>
      <x:c r="R144" s="18"/>
      <x:c r="S144" s="18"/>
      <x:c r="T144" s="18"/>
      <x:c r="U144" s="18"/>
      <x:c r="V144" s="18"/>
      <x:c r="W144" s="18"/>
      <x:c r="X144" s="18"/>
      <x:c r="Y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30"/>
      <x:c r="J145" s="18"/>
      <x:c r="K145" s="18"/>
      <x:c r="L145" s="18"/>
      <x:c r="M145" s="18"/>
      <x:c r="N145" s="18"/>
      <x:c r="O145" s="18"/>
      <x:c r="P145" s="31"/>
      <x:c r="Q145" s="18"/>
      <x:c r="R145" s="18"/>
      <x:c r="S145" s="18"/>
      <x:c r="T145" s="18"/>
      <x:c r="U145" s="18"/>
      <x:c r="V145" s="18"/>
      <x:c r="W145" s="18"/>
      <x:c r="X145" s="18"/>
      <x:c r="Y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30"/>
      <x:c r="J146" s="18"/>
      <x:c r="K146" s="18"/>
      <x:c r="L146" s="18"/>
      <x:c r="M146" s="18"/>
      <x:c r="N146" s="18"/>
      <x:c r="O146" s="18"/>
      <x:c r="P146" s="31"/>
      <x:c r="Q146" s="18"/>
      <x:c r="R146" s="18"/>
      <x:c r="S146" s="18"/>
      <x:c r="T146" s="18"/>
      <x:c r="U146" s="18"/>
      <x:c r="V146" s="18"/>
      <x:c r="W146" s="18"/>
      <x:c r="X146" s="18"/>
      <x:c r="Y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30"/>
      <x:c r="J147" s="18"/>
      <x:c r="K147" s="18"/>
      <x:c r="L147" s="18"/>
      <x:c r="M147" s="18"/>
      <x:c r="N147" s="18"/>
      <x:c r="O147" s="18"/>
      <x:c r="P147" s="31"/>
      <x:c r="Q147" s="18"/>
      <x:c r="R147" s="18"/>
      <x:c r="S147" s="18"/>
      <x:c r="T147" s="18"/>
      <x:c r="U147" s="18"/>
      <x:c r="V147" s="18"/>
      <x:c r="W147" s="18"/>
      <x:c r="X147" s="18"/>
      <x:c r="Y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30"/>
      <x:c r="J148" s="18"/>
      <x:c r="K148" s="18"/>
      <x:c r="L148" s="18"/>
      <x:c r="M148" s="18"/>
      <x:c r="N148" s="18"/>
      <x:c r="O148" s="18"/>
      <x:c r="P148" s="31"/>
      <x:c r="Q148" s="18"/>
      <x:c r="R148" s="18"/>
      <x:c r="S148" s="18"/>
      <x:c r="T148" s="18"/>
      <x:c r="U148" s="18"/>
      <x:c r="V148" s="18"/>
      <x:c r="W148" s="18"/>
      <x:c r="X148" s="18"/>
      <x:c r="Y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30"/>
      <x:c r="J149" s="18"/>
      <x:c r="K149" s="18"/>
      <x:c r="L149" s="18"/>
      <x:c r="M149" s="18"/>
      <x:c r="N149" s="18"/>
      <x:c r="O149" s="18"/>
      <x:c r="P149" s="31"/>
      <x:c r="Q149" s="18"/>
      <x:c r="R149" s="18"/>
      <x:c r="S149" s="18"/>
      <x:c r="T149" s="18"/>
      <x:c r="U149" s="18"/>
      <x:c r="V149" s="18"/>
      <x:c r="W149" s="18"/>
      <x:c r="X149" s="18"/>
      <x:c r="Y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30"/>
      <x:c r="J150" s="18"/>
      <x:c r="K150" s="18"/>
      <x:c r="L150" s="18"/>
      <x:c r="M150" s="18"/>
      <x:c r="N150" s="18"/>
      <x:c r="O150" s="18"/>
      <x:c r="P150" s="31"/>
      <x:c r="Q150" s="18"/>
      <x:c r="R150" s="18"/>
      <x:c r="S150" s="18"/>
      <x:c r="T150" s="18"/>
      <x:c r="U150" s="18"/>
      <x:c r="V150" s="18"/>
      <x:c r="W150" s="18"/>
      <x:c r="X150" s="18"/>
      <x:c r="Y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30"/>
      <x:c r="J151" s="18"/>
      <x:c r="K151" s="18"/>
      <x:c r="L151" s="18"/>
      <x:c r="M151" s="18"/>
      <x:c r="N151" s="18"/>
      <x:c r="O151" s="18"/>
      <x:c r="P151" s="31"/>
      <x:c r="Q151" s="18"/>
      <x:c r="R151" s="18"/>
      <x:c r="S151" s="18"/>
      <x:c r="T151" s="18"/>
      <x:c r="U151" s="18"/>
      <x:c r="V151" s="18"/>
      <x:c r="W151" s="18"/>
      <x:c r="X151" s="18"/>
      <x:c r="Y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30"/>
      <x:c r="J152" s="18"/>
      <x:c r="K152" s="18"/>
      <x:c r="L152" s="18"/>
      <x:c r="M152" s="18"/>
      <x:c r="N152" s="18"/>
      <x:c r="O152" s="18"/>
      <x:c r="P152" s="31"/>
      <x:c r="Q152" s="18"/>
      <x:c r="R152" s="18"/>
      <x:c r="S152" s="18"/>
      <x:c r="T152" s="18"/>
      <x:c r="U152" s="18"/>
      <x:c r="V152" s="18"/>
      <x:c r="W152" s="18"/>
      <x:c r="X152" s="18"/>
      <x:c r="Y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30"/>
      <x:c r="J153" s="18"/>
      <x:c r="K153" s="18"/>
      <x:c r="L153" s="18"/>
      <x:c r="M153" s="18"/>
      <x:c r="N153" s="18"/>
      <x:c r="O153" s="18"/>
      <x:c r="P153" s="31"/>
      <x:c r="Q153" s="18"/>
      <x:c r="R153" s="18"/>
      <x:c r="S153" s="18"/>
      <x:c r="T153" s="18"/>
      <x:c r="U153" s="18"/>
      <x:c r="V153" s="18"/>
      <x:c r="W153" s="18"/>
      <x:c r="X153" s="18"/>
      <x:c r="Y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30"/>
      <x:c r="J154" s="18"/>
      <x:c r="K154" s="18"/>
      <x:c r="L154" s="18"/>
      <x:c r="M154" s="18"/>
      <x:c r="N154" s="18"/>
      <x:c r="O154" s="18"/>
      <x:c r="P154" s="31"/>
      <x:c r="Q154" s="18"/>
      <x:c r="R154" s="18"/>
      <x:c r="S154" s="18"/>
      <x:c r="T154" s="18"/>
      <x:c r="U154" s="18"/>
      <x:c r="V154" s="18"/>
      <x:c r="W154" s="18"/>
      <x:c r="X154" s="18"/>
      <x:c r="Y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30"/>
      <x:c r="J155" s="18"/>
      <x:c r="K155" s="18"/>
      <x:c r="L155" s="18"/>
      <x:c r="M155" s="18"/>
      <x:c r="N155" s="18"/>
      <x:c r="O155" s="18"/>
      <x:c r="P155" s="31"/>
      <x:c r="Q155" s="18"/>
      <x:c r="R155" s="18"/>
      <x:c r="S155" s="18"/>
      <x:c r="T155" s="18"/>
      <x:c r="U155" s="18"/>
      <x:c r="V155" s="18"/>
      <x:c r="W155" s="18"/>
      <x:c r="X155" s="18"/>
      <x:c r="Y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30"/>
      <x:c r="J156" s="18"/>
      <x:c r="K156" s="18"/>
      <x:c r="L156" s="18"/>
      <x:c r="M156" s="18"/>
      <x:c r="N156" s="18"/>
      <x:c r="O156" s="18"/>
      <x:c r="P156" s="31"/>
      <x:c r="Q156" s="18"/>
      <x:c r="R156" s="18"/>
      <x:c r="S156" s="18"/>
      <x:c r="T156" s="18"/>
      <x:c r="U156" s="18"/>
      <x:c r="V156" s="18"/>
      <x:c r="W156" s="18"/>
      <x:c r="X156" s="18"/>
      <x:c r="Y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30"/>
      <x:c r="J157" s="18"/>
      <x:c r="K157" s="18"/>
      <x:c r="L157" s="18"/>
      <x:c r="M157" s="18"/>
      <x:c r="N157" s="18"/>
      <x:c r="O157" s="18"/>
      <x:c r="P157" s="31"/>
      <x:c r="Q157" s="18"/>
      <x:c r="R157" s="18"/>
      <x:c r="S157" s="18"/>
      <x:c r="T157" s="18"/>
      <x:c r="U157" s="18"/>
      <x:c r="V157" s="18"/>
      <x:c r="W157" s="18"/>
      <x:c r="X157" s="18"/>
      <x:c r="Y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30"/>
      <x:c r="J158" s="18"/>
      <x:c r="K158" s="18"/>
      <x:c r="L158" s="18"/>
      <x:c r="M158" s="18"/>
      <x:c r="N158" s="18"/>
      <x:c r="O158" s="18"/>
      <x:c r="P158" s="31"/>
      <x:c r="Q158" s="18"/>
      <x:c r="R158" s="18"/>
      <x:c r="S158" s="18"/>
      <x:c r="T158" s="18"/>
      <x:c r="U158" s="18"/>
      <x:c r="V158" s="18"/>
      <x:c r="W158" s="18"/>
      <x:c r="X158" s="18"/>
      <x:c r="Y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30"/>
      <x:c r="J159" s="18"/>
      <x:c r="K159" s="18"/>
      <x:c r="L159" s="18"/>
      <x:c r="M159" s="18"/>
      <x:c r="N159" s="18"/>
      <x:c r="O159" s="18"/>
      <x:c r="P159" s="31"/>
      <x:c r="Q159" s="18"/>
      <x:c r="R159" s="18"/>
      <x:c r="S159" s="18"/>
      <x:c r="T159" s="18"/>
      <x:c r="U159" s="18"/>
      <x:c r="V159" s="18"/>
      <x:c r="W159" s="18"/>
      <x:c r="X159" s="18"/>
      <x:c r="Y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30"/>
      <x:c r="J160" s="18"/>
      <x:c r="K160" s="18"/>
      <x:c r="L160" s="18"/>
      <x:c r="M160" s="18"/>
      <x:c r="N160" s="18"/>
      <x:c r="O160" s="18"/>
      <x:c r="P160" s="31"/>
      <x:c r="Q160" s="18"/>
      <x:c r="R160" s="18"/>
      <x:c r="S160" s="18"/>
      <x:c r="T160" s="18"/>
      <x:c r="U160" s="18"/>
      <x:c r="V160" s="18"/>
      <x:c r="W160" s="18"/>
      <x:c r="X160" s="18"/>
      <x:c r="Y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30"/>
      <x:c r="J161" s="18"/>
      <x:c r="K161" s="18"/>
      <x:c r="L161" s="18"/>
      <x:c r="M161" s="18"/>
      <x:c r="N161" s="18"/>
      <x:c r="O161" s="18"/>
      <x:c r="P161" s="31"/>
      <x:c r="Q161" s="18"/>
      <x:c r="R161" s="18"/>
      <x:c r="S161" s="18"/>
      <x:c r="T161" s="18"/>
      <x:c r="U161" s="18"/>
      <x:c r="V161" s="18"/>
      <x:c r="W161" s="18"/>
      <x:c r="X161" s="18"/>
      <x:c r="Y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30"/>
      <x:c r="J162" s="18"/>
      <x:c r="K162" s="18"/>
      <x:c r="L162" s="18"/>
      <x:c r="M162" s="18"/>
      <x:c r="N162" s="18"/>
      <x:c r="O162" s="18"/>
      <x:c r="P162" s="31"/>
      <x:c r="Q162" s="18"/>
      <x:c r="R162" s="18"/>
      <x:c r="S162" s="18"/>
      <x:c r="T162" s="18"/>
      <x:c r="U162" s="18"/>
      <x:c r="V162" s="18"/>
      <x:c r="W162" s="18"/>
      <x:c r="X162" s="18"/>
      <x:c r="Y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30"/>
      <x:c r="J163" s="18"/>
      <x:c r="K163" s="18"/>
      <x:c r="L163" s="18"/>
      <x:c r="M163" s="18"/>
      <x:c r="N163" s="18"/>
      <x:c r="O163" s="18"/>
      <x:c r="P163" s="31"/>
      <x:c r="Q163" s="18"/>
      <x:c r="R163" s="18"/>
      <x:c r="S163" s="18"/>
      <x:c r="T163" s="18"/>
      <x:c r="U163" s="18"/>
      <x:c r="V163" s="18"/>
      <x:c r="W163" s="18"/>
      <x:c r="X163" s="18"/>
      <x:c r="Y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30"/>
      <x:c r="J164" s="18"/>
      <x:c r="K164" s="18"/>
      <x:c r="L164" s="18"/>
      <x:c r="M164" s="18"/>
      <x:c r="N164" s="18"/>
      <x:c r="O164" s="18"/>
      <x:c r="P164" s="31"/>
      <x:c r="Q164" s="18"/>
      <x:c r="R164" s="18"/>
      <x:c r="S164" s="18"/>
      <x:c r="T164" s="18"/>
      <x:c r="U164" s="18"/>
      <x:c r="V164" s="18"/>
      <x:c r="W164" s="18"/>
      <x:c r="X164" s="18"/>
      <x:c r="Y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30"/>
      <x:c r="J165" s="18"/>
      <x:c r="K165" s="18"/>
      <x:c r="L165" s="18"/>
      <x:c r="M165" s="18"/>
      <x:c r="N165" s="18"/>
      <x:c r="O165" s="18"/>
      <x:c r="P165" s="31"/>
      <x:c r="Q165" s="18"/>
      <x:c r="R165" s="18"/>
      <x:c r="S165" s="18"/>
      <x:c r="T165" s="18"/>
      <x:c r="U165" s="18"/>
      <x:c r="V165" s="18"/>
      <x:c r="W165" s="18"/>
      <x:c r="X165" s="18"/>
      <x:c r="Y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30"/>
      <x:c r="J166" s="18"/>
      <x:c r="K166" s="18"/>
      <x:c r="L166" s="18"/>
      <x:c r="M166" s="18"/>
      <x:c r="N166" s="18"/>
      <x:c r="O166" s="18"/>
      <x:c r="P166" s="31"/>
      <x:c r="Q166" s="18"/>
      <x:c r="R166" s="18"/>
      <x:c r="S166" s="18"/>
      <x:c r="T166" s="18"/>
      <x:c r="U166" s="18"/>
      <x:c r="V166" s="18"/>
      <x:c r="W166" s="18"/>
      <x:c r="X166" s="18"/>
      <x:c r="Y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30"/>
      <x:c r="J167" s="18"/>
      <x:c r="K167" s="18"/>
      <x:c r="L167" s="18"/>
      <x:c r="M167" s="18"/>
      <x:c r="N167" s="18"/>
      <x:c r="O167" s="18"/>
      <x:c r="P167" s="31"/>
      <x:c r="Q167" s="18"/>
      <x:c r="R167" s="18"/>
      <x:c r="S167" s="18"/>
      <x:c r="T167" s="18"/>
      <x:c r="U167" s="18"/>
      <x:c r="V167" s="18"/>
      <x:c r="W167" s="18"/>
      <x:c r="X167" s="18"/>
      <x:c r="Y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30"/>
      <x:c r="J168" s="18"/>
      <x:c r="K168" s="18"/>
      <x:c r="L168" s="18"/>
      <x:c r="M168" s="18"/>
      <x:c r="N168" s="18"/>
      <x:c r="O168" s="18"/>
      <x:c r="P168" s="31"/>
      <x:c r="Q168" s="18"/>
      <x:c r="R168" s="18"/>
      <x:c r="S168" s="18"/>
      <x:c r="T168" s="18"/>
      <x:c r="U168" s="18"/>
      <x:c r="V168" s="18"/>
      <x:c r="W168" s="18"/>
      <x:c r="X168" s="18"/>
      <x:c r="Y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30"/>
      <x:c r="J169" s="18"/>
      <x:c r="K169" s="18"/>
      <x:c r="L169" s="18"/>
      <x:c r="M169" s="18"/>
      <x:c r="N169" s="18"/>
      <x:c r="O169" s="18"/>
      <x:c r="P169" s="31"/>
      <x:c r="Q169" s="18"/>
      <x:c r="R169" s="18"/>
      <x:c r="S169" s="18"/>
      <x:c r="T169" s="18"/>
      <x:c r="U169" s="18"/>
      <x:c r="V169" s="18"/>
      <x:c r="W169" s="18"/>
      <x:c r="X169" s="18"/>
      <x:c r="Y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30"/>
      <x:c r="J170" s="18"/>
      <x:c r="K170" s="18"/>
      <x:c r="L170" s="18"/>
      <x:c r="M170" s="18"/>
      <x:c r="N170" s="18"/>
      <x:c r="O170" s="18"/>
      <x:c r="P170" s="31"/>
      <x:c r="Q170" s="18"/>
      <x:c r="R170" s="18"/>
      <x:c r="S170" s="18"/>
      <x:c r="T170" s="18"/>
      <x:c r="U170" s="18"/>
      <x:c r="V170" s="18"/>
      <x:c r="W170" s="18"/>
      <x:c r="X170" s="18"/>
      <x:c r="Y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30"/>
      <x:c r="J171" s="18"/>
      <x:c r="K171" s="18"/>
      <x:c r="L171" s="18"/>
      <x:c r="M171" s="18"/>
      <x:c r="N171" s="18"/>
      <x:c r="O171" s="18"/>
      <x:c r="P171" s="31"/>
      <x:c r="Q171" s="18"/>
      <x:c r="R171" s="18"/>
      <x:c r="S171" s="18"/>
      <x:c r="T171" s="18"/>
      <x:c r="U171" s="18"/>
      <x:c r="V171" s="18"/>
      <x:c r="W171" s="18"/>
      <x:c r="X171" s="18"/>
      <x:c r="Y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30"/>
      <x:c r="J172" s="18"/>
      <x:c r="K172" s="18"/>
      <x:c r="L172" s="18"/>
      <x:c r="M172" s="18"/>
      <x:c r="N172" s="18"/>
      <x:c r="O172" s="18"/>
      <x:c r="P172" s="31"/>
      <x:c r="Q172" s="18"/>
      <x:c r="R172" s="18"/>
      <x:c r="S172" s="18"/>
      <x:c r="T172" s="18"/>
      <x:c r="U172" s="18"/>
      <x:c r="V172" s="18"/>
      <x:c r="W172" s="18"/>
      <x:c r="X172" s="18"/>
      <x:c r="Y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30"/>
      <x:c r="J173" s="18"/>
      <x:c r="K173" s="18"/>
      <x:c r="L173" s="18"/>
      <x:c r="M173" s="18"/>
      <x:c r="N173" s="18"/>
      <x:c r="O173" s="18"/>
      <x:c r="P173" s="31"/>
      <x:c r="Q173" s="18"/>
      <x:c r="R173" s="18"/>
      <x:c r="S173" s="18"/>
      <x:c r="T173" s="18"/>
      <x:c r="U173" s="18"/>
      <x:c r="V173" s="18"/>
      <x:c r="W173" s="18"/>
      <x:c r="X173" s="18"/>
      <x:c r="Y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30"/>
      <x:c r="J174" s="18"/>
      <x:c r="K174" s="18"/>
      <x:c r="L174" s="18"/>
      <x:c r="M174" s="18"/>
      <x:c r="N174" s="18"/>
      <x:c r="O174" s="18"/>
      <x:c r="P174" s="31"/>
      <x:c r="Q174" s="18"/>
      <x:c r="R174" s="18"/>
      <x:c r="S174" s="18"/>
      <x:c r="T174" s="18"/>
      <x:c r="U174" s="18"/>
      <x:c r="V174" s="18"/>
      <x:c r="W174" s="18"/>
      <x:c r="X174" s="18"/>
      <x:c r="Y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30"/>
      <x:c r="J175" s="18"/>
      <x:c r="K175" s="18"/>
      <x:c r="L175" s="18"/>
      <x:c r="M175" s="18"/>
      <x:c r="N175" s="18"/>
      <x:c r="O175" s="18"/>
      <x:c r="P175" s="31"/>
      <x:c r="Q175" s="18"/>
      <x:c r="R175" s="18"/>
      <x:c r="S175" s="18"/>
      <x:c r="T175" s="18"/>
      <x:c r="U175" s="18"/>
      <x:c r="V175" s="18"/>
      <x:c r="W175" s="18"/>
      <x:c r="X175" s="18"/>
      <x:c r="Y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30"/>
      <x:c r="J176" s="18"/>
      <x:c r="K176" s="18"/>
      <x:c r="L176" s="18"/>
      <x:c r="M176" s="18"/>
      <x:c r="N176" s="18"/>
      <x:c r="O176" s="18"/>
      <x:c r="P176" s="31"/>
      <x:c r="Q176" s="18"/>
      <x:c r="R176" s="18"/>
      <x:c r="S176" s="18"/>
      <x:c r="T176" s="18"/>
      <x:c r="U176" s="18"/>
      <x:c r="V176" s="18"/>
      <x:c r="W176" s="18"/>
      <x:c r="X176" s="18"/>
      <x:c r="Y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30"/>
      <x:c r="J177" s="18"/>
      <x:c r="K177" s="18"/>
      <x:c r="L177" s="18"/>
      <x:c r="M177" s="18"/>
      <x:c r="N177" s="18"/>
      <x:c r="O177" s="18"/>
      <x:c r="P177" s="31"/>
      <x:c r="Q177" s="18"/>
      <x:c r="R177" s="18"/>
      <x:c r="S177" s="18"/>
      <x:c r="T177" s="18"/>
      <x:c r="U177" s="18"/>
      <x:c r="V177" s="18"/>
      <x:c r="W177" s="18"/>
      <x:c r="X177" s="18"/>
      <x:c r="Y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30"/>
      <x:c r="J178" s="18"/>
      <x:c r="K178" s="18"/>
      <x:c r="L178" s="18"/>
      <x:c r="M178" s="18"/>
      <x:c r="N178" s="18"/>
      <x:c r="O178" s="18"/>
      <x:c r="P178" s="31"/>
      <x:c r="Q178" s="18"/>
      <x:c r="R178" s="18"/>
      <x:c r="S178" s="18"/>
      <x:c r="T178" s="18"/>
      <x:c r="U178" s="18"/>
      <x:c r="V178" s="18"/>
      <x:c r="W178" s="18"/>
      <x:c r="X178" s="18"/>
      <x:c r="Y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30"/>
      <x:c r="J179" s="18"/>
      <x:c r="K179" s="18"/>
      <x:c r="L179" s="18"/>
      <x:c r="M179" s="18"/>
      <x:c r="N179" s="18"/>
      <x:c r="O179" s="18"/>
      <x:c r="P179" s="31"/>
      <x:c r="Q179" s="18"/>
      <x:c r="R179" s="18"/>
      <x:c r="S179" s="18"/>
      <x:c r="T179" s="18"/>
      <x:c r="U179" s="18"/>
      <x:c r="V179" s="18"/>
      <x:c r="W179" s="18"/>
      <x:c r="X179" s="18"/>
      <x:c r="Y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30"/>
      <x:c r="J180" s="18"/>
      <x:c r="K180" s="18"/>
      <x:c r="L180" s="18"/>
      <x:c r="M180" s="18"/>
      <x:c r="N180" s="18"/>
      <x:c r="O180" s="18"/>
      <x:c r="P180" s="31"/>
      <x:c r="Q180" s="18"/>
      <x:c r="R180" s="18"/>
      <x:c r="S180" s="18"/>
      <x:c r="T180" s="18"/>
      <x:c r="U180" s="18"/>
      <x:c r="V180" s="18"/>
      <x:c r="W180" s="18"/>
      <x:c r="X180" s="18"/>
      <x:c r="Y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30"/>
      <x:c r="J181" s="18"/>
      <x:c r="K181" s="18"/>
      <x:c r="L181" s="18"/>
      <x:c r="M181" s="18"/>
      <x:c r="N181" s="18"/>
      <x:c r="O181" s="18"/>
      <x:c r="P181" s="31"/>
      <x:c r="Q181" s="18"/>
      <x:c r="R181" s="18"/>
      <x:c r="S181" s="18"/>
      <x:c r="T181" s="18"/>
      <x:c r="U181" s="18"/>
      <x:c r="V181" s="18"/>
      <x:c r="W181" s="18"/>
      <x:c r="X181" s="18"/>
      <x:c r="Y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30"/>
      <x:c r="J182" s="18"/>
      <x:c r="K182" s="18"/>
      <x:c r="L182" s="18"/>
      <x:c r="M182" s="18"/>
      <x:c r="N182" s="18"/>
      <x:c r="O182" s="18"/>
      <x:c r="P182" s="31"/>
      <x:c r="Q182" s="18"/>
      <x:c r="R182" s="18"/>
      <x:c r="S182" s="18"/>
      <x:c r="T182" s="18"/>
      <x:c r="U182" s="18"/>
      <x:c r="V182" s="18"/>
      <x:c r="W182" s="18"/>
      <x:c r="X182" s="18"/>
      <x:c r="Y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30"/>
      <x:c r="J183" s="18"/>
      <x:c r="K183" s="18"/>
      <x:c r="L183" s="18"/>
      <x:c r="M183" s="18"/>
      <x:c r="N183" s="18"/>
      <x:c r="O183" s="18"/>
      <x:c r="P183" s="31"/>
      <x:c r="Q183" s="18"/>
      <x:c r="R183" s="18"/>
      <x:c r="S183" s="18"/>
      <x:c r="T183" s="18"/>
      <x:c r="U183" s="18"/>
      <x:c r="V183" s="18"/>
      <x:c r="W183" s="18"/>
      <x:c r="X183" s="18"/>
      <x:c r="Y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30"/>
      <x:c r="J184" s="18"/>
      <x:c r="K184" s="18"/>
      <x:c r="L184" s="18"/>
      <x:c r="M184" s="18"/>
      <x:c r="N184" s="18"/>
      <x:c r="O184" s="18"/>
      <x:c r="P184" s="31"/>
      <x:c r="Q184" s="18"/>
      <x:c r="R184" s="18"/>
      <x:c r="S184" s="18"/>
      <x:c r="T184" s="18"/>
      <x:c r="U184" s="18"/>
      <x:c r="V184" s="18"/>
      <x:c r="W184" s="18"/>
      <x:c r="X184" s="18"/>
      <x:c r="Y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30"/>
      <x:c r="J185" s="18"/>
      <x:c r="K185" s="18"/>
      <x:c r="L185" s="18"/>
      <x:c r="M185" s="18"/>
      <x:c r="N185" s="18"/>
      <x:c r="O185" s="18"/>
      <x:c r="P185" s="31"/>
      <x:c r="Q185" s="18"/>
      <x:c r="R185" s="18"/>
      <x:c r="S185" s="18"/>
      <x:c r="T185" s="18"/>
      <x:c r="U185" s="18"/>
      <x:c r="V185" s="18"/>
      <x:c r="W185" s="18"/>
      <x:c r="X185" s="18"/>
      <x:c r="Y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30"/>
      <x:c r="J186" s="18"/>
      <x:c r="K186" s="18"/>
      <x:c r="L186" s="18"/>
      <x:c r="M186" s="18"/>
      <x:c r="N186" s="18"/>
      <x:c r="O186" s="18"/>
      <x:c r="P186" s="31"/>
      <x:c r="Q186" s="18"/>
      <x:c r="R186" s="18"/>
      <x:c r="S186" s="18"/>
      <x:c r="T186" s="18"/>
      <x:c r="U186" s="18"/>
      <x:c r="V186" s="18"/>
      <x:c r="W186" s="18"/>
      <x:c r="X186" s="18"/>
      <x:c r="Y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30"/>
      <x:c r="J187" s="18"/>
      <x:c r="K187" s="18"/>
      <x:c r="L187" s="18"/>
      <x:c r="M187" s="18"/>
      <x:c r="N187" s="18"/>
      <x:c r="O187" s="18"/>
      <x:c r="P187" s="31"/>
      <x:c r="Q187" s="18"/>
      <x:c r="R187" s="18"/>
      <x:c r="S187" s="18"/>
      <x:c r="T187" s="18"/>
      <x:c r="U187" s="18"/>
      <x:c r="V187" s="18"/>
      <x:c r="W187" s="18"/>
      <x:c r="X187" s="18"/>
      <x:c r="Y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30"/>
      <x:c r="J188" s="18"/>
      <x:c r="K188" s="18"/>
      <x:c r="L188" s="18"/>
      <x:c r="M188" s="18"/>
      <x:c r="N188" s="18"/>
      <x:c r="O188" s="18"/>
      <x:c r="P188" s="31"/>
      <x:c r="Q188" s="18"/>
      <x:c r="R188" s="18"/>
      <x:c r="S188" s="18"/>
      <x:c r="T188" s="18"/>
      <x:c r="U188" s="18"/>
      <x:c r="V188" s="18"/>
      <x:c r="W188" s="18"/>
      <x:c r="X188" s="18"/>
      <x:c r="Y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30"/>
      <x:c r="J189" s="18"/>
      <x:c r="K189" s="18"/>
      <x:c r="L189" s="18"/>
      <x:c r="M189" s="18"/>
      <x:c r="N189" s="18"/>
      <x:c r="O189" s="18"/>
      <x:c r="P189" s="31"/>
      <x:c r="Q189" s="18"/>
      <x:c r="R189" s="18"/>
      <x:c r="S189" s="18"/>
      <x:c r="T189" s="18"/>
      <x:c r="U189" s="18"/>
      <x:c r="V189" s="18"/>
      <x:c r="W189" s="18"/>
      <x:c r="X189" s="18"/>
      <x:c r="Y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30"/>
      <x:c r="J190" s="18"/>
      <x:c r="K190" s="18"/>
      <x:c r="L190" s="18"/>
      <x:c r="M190" s="18"/>
      <x:c r="N190" s="18"/>
      <x:c r="O190" s="18"/>
      <x:c r="P190" s="31"/>
      <x:c r="Q190" s="18"/>
      <x:c r="R190" s="18"/>
      <x:c r="S190" s="18"/>
      <x:c r="T190" s="18"/>
      <x:c r="U190" s="18"/>
      <x:c r="V190" s="18"/>
      <x:c r="W190" s="18"/>
      <x:c r="X190" s="18"/>
      <x:c r="Y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30"/>
      <x:c r="J191" s="18"/>
      <x:c r="K191" s="18"/>
      <x:c r="L191" s="18"/>
      <x:c r="M191" s="18"/>
      <x:c r="N191" s="18"/>
      <x:c r="O191" s="18"/>
      <x:c r="P191" s="31"/>
      <x:c r="Q191" s="18"/>
      <x:c r="R191" s="18"/>
      <x:c r="S191" s="18"/>
      <x:c r="T191" s="18"/>
      <x:c r="U191" s="18"/>
      <x:c r="V191" s="18"/>
      <x:c r="W191" s="18"/>
      <x:c r="X191" s="18"/>
      <x:c r="Y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30"/>
      <x:c r="J192" s="18"/>
      <x:c r="K192" s="18"/>
      <x:c r="L192" s="18"/>
      <x:c r="M192" s="18"/>
      <x:c r="N192" s="18"/>
      <x:c r="O192" s="18"/>
      <x:c r="P192" s="31"/>
      <x:c r="Q192" s="18"/>
      <x:c r="R192" s="18"/>
      <x:c r="S192" s="18"/>
      <x:c r="T192" s="18"/>
      <x:c r="U192" s="18"/>
      <x:c r="V192" s="18"/>
      <x:c r="W192" s="18"/>
      <x:c r="X192" s="18"/>
      <x:c r="Y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30"/>
      <x:c r="J193" s="18"/>
      <x:c r="K193" s="18"/>
      <x:c r="L193" s="18"/>
      <x:c r="M193" s="18"/>
      <x:c r="N193" s="18"/>
      <x:c r="O193" s="18"/>
      <x:c r="P193" s="31"/>
      <x:c r="Q193" s="18"/>
      <x:c r="R193" s="18"/>
      <x:c r="S193" s="18"/>
      <x:c r="T193" s="18"/>
      <x:c r="U193" s="18"/>
      <x:c r="V193" s="18"/>
      <x:c r="W193" s="18"/>
      <x:c r="X193" s="18"/>
      <x:c r="Y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30"/>
      <x:c r="J194" s="18"/>
      <x:c r="K194" s="18"/>
      <x:c r="L194" s="18"/>
      <x:c r="M194" s="18"/>
      <x:c r="N194" s="18"/>
      <x:c r="O194" s="18"/>
      <x:c r="P194" s="31"/>
      <x:c r="Q194" s="18"/>
      <x:c r="R194" s="18"/>
      <x:c r="S194" s="18"/>
      <x:c r="T194" s="18"/>
      <x:c r="U194" s="18"/>
      <x:c r="V194" s="18"/>
      <x:c r="W194" s="18"/>
      <x:c r="X194" s="18"/>
      <x:c r="Y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30"/>
      <x:c r="J195" s="18"/>
      <x:c r="K195" s="18"/>
      <x:c r="L195" s="18"/>
      <x:c r="M195" s="18"/>
      <x:c r="N195" s="18"/>
      <x:c r="O195" s="18"/>
      <x:c r="P195" s="31"/>
      <x:c r="Q195" s="18"/>
      <x:c r="R195" s="18"/>
      <x:c r="S195" s="18"/>
      <x:c r="T195" s="18"/>
      <x:c r="U195" s="18"/>
      <x:c r="V195" s="18"/>
      <x:c r="W195" s="18"/>
      <x:c r="X195" s="18"/>
      <x:c r="Y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30"/>
      <x:c r="J196" s="18"/>
      <x:c r="K196" s="18"/>
      <x:c r="L196" s="18"/>
      <x:c r="M196" s="18"/>
      <x:c r="N196" s="18"/>
      <x:c r="O196" s="18"/>
      <x:c r="P196" s="31"/>
      <x:c r="Q196" s="18"/>
      <x:c r="R196" s="18"/>
      <x:c r="S196" s="18"/>
      <x:c r="T196" s="18"/>
      <x:c r="U196" s="18"/>
      <x:c r="V196" s="18"/>
      <x:c r="W196" s="18"/>
      <x:c r="X196" s="18"/>
      <x:c r="Y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30"/>
      <x:c r="J197" s="18"/>
      <x:c r="K197" s="18"/>
      <x:c r="L197" s="18"/>
      <x:c r="M197" s="18"/>
      <x:c r="N197" s="18"/>
      <x:c r="O197" s="18"/>
      <x:c r="P197" s="31"/>
      <x:c r="Q197" s="18"/>
      <x:c r="R197" s="18"/>
      <x:c r="S197" s="18"/>
      <x:c r="T197" s="18"/>
      <x:c r="U197" s="18"/>
      <x:c r="V197" s="18"/>
      <x:c r="W197" s="18"/>
      <x:c r="X197" s="18"/>
      <x:c r="Y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30"/>
      <x:c r="J198" s="18"/>
      <x:c r="K198" s="18"/>
      <x:c r="L198" s="18"/>
      <x:c r="M198" s="18"/>
      <x:c r="N198" s="18"/>
      <x:c r="O198" s="18"/>
      <x:c r="P198" s="31"/>
      <x:c r="Q198" s="18"/>
      <x:c r="R198" s="18"/>
      <x:c r="S198" s="18"/>
      <x:c r="T198" s="18"/>
      <x:c r="U198" s="18"/>
      <x:c r="V198" s="18"/>
      <x:c r="W198" s="18"/>
      <x:c r="X198" s="18"/>
      <x:c r="Y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30"/>
      <x:c r="J199" s="18"/>
      <x:c r="K199" s="18"/>
      <x:c r="L199" s="18"/>
      <x:c r="M199" s="18"/>
      <x:c r="N199" s="18"/>
      <x:c r="O199" s="18"/>
      <x:c r="P199" s="31"/>
      <x:c r="Q199" s="18"/>
      <x:c r="R199" s="18"/>
      <x:c r="S199" s="18"/>
      <x:c r="T199" s="18"/>
      <x:c r="U199" s="18"/>
      <x:c r="V199" s="18"/>
      <x:c r="W199" s="18"/>
      <x:c r="X199" s="18"/>
      <x:c r="Y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30"/>
      <x:c r="J200" s="18"/>
      <x:c r="K200" s="18"/>
      <x:c r="L200" s="18"/>
      <x:c r="M200" s="18"/>
      <x:c r="N200" s="18"/>
      <x:c r="O200" s="18"/>
      <x:c r="P200" s="31"/>
      <x:c r="Q200" s="18"/>
      <x:c r="R200" s="18"/>
      <x:c r="S200" s="18"/>
      <x:c r="T200" s="18"/>
      <x:c r="U200" s="18"/>
      <x:c r="V200" s="18"/>
      <x:c r="W200" s="18"/>
      <x:c r="X200" s="18"/>
      <x:c r="Y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30"/>
      <x:c r="J201" s="18"/>
      <x:c r="K201" s="18"/>
      <x:c r="L201" s="18"/>
      <x:c r="M201" s="18"/>
      <x:c r="N201" s="18"/>
      <x:c r="O201" s="18"/>
      <x:c r="P201" s="31"/>
      <x:c r="Q201" s="18"/>
      <x:c r="R201" s="18"/>
      <x:c r="S201" s="18"/>
      <x:c r="T201" s="18"/>
      <x:c r="U201" s="18"/>
      <x:c r="V201" s="18"/>
      <x:c r="W201" s="18"/>
      <x:c r="X201" s="18"/>
      <x:c r="Y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30"/>
      <x:c r="J202" s="18"/>
      <x:c r="K202" s="18"/>
      <x:c r="L202" s="18"/>
      <x:c r="M202" s="18"/>
      <x:c r="N202" s="18"/>
      <x:c r="O202" s="18"/>
      <x:c r="P202" s="31"/>
      <x:c r="Q202" s="18"/>
      <x:c r="R202" s="18"/>
      <x:c r="S202" s="18"/>
      <x:c r="T202" s="18"/>
      <x:c r="U202" s="18"/>
      <x:c r="V202" s="18"/>
      <x:c r="W202" s="18"/>
      <x:c r="X202" s="18"/>
      <x:c r="Y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30"/>
      <x:c r="J203" s="18"/>
      <x:c r="K203" s="18"/>
      <x:c r="L203" s="18"/>
      <x:c r="M203" s="18"/>
      <x:c r="N203" s="18"/>
      <x:c r="O203" s="18"/>
      <x:c r="P203" s="31"/>
      <x:c r="Q203" s="18"/>
      <x:c r="R203" s="18"/>
      <x:c r="S203" s="18"/>
      <x:c r="T203" s="18"/>
      <x:c r="U203" s="18"/>
      <x:c r="V203" s="18"/>
      <x:c r="W203" s="18"/>
      <x:c r="X203" s="18"/>
      <x:c r="Y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30"/>
      <x:c r="J204" s="18"/>
      <x:c r="K204" s="18"/>
      <x:c r="L204" s="18"/>
      <x:c r="M204" s="18"/>
      <x:c r="N204" s="18"/>
      <x:c r="O204" s="18"/>
      <x:c r="P204" s="31"/>
      <x:c r="Q204" s="18"/>
      <x:c r="R204" s="18"/>
      <x:c r="S204" s="18"/>
      <x:c r="T204" s="18"/>
      <x:c r="U204" s="18"/>
      <x:c r="V204" s="18"/>
      <x:c r="W204" s="18"/>
      <x:c r="X204" s="18"/>
      <x:c r="Y204" s="18"/>
    </x:row>
  </x:sheetData>
  <x:dataValidations count="6">
    <x:dataValidation type="list" sqref="H5:H204">
      <x:formula1>"physical_material,physical_energy,environment_exchange,allocated_burden,substitution_candidate"</x:formula1>
    </x:dataValidation>
    <x:dataValidation type="list" sqref="E5:E204">
      <x:formula1>"Input,Output,Internal transfer,Emission,Waste,Coproduct"</x:formula1>
    </x:dataValidation>
    <x:dataValidation type="list" sqref="S5:S204">
      <x:formula1>"是,否"</x:formula1>
    </x:dataValidation>
    <x:dataValidation type="list" sqref="T5:T204">
      <x:formula1>"adopted_physical,adopted_environment,source_allocation_excluded,substitution_deferred,review"</x:formula1>
    </x:dataValidation>
    <x:dataValidation type="list" sqref="V5:V204">
      <x:formula1>"PASS,PASS_WITH_NOTE,REVIEW,BLOCKED,NOT_APPLICABLE"</x:formula1>
    </x:dataValidation>
    <x:dataValidation type="list" sqref="W5:W204">
      <x:formula1>"是,否,待确认"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6" hidden="0" customWidth="1"/>
    <x:col min="5" max="5" width="44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20" hidden="0" customWidth="1"/>
    <x:col min="12" max="12" width="16" hidden="0" customWidth="1"/>
    <x:col min="13" max="13" width="44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4" customHeight="1">
      <x:c r="A1" s="1" t="str">
        <x:v>核算检查</x:v>
      </x:c>
    </x:row>
    <x:row r="2" ht="24" customHeight="1">
      <x:c r="A2" s="2" t="str">
        <x:v>检查表只记录诊断，不作为模型输入。BLOCKED 未解决前不得冻结。</x:v>
      </x:c>
    </x:row>
    <x:row r="4" ht="28" customHeight="1">
      <x:c r="A4" s="14" t="str">
        <x:v>检查ID</x:v>
      </x:c>
      <x:c r="B4" s="15" t="str">
        <x:v>检查类型</x:v>
      </x:c>
      <x:c r="C4" s="15" t="str">
        <x:v>对象类型</x:v>
      </x:c>
      <x:c r="D4" s="15" t="str">
        <x:v>对象ID</x:v>
      </x:c>
      <x:c r="E4" s="15" t="str">
        <x:v>检查方法/公式</x:v>
      </x:c>
      <x:c r="F4" s="15" t="str">
        <x:v>期望值</x:v>
      </x:c>
      <x:c r="G4" s="15" t="str">
        <x:v>实际值</x:v>
      </x:c>
      <x:c r="H4" s="15" t="str">
        <x:v>单位</x:v>
      </x:c>
      <x:c r="I4" s="15" t="str">
        <x:v>容差</x:v>
      </x:c>
      <x:c r="J4" s="15" t="str">
        <x:v>差值</x:v>
      </x:c>
      <x:c r="K4" s="15" t="str">
        <x:v>结果</x:v>
      </x:c>
      <x:c r="L4" s="15" t="str">
        <x:v>问题ID</x:v>
      </x:c>
      <x:c r="M4" s="16" t="str">
        <x:v>说明</x:v>
      </x:c>
      <x:c r="N4" s="42" t="str">
        <x:v>审查路线</x:v>
      </x:c>
      <x:c r="O4" s="42" t="str">
        <x:v>实际验证结论</x:v>
      </x:c>
      <x:c r="P4" s="42" t="str">
        <x:v>影响对象ID</x:v>
      </x:c>
    </x:row>
    <x:row r="5">
      <x:c r="A5" s="18"/>
      <x:c r="B5" s="18"/>
      <x:c r="C5" s="18"/>
      <x:c r="D5" s="18"/>
      <x:c r="E5" s="18"/>
      <x:c r="F5" s="30"/>
      <x:c r="G5" s="30"/>
      <x:c r="H5" s="30"/>
      <x:c r="I5" s="30"/>
      <x:c r="J5" s="30" t="str">
        <x:f>IF(OR(F5="",G5=""),"",G5-F5)</x:f>
      </x:c>
      <x:c r="K5" s="18"/>
      <x:c r="L5" s="18"/>
      <x:c r="M5" s="18"/>
    </x:row>
    <x:row r="6">
      <x:c r="A6" s="18"/>
      <x:c r="B6" s="18"/>
      <x:c r="C6" s="18"/>
      <x:c r="D6" s="18"/>
      <x:c r="E6" s="18"/>
      <x:c r="F6" s="30"/>
      <x:c r="G6" s="30"/>
      <x:c r="H6" s="30"/>
      <x:c r="I6" s="30"/>
      <x:c r="J6" s="30" t="str">
        <x:f>IF(OR(F6="",G6=""),"",G6-F6)</x:f>
      </x:c>
      <x:c r="K6" s="18"/>
      <x:c r="L6" s="18"/>
      <x:c r="M6" s="18"/>
    </x:row>
    <x:row r="7">
      <x:c r="A7" s="18"/>
      <x:c r="B7" s="18"/>
      <x:c r="C7" s="18"/>
      <x:c r="D7" s="18"/>
      <x:c r="E7" s="18"/>
      <x:c r="F7" s="30"/>
      <x:c r="G7" s="30"/>
      <x:c r="H7" s="30"/>
      <x:c r="I7" s="30"/>
      <x:c r="J7" s="30" t="str">
        <x:f>IF(OR(F7="",G7=""),"",G7-F7)</x:f>
      </x:c>
      <x:c r="K7" s="18"/>
      <x:c r="L7" s="18"/>
      <x:c r="M7" s="18"/>
    </x:row>
    <x:row r="8">
      <x:c r="A8" s="18"/>
      <x:c r="B8" s="18"/>
      <x:c r="C8" s="18"/>
      <x:c r="D8" s="18"/>
      <x:c r="E8" s="18"/>
      <x:c r="F8" s="30"/>
      <x:c r="G8" s="30"/>
      <x:c r="H8" s="30"/>
      <x:c r="I8" s="30"/>
      <x:c r="J8" s="30" t="str">
        <x:f>IF(OR(F8="",G8=""),"",G8-F8)</x:f>
      </x:c>
      <x:c r="K8" s="18"/>
      <x:c r="L8" s="18"/>
      <x:c r="M8" s="18"/>
    </x:row>
    <x:row r="9">
      <x:c r="A9" s="18"/>
      <x:c r="B9" s="18"/>
      <x:c r="C9" s="18"/>
      <x:c r="D9" s="18"/>
      <x:c r="E9" s="18"/>
      <x:c r="F9" s="30"/>
      <x:c r="G9" s="30"/>
      <x:c r="H9" s="30"/>
      <x:c r="I9" s="30"/>
      <x:c r="J9" s="30" t="str">
        <x:f>IF(OR(F9="",G9=""),"",G9-F9)</x:f>
      </x:c>
      <x:c r="K9" s="18"/>
      <x:c r="L9" s="18"/>
      <x:c r="M9" s="18"/>
    </x:row>
    <x:row r="10">
      <x:c r="A10" s="18"/>
      <x:c r="B10" s="18"/>
      <x:c r="C10" s="18"/>
      <x:c r="D10" s="18"/>
      <x:c r="E10" s="18"/>
      <x:c r="F10" s="30"/>
      <x:c r="G10" s="30"/>
      <x:c r="H10" s="30"/>
      <x:c r="I10" s="30"/>
      <x:c r="J10" s="30" t="str">
        <x:f>IF(OR(F10="",G10=""),"",G10-F10)</x:f>
      </x:c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30"/>
      <x:c r="G11" s="30"/>
      <x:c r="H11" s="30"/>
      <x:c r="I11" s="30"/>
      <x:c r="J11" s="30" t="str">
        <x:f>IF(OR(F11="",G11=""),"",G11-F11)</x:f>
      </x:c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30"/>
      <x:c r="G12" s="30"/>
      <x:c r="H12" s="30"/>
      <x:c r="I12" s="30"/>
      <x:c r="J12" s="30" t="str">
        <x:f>IF(OR(F12="",G12=""),"",G12-F12)</x:f>
      </x:c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30"/>
      <x:c r="G13" s="30"/>
      <x:c r="H13" s="30"/>
      <x:c r="I13" s="30"/>
      <x:c r="J13" s="30" t="str">
        <x:f>IF(OR(F13="",G13=""),"",G13-F13)</x:f>
      </x:c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30"/>
      <x:c r="G14" s="30"/>
      <x:c r="H14" s="30"/>
      <x:c r="I14" s="30"/>
      <x:c r="J14" s="30" t="str">
        <x:f>IF(OR(F14="",G14=""),"",G14-F14)</x:f>
      </x:c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30"/>
      <x:c r="G15" s="30"/>
      <x:c r="H15" s="30"/>
      <x:c r="I15" s="30"/>
      <x:c r="J15" s="30" t="str">
        <x:f>IF(OR(F15="",G15=""),"",G15-F15)</x:f>
      </x:c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30"/>
      <x:c r="G16" s="30"/>
      <x:c r="H16" s="30"/>
      <x:c r="I16" s="30"/>
      <x:c r="J16" s="30" t="str">
        <x:f>IF(OR(F16="",G16=""),"",G16-F16)</x:f>
      </x:c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30"/>
      <x:c r="G17" s="30"/>
      <x:c r="H17" s="30"/>
      <x:c r="I17" s="30"/>
      <x:c r="J17" s="30" t="str">
        <x:f>IF(OR(F17="",G17=""),"",G17-F17)</x:f>
      </x:c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30"/>
      <x:c r="G18" s="30"/>
      <x:c r="H18" s="30"/>
      <x:c r="I18" s="30"/>
      <x:c r="J18" s="30" t="str">
        <x:f>IF(OR(F18="",G18=""),"",G18-F18)</x:f>
      </x:c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30"/>
      <x:c r="G19" s="30"/>
      <x:c r="H19" s="30"/>
      <x:c r="I19" s="30"/>
      <x:c r="J19" s="30" t="str">
        <x:f>IF(OR(F19="",G19=""),"",G19-F19)</x:f>
      </x:c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30"/>
      <x:c r="G20" s="30"/>
      <x:c r="H20" s="30"/>
      <x:c r="I20" s="30"/>
      <x:c r="J20" s="30" t="str">
        <x:f>IF(OR(F20="",G20=""),"",G20-F20)</x:f>
      </x:c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30"/>
      <x:c r="G21" s="30"/>
      <x:c r="H21" s="30"/>
      <x:c r="I21" s="30"/>
      <x:c r="J21" s="30" t="str">
        <x:f>IF(OR(F21="",G21=""),"",G21-F21)</x:f>
      </x:c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30"/>
      <x:c r="G22" s="30"/>
      <x:c r="H22" s="30"/>
      <x:c r="I22" s="30"/>
      <x:c r="J22" s="30" t="str">
        <x:f>IF(OR(F22="",G22=""),"",G22-F22)</x:f>
      </x:c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30"/>
      <x:c r="G23" s="30"/>
      <x:c r="H23" s="30"/>
      <x:c r="I23" s="30"/>
      <x:c r="J23" s="30" t="str">
        <x:f>IF(OR(F23="",G23=""),"",G23-F23)</x:f>
      </x:c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30"/>
      <x:c r="G24" s="30"/>
      <x:c r="H24" s="30"/>
      <x:c r="I24" s="30"/>
      <x:c r="J24" s="30" t="str">
        <x:f>IF(OR(F24="",G24=""),"",G24-F24)</x:f>
      </x:c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30"/>
      <x:c r="G25" s="30"/>
      <x:c r="H25" s="30"/>
      <x:c r="I25" s="30"/>
      <x:c r="J25" s="30" t="str">
        <x:f>IF(OR(F25="",G25=""),"",G25-F25)</x:f>
      </x:c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30"/>
      <x:c r="G26" s="30"/>
      <x:c r="H26" s="30"/>
      <x:c r="I26" s="30"/>
      <x:c r="J26" s="30" t="str">
        <x:f>IF(OR(F26="",G26=""),"",G26-F26)</x:f>
      </x:c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30"/>
      <x:c r="G27" s="30"/>
      <x:c r="H27" s="30"/>
      <x:c r="I27" s="30"/>
      <x:c r="J27" s="30" t="str">
        <x:f>IF(OR(F27="",G27=""),"",G27-F27)</x:f>
      </x:c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30"/>
      <x:c r="G28" s="30"/>
      <x:c r="H28" s="30"/>
      <x:c r="I28" s="30"/>
      <x:c r="J28" s="30" t="str">
        <x:f>IF(OR(F28="",G28=""),"",G28-F28)</x:f>
      </x:c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30"/>
      <x:c r="G29" s="30"/>
      <x:c r="H29" s="30"/>
      <x:c r="I29" s="30"/>
      <x:c r="J29" s="30" t="str">
        <x:f>IF(OR(F29="",G29=""),"",G29-F29)</x:f>
      </x:c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30"/>
      <x:c r="G30" s="30"/>
      <x:c r="H30" s="30"/>
      <x:c r="I30" s="30"/>
      <x:c r="J30" s="30" t="str">
        <x:f>IF(OR(F30="",G30=""),"",G30-F30)</x:f>
      </x:c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30"/>
      <x:c r="G31" s="30"/>
      <x:c r="H31" s="30"/>
      <x:c r="I31" s="30"/>
      <x:c r="J31" s="30" t="str">
        <x:f>IF(OR(F31="",G31=""),"",G31-F31)</x:f>
      </x:c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30"/>
      <x:c r="G32" s="30"/>
      <x:c r="H32" s="30"/>
      <x:c r="I32" s="30"/>
      <x:c r="J32" s="30" t="str">
        <x:f>IF(OR(F32="",G32=""),"",G32-F32)</x:f>
      </x:c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30"/>
      <x:c r="G33" s="30"/>
      <x:c r="H33" s="30"/>
      <x:c r="I33" s="30"/>
      <x:c r="J33" s="30" t="str">
        <x:f>IF(OR(F33="",G33=""),"",G33-F33)</x:f>
      </x:c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30"/>
      <x:c r="G34" s="30"/>
      <x:c r="H34" s="30"/>
      <x:c r="I34" s="30"/>
      <x:c r="J34" s="30" t="str">
        <x:f>IF(OR(F34="",G34=""),"",G34-F34)</x:f>
      </x:c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30"/>
      <x:c r="G35" s="30"/>
      <x:c r="H35" s="30"/>
      <x:c r="I35" s="30"/>
      <x:c r="J35" s="30" t="str">
        <x:f>IF(OR(F35="",G35=""),"",G35-F35)</x:f>
      </x:c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30"/>
      <x:c r="G36" s="30"/>
      <x:c r="H36" s="30"/>
      <x:c r="I36" s="30"/>
      <x:c r="J36" s="30" t="str">
        <x:f>IF(OR(F36="",G36=""),"",G36-F36)</x:f>
      </x:c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30"/>
      <x:c r="G37" s="30"/>
      <x:c r="H37" s="30"/>
      <x:c r="I37" s="30"/>
      <x:c r="J37" s="30" t="str">
        <x:f>IF(OR(F37="",G37=""),"",G37-F37)</x:f>
      </x:c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30"/>
      <x:c r="G38" s="30"/>
      <x:c r="H38" s="30"/>
      <x:c r="I38" s="30"/>
      <x:c r="J38" s="30" t="str">
        <x:f>IF(OR(F38="",G38=""),"",G38-F38)</x:f>
      </x:c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30"/>
      <x:c r="G39" s="30"/>
      <x:c r="H39" s="30"/>
      <x:c r="I39" s="30"/>
      <x:c r="J39" s="30" t="str">
        <x:f>IF(OR(F39="",G39=""),"",G39-F39)</x:f>
      </x:c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30"/>
      <x:c r="G40" s="30"/>
      <x:c r="H40" s="30"/>
      <x:c r="I40" s="30"/>
      <x:c r="J40" s="30" t="str">
        <x:f>IF(OR(F40="",G40=""),"",G40-F40)</x:f>
      </x:c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30"/>
      <x:c r="G41" s="30"/>
      <x:c r="H41" s="30"/>
      <x:c r="I41" s="30"/>
      <x:c r="J41" s="30" t="str">
        <x:f>IF(OR(F41="",G41=""),"",G41-F41)</x:f>
      </x:c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30"/>
      <x:c r="G42" s="30"/>
      <x:c r="H42" s="30"/>
      <x:c r="I42" s="30"/>
      <x:c r="J42" s="30" t="str">
        <x:f>IF(OR(F42="",G42=""),"",G42-F42)</x:f>
      </x:c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30"/>
      <x:c r="G43" s="30"/>
      <x:c r="H43" s="30"/>
      <x:c r="I43" s="30"/>
      <x:c r="J43" s="30" t="str">
        <x:f>IF(OR(F43="",G43=""),"",G43-F43)</x:f>
      </x:c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30"/>
      <x:c r="G44" s="30"/>
      <x:c r="H44" s="30"/>
      <x:c r="I44" s="30"/>
      <x:c r="J44" s="30" t="str">
        <x:f>IF(OR(F44="",G44=""),"",G44-F44)</x:f>
      </x:c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30"/>
      <x:c r="G45" s="30"/>
      <x:c r="H45" s="30"/>
      <x:c r="I45" s="30"/>
      <x:c r="J45" s="30" t="str">
        <x:f>IF(OR(F45="",G45=""),"",G45-F45)</x:f>
      </x:c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30"/>
      <x:c r="G46" s="30"/>
      <x:c r="H46" s="30"/>
      <x:c r="I46" s="30"/>
      <x:c r="J46" s="30" t="str">
        <x:f>IF(OR(F46="",G46=""),"",G46-F46)</x:f>
      </x:c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30"/>
      <x:c r="G47" s="30"/>
      <x:c r="H47" s="30"/>
      <x:c r="I47" s="30"/>
      <x:c r="J47" s="30" t="str">
        <x:f>IF(OR(F47="",G47=""),"",G47-F47)</x:f>
      </x:c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30"/>
      <x:c r="G48" s="30"/>
      <x:c r="H48" s="30"/>
      <x:c r="I48" s="30"/>
      <x:c r="J48" s="30" t="str">
        <x:f>IF(OR(F48="",G48=""),"",G48-F48)</x:f>
      </x:c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30"/>
      <x:c r="G49" s="30"/>
      <x:c r="H49" s="30"/>
      <x:c r="I49" s="30"/>
      <x:c r="J49" s="30" t="str">
        <x:f>IF(OR(F49="",G49=""),"",G49-F49)</x:f>
      </x:c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30"/>
      <x:c r="G50" s="30"/>
      <x:c r="H50" s="30"/>
      <x:c r="I50" s="30"/>
      <x:c r="J50" s="30" t="str">
        <x:f>IF(OR(F50="",G50=""),"",G50-F50)</x:f>
      </x:c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30"/>
      <x:c r="G51" s="30"/>
      <x:c r="H51" s="30"/>
      <x:c r="I51" s="30"/>
      <x:c r="J51" s="30" t="str">
        <x:f>IF(OR(F51="",G51=""),"",G51-F51)</x:f>
      </x:c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30"/>
      <x:c r="G52" s="30"/>
      <x:c r="H52" s="30"/>
      <x:c r="I52" s="30"/>
      <x:c r="J52" s="30" t="str">
        <x:f>IF(OR(F52="",G52=""),"",G52-F52)</x:f>
      </x:c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30"/>
      <x:c r="G53" s="30"/>
      <x:c r="H53" s="30"/>
      <x:c r="I53" s="30"/>
      <x:c r="J53" s="30" t="str">
        <x:f>IF(OR(F53="",G53=""),"",G53-F53)</x:f>
      </x:c>
      <x:c r="K53" s="18"/>
      <x:c r="L53" s="18"/>
      <x:c r="M53" s="18"/>
    </x:row>
    <x:row r="54">
      <x:c r="A54" s="18"/>
      <x:c r="B54" s="18"/>
      <x:c r="C54" s="18"/>
      <x:c r="D54" s="18"/>
      <x:c r="E54" s="18"/>
      <x:c r="F54" s="30"/>
      <x:c r="G54" s="30"/>
      <x:c r="H54" s="30"/>
      <x:c r="I54" s="30"/>
      <x:c r="J54" s="30" t="str">
        <x:f>IF(OR(F54="",G54=""),"",G54-F54)</x:f>
      </x:c>
      <x:c r="K54" s="18"/>
      <x:c r="L54" s="18"/>
      <x:c r="M54" s="18"/>
    </x:row>
    <x:row r="55">
      <x:c r="A55" s="18"/>
      <x:c r="B55" s="18"/>
      <x:c r="C55" s="18"/>
      <x:c r="D55" s="18"/>
      <x:c r="E55" s="18"/>
      <x:c r="F55" s="30"/>
      <x:c r="G55" s="30"/>
      <x:c r="H55" s="30"/>
      <x:c r="I55" s="30"/>
      <x:c r="J55" s="30" t="str">
        <x:f>IF(OR(F55="",G55=""),"",G55-F55)</x:f>
      </x:c>
      <x:c r="K55" s="18"/>
      <x:c r="L55" s="18"/>
      <x:c r="M55" s="18"/>
    </x:row>
    <x:row r="56">
      <x:c r="A56" s="18"/>
      <x:c r="B56" s="18"/>
      <x:c r="C56" s="18"/>
      <x:c r="D56" s="18"/>
      <x:c r="E56" s="18"/>
      <x:c r="F56" s="30"/>
      <x:c r="G56" s="30"/>
      <x:c r="H56" s="30"/>
      <x:c r="I56" s="30"/>
      <x:c r="J56" s="30" t="str">
        <x:f>IF(OR(F56="",G56=""),"",G56-F56)</x:f>
      </x:c>
      <x:c r="K56" s="18"/>
      <x:c r="L56" s="18"/>
      <x:c r="M56" s="18"/>
    </x:row>
    <x:row r="57">
      <x:c r="A57" s="18"/>
      <x:c r="B57" s="18"/>
      <x:c r="C57" s="18"/>
      <x:c r="D57" s="18"/>
      <x:c r="E57" s="18"/>
      <x:c r="F57" s="30"/>
      <x:c r="G57" s="30"/>
      <x:c r="H57" s="30"/>
      <x:c r="I57" s="30"/>
      <x:c r="J57" s="30" t="str">
        <x:f>IF(OR(F57="",G57=""),"",G57-F57)</x:f>
      </x:c>
      <x:c r="K57" s="18"/>
      <x:c r="L57" s="18"/>
      <x:c r="M57" s="18"/>
    </x:row>
    <x:row r="58">
      <x:c r="A58" s="18"/>
      <x:c r="B58" s="18"/>
      <x:c r="C58" s="18"/>
      <x:c r="D58" s="18"/>
      <x:c r="E58" s="18"/>
      <x:c r="F58" s="30"/>
      <x:c r="G58" s="30"/>
      <x:c r="H58" s="30"/>
      <x:c r="I58" s="30"/>
      <x:c r="J58" s="30" t="str">
        <x:f>IF(OR(F58="",G58=""),"",G58-F58)</x:f>
      </x:c>
      <x:c r="K58" s="18"/>
      <x:c r="L58" s="18"/>
      <x:c r="M58" s="18"/>
    </x:row>
    <x:row r="59">
      <x:c r="A59" s="18"/>
      <x:c r="B59" s="18"/>
      <x:c r="C59" s="18"/>
      <x:c r="D59" s="18"/>
      <x:c r="E59" s="18"/>
      <x:c r="F59" s="30"/>
      <x:c r="G59" s="30"/>
      <x:c r="H59" s="30"/>
      <x:c r="I59" s="30"/>
      <x:c r="J59" s="30" t="str">
        <x:f>IF(OR(F59="",G59=""),"",G59-F59)</x:f>
      </x:c>
      <x:c r="K59" s="18"/>
      <x:c r="L59" s="18"/>
      <x:c r="M59" s="18"/>
    </x:row>
    <x:row r="60">
      <x:c r="A60" s="18"/>
      <x:c r="B60" s="18"/>
      <x:c r="C60" s="18"/>
      <x:c r="D60" s="18"/>
      <x:c r="E60" s="18"/>
      <x:c r="F60" s="30"/>
      <x:c r="G60" s="30"/>
      <x:c r="H60" s="30"/>
      <x:c r="I60" s="30"/>
      <x:c r="J60" s="30" t="str">
        <x:f>IF(OR(F60="",G60=""),"",G60-F60)</x:f>
      </x:c>
      <x:c r="K60" s="18"/>
      <x:c r="L60" s="18"/>
      <x:c r="M60" s="18"/>
    </x:row>
    <x:row r="61">
      <x:c r="A61" s="18"/>
      <x:c r="B61" s="18"/>
      <x:c r="C61" s="18"/>
      <x:c r="D61" s="18"/>
      <x:c r="E61" s="18"/>
      <x:c r="F61" s="30"/>
      <x:c r="G61" s="30"/>
      <x:c r="H61" s="30"/>
      <x:c r="I61" s="30"/>
      <x:c r="J61" s="30" t="str">
        <x:f>IF(OR(F61="",G61=""),"",G61-F61)</x:f>
      </x:c>
      <x:c r="K61" s="18"/>
      <x:c r="L61" s="18"/>
      <x:c r="M61" s="18"/>
    </x:row>
    <x:row r="62">
      <x:c r="A62" s="18"/>
      <x:c r="B62" s="18"/>
      <x:c r="C62" s="18"/>
      <x:c r="D62" s="18"/>
      <x:c r="E62" s="18"/>
      <x:c r="F62" s="30"/>
      <x:c r="G62" s="30"/>
      <x:c r="H62" s="30"/>
      <x:c r="I62" s="30"/>
      <x:c r="J62" s="30" t="str">
        <x:f>IF(OR(F62="",G62=""),"",G62-F62)</x:f>
      </x:c>
      <x:c r="K62" s="18"/>
      <x:c r="L62" s="18"/>
      <x:c r="M62" s="18"/>
    </x:row>
    <x:row r="63">
      <x:c r="A63" s="18"/>
      <x:c r="B63" s="18"/>
      <x:c r="C63" s="18"/>
      <x:c r="D63" s="18"/>
      <x:c r="E63" s="18"/>
      <x:c r="F63" s="30"/>
      <x:c r="G63" s="30"/>
      <x:c r="H63" s="30"/>
      <x:c r="I63" s="30"/>
      <x:c r="J63" s="30" t="str">
        <x:f>IF(OR(F63="",G63=""),"",G63-F63)</x:f>
      </x:c>
      <x:c r="K63" s="18"/>
      <x:c r="L63" s="18"/>
      <x:c r="M63" s="18"/>
    </x:row>
    <x:row r="64">
      <x:c r="A64" s="18"/>
      <x:c r="B64" s="18"/>
      <x:c r="C64" s="18"/>
      <x:c r="D64" s="18"/>
      <x:c r="E64" s="18"/>
      <x:c r="F64" s="30"/>
      <x:c r="G64" s="30"/>
      <x:c r="H64" s="30"/>
      <x:c r="I64" s="30"/>
      <x:c r="J64" s="30" t="str">
        <x:f>IF(OR(F64="",G64=""),"",G64-F64)</x:f>
      </x:c>
      <x:c r="K64" s="18"/>
      <x:c r="L64" s="18"/>
      <x:c r="M64" s="18"/>
    </x:row>
    <x:row r="65">
      <x:c r="A65" s="18"/>
      <x:c r="B65" s="18"/>
      <x:c r="C65" s="18"/>
      <x:c r="D65" s="18"/>
      <x:c r="E65" s="18"/>
      <x:c r="F65" s="30"/>
      <x:c r="G65" s="30"/>
      <x:c r="H65" s="30"/>
      <x:c r="I65" s="30"/>
      <x:c r="J65" s="30" t="str">
        <x:f>IF(OR(F65="",G65=""),"",G65-F65)</x:f>
      </x:c>
      <x:c r="K65" s="18"/>
      <x:c r="L65" s="18"/>
      <x:c r="M65" s="18"/>
    </x:row>
    <x:row r="66">
      <x:c r="A66" s="18"/>
      <x:c r="B66" s="18"/>
      <x:c r="C66" s="18"/>
      <x:c r="D66" s="18"/>
      <x:c r="E66" s="18"/>
      <x:c r="F66" s="30"/>
      <x:c r="G66" s="30"/>
      <x:c r="H66" s="30"/>
      <x:c r="I66" s="30"/>
      <x:c r="J66" s="30" t="str">
        <x:f>IF(OR(F66="",G66=""),"",G66-F66)</x:f>
      </x:c>
      <x:c r="K66" s="18"/>
      <x:c r="L66" s="18"/>
      <x:c r="M66" s="18"/>
    </x:row>
    <x:row r="67">
      <x:c r="A67" s="18"/>
      <x:c r="B67" s="18"/>
      <x:c r="C67" s="18"/>
      <x:c r="D67" s="18"/>
      <x:c r="E67" s="18"/>
      <x:c r="F67" s="30"/>
      <x:c r="G67" s="30"/>
      <x:c r="H67" s="30"/>
      <x:c r="I67" s="30"/>
      <x:c r="J67" s="30" t="str">
        <x:f>IF(OR(F67="",G67=""),"",G67-F67)</x:f>
      </x:c>
      <x:c r="K67" s="18"/>
      <x:c r="L67" s="18"/>
      <x:c r="M67" s="18"/>
    </x:row>
    <x:row r="68">
      <x:c r="A68" s="18"/>
      <x:c r="B68" s="18"/>
      <x:c r="C68" s="18"/>
      <x:c r="D68" s="18"/>
      <x:c r="E68" s="18"/>
      <x:c r="F68" s="30"/>
      <x:c r="G68" s="30"/>
      <x:c r="H68" s="30"/>
      <x:c r="I68" s="30"/>
      <x:c r="J68" s="30" t="str">
        <x:f>IF(OR(F68="",G68=""),"",G68-F68)</x:f>
      </x:c>
      <x:c r="K68" s="18"/>
      <x:c r="L68" s="18"/>
      <x:c r="M68" s="18"/>
    </x:row>
    <x:row r="69">
      <x:c r="A69" s="18"/>
      <x:c r="B69" s="18"/>
      <x:c r="C69" s="18"/>
      <x:c r="D69" s="18"/>
      <x:c r="E69" s="18"/>
      <x:c r="F69" s="30"/>
      <x:c r="G69" s="30"/>
      <x:c r="H69" s="30"/>
      <x:c r="I69" s="30"/>
      <x:c r="J69" s="30" t="str">
        <x:f>IF(OR(F69="",G69=""),"",G69-F69)</x:f>
      </x:c>
      <x:c r="K69" s="18"/>
      <x:c r="L69" s="18"/>
      <x:c r="M69" s="18"/>
    </x:row>
    <x:row r="70">
      <x:c r="A70" s="18"/>
      <x:c r="B70" s="18"/>
      <x:c r="C70" s="18"/>
      <x:c r="D70" s="18"/>
      <x:c r="E70" s="18"/>
      <x:c r="F70" s="30"/>
      <x:c r="G70" s="30"/>
      <x:c r="H70" s="30"/>
      <x:c r="I70" s="30"/>
      <x:c r="J70" s="30" t="str">
        <x:f>IF(OR(F70="",G70=""),"",G70-F70)</x:f>
      </x:c>
      <x:c r="K70" s="18"/>
      <x:c r="L70" s="18"/>
      <x:c r="M70" s="18"/>
    </x:row>
    <x:row r="71">
      <x:c r="A71" s="18"/>
      <x:c r="B71" s="18"/>
      <x:c r="C71" s="18"/>
      <x:c r="D71" s="18"/>
      <x:c r="E71" s="18"/>
      <x:c r="F71" s="30"/>
      <x:c r="G71" s="30"/>
      <x:c r="H71" s="30"/>
      <x:c r="I71" s="30"/>
      <x:c r="J71" s="30" t="str">
        <x:f>IF(OR(F71="",G71=""),"",G71-F71)</x:f>
      </x:c>
      <x:c r="K71" s="18"/>
      <x:c r="L71" s="18"/>
      <x:c r="M71" s="18"/>
    </x:row>
    <x:row r="72">
      <x:c r="A72" s="18"/>
      <x:c r="B72" s="18"/>
      <x:c r="C72" s="18"/>
      <x:c r="D72" s="18"/>
      <x:c r="E72" s="18"/>
      <x:c r="F72" s="30"/>
      <x:c r="G72" s="30"/>
      <x:c r="H72" s="30"/>
      <x:c r="I72" s="30"/>
      <x:c r="J72" s="30" t="str">
        <x:f>IF(OR(F72="",G72=""),"",G72-F72)</x:f>
      </x:c>
      <x:c r="K72" s="18"/>
      <x:c r="L72" s="18"/>
      <x:c r="M72" s="18"/>
    </x:row>
    <x:row r="73">
      <x:c r="A73" s="18"/>
      <x:c r="B73" s="18"/>
      <x:c r="C73" s="18"/>
      <x:c r="D73" s="18"/>
      <x:c r="E73" s="18"/>
      <x:c r="F73" s="30"/>
      <x:c r="G73" s="30"/>
      <x:c r="H73" s="30"/>
      <x:c r="I73" s="30"/>
      <x:c r="J73" s="30" t="str">
        <x:f>IF(OR(F73="",G73=""),"",G73-F73)</x:f>
      </x:c>
      <x:c r="K73" s="18"/>
      <x:c r="L73" s="18"/>
      <x:c r="M73" s="18"/>
    </x:row>
    <x:row r="74">
      <x:c r="A74" s="18"/>
      <x:c r="B74" s="18"/>
      <x:c r="C74" s="18"/>
      <x:c r="D74" s="18"/>
      <x:c r="E74" s="18"/>
      <x:c r="F74" s="30"/>
      <x:c r="G74" s="30"/>
      <x:c r="H74" s="30"/>
      <x:c r="I74" s="30"/>
      <x:c r="J74" s="30" t="str">
        <x:f>IF(OR(F74="",G74=""),"",G74-F74)</x:f>
      </x:c>
      <x:c r="K74" s="18"/>
      <x:c r="L74" s="18"/>
      <x:c r="M74" s="18"/>
    </x:row>
    <x:row r="75">
      <x:c r="A75" s="18"/>
      <x:c r="B75" s="18"/>
      <x:c r="C75" s="18"/>
      <x:c r="D75" s="18"/>
      <x:c r="E75" s="18"/>
      <x:c r="F75" s="30"/>
      <x:c r="G75" s="30"/>
      <x:c r="H75" s="30"/>
      <x:c r="I75" s="30"/>
      <x:c r="J75" s="30" t="str">
        <x:f>IF(OR(F75="",G75=""),"",G75-F75)</x:f>
      </x:c>
      <x:c r="K75" s="18"/>
      <x:c r="L75" s="18"/>
      <x:c r="M75" s="18"/>
    </x:row>
    <x:row r="76">
      <x:c r="A76" s="18"/>
      <x:c r="B76" s="18"/>
      <x:c r="C76" s="18"/>
      <x:c r="D76" s="18"/>
      <x:c r="E76" s="18"/>
      <x:c r="F76" s="30"/>
      <x:c r="G76" s="30"/>
      <x:c r="H76" s="30"/>
      <x:c r="I76" s="30"/>
      <x:c r="J76" s="30" t="str">
        <x:f>IF(OR(F76="",G76=""),"",G76-F76)</x:f>
      </x:c>
      <x:c r="K76" s="18"/>
      <x:c r="L76" s="18"/>
      <x:c r="M76" s="18"/>
    </x:row>
    <x:row r="77">
      <x:c r="A77" s="18"/>
      <x:c r="B77" s="18"/>
      <x:c r="C77" s="18"/>
      <x:c r="D77" s="18"/>
      <x:c r="E77" s="18"/>
      <x:c r="F77" s="30"/>
      <x:c r="G77" s="30"/>
      <x:c r="H77" s="30"/>
      <x:c r="I77" s="30"/>
      <x:c r="J77" s="30" t="str">
        <x:f>IF(OR(F77="",G77=""),"",G77-F77)</x:f>
      </x:c>
      <x:c r="K77" s="18"/>
      <x:c r="L77" s="18"/>
      <x:c r="M77" s="18"/>
    </x:row>
    <x:row r="78">
      <x:c r="A78" s="18"/>
      <x:c r="B78" s="18"/>
      <x:c r="C78" s="18"/>
      <x:c r="D78" s="18"/>
      <x:c r="E78" s="18"/>
      <x:c r="F78" s="30"/>
      <x:c r="G78" s="30"/>
      <x:c r="H78" s="30"/>
      <x:c r="I78" s="30"/>
      <x:c r="J78" s="30" t="str">
        <x:f>IF(OR(F78="",G78=""),"",G78-F78)</x:f>
      </x:c>
      <x:c r="K78" s="18"/>
      <x:c r="L78" s="18"/>
      <x:c r="M78" s="18"/>
    </x:row>
    <x:row r="79">
      <x:c r="A79" s="18"/>
      <x:c r="B79" s="18"/>
      <x:c r="C79" s="18"/>
      <x:c r="D79" s="18"/>
      <x:c r="E79" s="18"/>
      <x:c r="F79" s="30"/>
      <x:c r="G79" s="30"/>
      <x:c r="H79" s="30"/>
      <x:c r="I79" s="30"/>
      <x:c r="J79" s="30" t="str">
        <x:f>IF(OR(F79="",G79=""),"",G79-F79)</x:f>
      </x:c>
      <x:c r="K79" s="18"/>
      <x:c r="L79" s="18"/>
      <x:c r="M79" s="18"/>
    </x:row>
    <x:row r="80">
      <x:c r="A80" s="18"/>
      <x:c r="B80" s="18"/>
      <x:c r="C80" s="18"/>
      <x:c r="D80" s="18"/>
      <x:c r="E80" s="18"/>
      <x:c r="F80" s="30"/>
      <x:c r="G80" s="30"/>
      <x:c r="H80" s="30"/>
      <x:c r="I80" s="30"/>
      <x:c r="J80" s="30" t="str">
        <x:f>IF(OR(F80="",G80=""),"",G80-F80)</x:f>
      </x:c>
      <x:c r="K80" s="18"/>
      <x:c r="L80" s="18"/>
      <x:c r="M80" s="18"/>
    </x:row>
    <x:row r="81">
      <x:c r="A81" s="18"/>
      <x:c r="B81" s="18"/>
      <x:c r="C81" s="18"/>
      <x:c r="D81" s="18"/>
      <x:c r="E81" s="18"/>
      <x:c r="F81" s="30"/>
      <x:c r="G81" s="30"/>
      <x:c r="H81" s="30"/>
      <x:c r="I81" s="30"/>
      <x:c r="J81" s="30" t="str">
        <x:f>IF(OR(F81="",G81=""),"",G81-F81)</x:f>
      </x:c>
      <x:c r="K81" s="18"/>
      <x:c r="L81" s="18"/>
      <x:c r="M81" s="18"/>
    </x:row>
    <x:row r="82">
      <x:c r="A82" s="18"/>
      <x:c r="B82" s="18"/>
      <x:c r="C82" s="18"/>
      <x:c r="D82" s="18"/>
      <x:c r="E82" s="18"/>
      <x:c r="F82" s="30"/>
      <x:c r="G82" s="30"/>
      <x:c r="H82" s="30"/>
      <x:c r="I82" s="30"/>
      <x:c r="J82" s="30" t="str">
        <x:f>IF(OR(F82="",G82=""),"",G82-F82)</x:f>
      </x:c>
      <x:c r="K82" s="18"/>
      <x:c r="L82" s="18"/>
      <x:c r="M82" s="18"/>
    </x:row>
    <x:row r="83">
      <x:c r="A83" s="18"/>
      <x:c r="B83" s="18"/>
      <x:c r="C83" s="18"/>
      <x:c r="D83" s="18"/>
      <x:c r="E83" s="18"/>
      <x:c r="F83" s="30"/>
      <x:c r="G83" s="30"/>
      <x:c r="H83" s="30"/>
      <x:c r="I83" s="30"/>
      <x:c r="J83" s="30" t="str">
        <x:f>IF(OR(F83="",G83=""),"",G83-F83)</x:f>
      </x:c>
      <x:c r="K83" s="18"/>
      <x:c r="L83" s="18"/>
      <x:c r="M83" s="18"/>
    </x:row>
    <x:row r="84">
      <x:c r="A84" s="18"/>
      <x:c r="B84" s="18"/>
      <x:c r="C84" s="18"/>
      <x:c r="D84" s="18"/>
      <x:c r="E84" s="18"/>
      <x:c r="F84" s="30"/>
      <x:c r="G84" s="30"/>
      <x:c r="H84" s="30"/>
      <x:c r="I84" s="30"/>
      <x:c r="J84" s="30" t="str">
        <x:f>IF(OR(F84="",G84=""),"",G84-F84)</x:f>
      </x:c>
      <x:c r="K84" s="18"/>
      <x:c r="L84" s="18"/>
      <x:c r="M84" s="18"/>
    </x:row>
    <x:row r="85">
      <x:c r="A85" s="18"/>
      <x:c r="B85" s="18"/>
      <x:c r="C85" s="18"/>
      <x:c r="D85" s="18"/>
      <x:c r="E85" s="18"/>
      <x:c r="F85" s="30"/>
      <x:c r="G85" s="30"/>
      <x:c r="H85" s="30"/>
      <x:c r="I85" s="30"/>
      <x:c r="J85" s="30" t="str">
        <x:f>IF(OR(F85="",G85=""),"",G85-F85)</x:f>
      </x:c>
      <x:c r="K85" s="18"/>
      <x:c r="L85" s="18"/>
      <x:c r="M85" s="18"/>
    </x:row>
    <x:row r="86">
      <x:c r="A86" s="18"/>
      <x:c r="B86" s="18"/>
      <x:c r="C86" s="18"/>
      <x:c r="D86" s="18"/>
      <x:c r="E86" s="18"/>
      <x:c r="F86" s="30"/>
      <x:c r="G86" s="30"/>
      <x:c r="H86" s="30"/>
      <x:c r="I86" s="30"/>
      <x:c r="J86" s="30" t="str">
        <x:f>IF(OR(F86="",G86=""),"",G86-F86)</x:f>
      </x:c>
      <x:c r="K86" s="18"/>
      <x:c r="L86" s="18"/>
      <x:c r="M86" s="18"/>
    </x:row>
    <x:row r="87">
      <x:c r="A87" s="18"/>
      <x:c r="B87" s="18"/>
      <x:c r="C87" s="18"/>
      <x:c r="D87" s="18"/>
      <x:c r="E87" s="18"/>
      <x:c r="F87" s="30"/>
      <x:c r="G87" s="30"/>
      <x:c r="H87" s="30"/>
      <x:c r="I87" s="30"/>
      <x:c r="J87" s="30" t="str">
        <x:f>IF(OR(F87="",G87=""),"",G87-F87)</x:f>
      </x:c>
      <x:c r="K87" s="18"/>
      <x:c r="L87" s="18"/>
      <x:c r="M87" s="18"/>
    </x:row>
    <x:row r="88">
      <x:c r="A88" s="18"/>
      <x:c r="B88" s="18"/>
      <x:c r="C88" s="18"/>
      <x:c r="D88" s="18"/>
      <x:c r="E88" s="18"/>
      <x:c r="F88" s="30"/>
      <x:c r="G88" s="30"/>
      <x:c r="H88" s="30"/>
      <x:c r="I88" s="30"/>
      <x:c r="J88" s="30" t="str">
        <x:f>IF(OR(F88="",G88=""),"",G88-F88)</x:f>
      </x:c>
      <x:c r="K88" s="18"/>
      <x:c r="L88" s="18"/>
      <x:c r="M88" s="18"/>
    </x:row>
    <x:row r="89">
      <x:c r="A89" s="18"/>
      <x:c r="B89" s="18"/>
      <x:c r="C89" s="18"/>
      <x:c r="D89" s="18"/>
      <x:c r="E89" s="18"/>
      <x:c r="F89" s="30"/>
      <x:c r="G89" s="30"/>
      <x:c r="H89" s="30"/>
      <x:c r="I89" s="30"/>
      <x:c r="J89" s="30" t="str">
        <x:f>IF(OR(F89="",G89=""),"",G89-F89)</x:f>
      </x:c>
      <x:c r="K89" s="18"/>
      <x:c r="L89" s="18"/>
      <x:c r="M89" s="18"/>
    </x:row>
    <x:row r="90">
      <x:c r="A90" s="18"/>
      <x:c r="B90" s="18"/>
      <x:c r="C90" s="18"/>
      <x:c r="D90" s="18"/>
      <x:c r="E90" s="18"/>
      <x:c r="F90" s="30"/>
      <x:c r="G90" s="30"/>
      <x:c r="H90" s="30"/>
      <x:c r="I90" s="30"/>
      <x:c r="J90" s="30" t="str">
        <x:f>IF(OR(F90="",G90=""),"",G90-F90)</x:f>
      </x:c>
      <x:c r="K90" s="18"/>
      <x:c r="L90" s="18"/>
      <x:c r="M90" s="18"/>
    </x:row>
    <x:row r="91">
      <x:c r="A91" s="18"/>
      <x:c r="B91" s="18"/>
      <x:c r="C91" s="18"/>
      <x:c r="D91" s="18"/>
      <x:c r="E91" s="18"/>
      <x:c r="F91" s="30"/>
      <x:c r="G91" s="30"/>
      <x:c r="H91" s="30"/>
      <x:c r="I91" s="30"/>
      <x:c r="J91" s="30" t="str">
        <x:f>IF(OR(F91="",G91=""),"",G91-F91)</x:f>
      </x:c>
      <x:c r="K91" s="18"/>
      <x:c r="L91" s="18"/>
      <x:c r="M91" s="18"/>
    </x:row>
    <x:row r="92">
      <x:c r="A92" s="18"/>
      <x:c r="B92" s="18"/>
      <x:c r="C92" s="18"/>
      <x:c r="D92" s="18"/>
      <x:c r="E92" s="18"/>
      <x:c r="F92" s="30"/>
      <x:c r="G92" s="30"/>
      <x:c r="H92" s="30"/>
      <x:c r="I92" s="30"/>
      <x:c r="J92" s="30" t="str">
        <x:f>IF(OR(F92="",G92=""),"",G92-F92)</x:f>
      </x:c>
      <x:c r="K92" s="18"/>
      <x:c r="L92" s="18"/>
      <x:c r="M92" s="18"/>
    </x:row>
    <x:row r="93">
      <x:c r="A93" s="18"/>
      <x:c r="B93" s="18"/>
      <x:c r="C93" s="18"/>
      <x:c r="D93" s="18"/>
      <x:c r="E93" s="18"/>
      <x:c r="F93" s="30"/>
      <x:c r="G93" s="30"/>
      <x:c r="H93" s="30"/>
      <x:c r="I93" s="30"/>
      <x:c r="J93" s="30" t="str">
        <x:f>IF(OR(F93="",G93=""),"",G93-F93)</x:f>
      </x:c>
      <x:c r="K93" s="18"/>
      <x:c r="L93" s="18"/>
      <x:c r="M93" s="18"/>
    </x:row>
    <x:row r="94">
      <x:c r="A94" s="18"/>
      <x:c r="B94" s="18"/>
      <x:c r="C94" s="18"/>
      <x:c r="D94" s="18"/>
      <x:c r="E94" s="18"/>
      <x:c r="F94" s="30"/>
      <x:c r="G94" s="30"/>
      <x:c r="H94" s="30"/>
      <x:c r="I94" s="30"/>
      <x:c r="J94" s="30" t="str">
        <x:f>IF(OR(F94="",G94=""),"",G94-F94)</x:f>
      </x:c>
      <x:c r="K94" s="18"/>
      <x:c r="L94" s="18"/>
      <x:c r="M94" s="18"/>
    </x:row>
    <x:row r="95">
      <x:c r="A95" s="18"/>
      <x:c r="B95" s="18"/>
      <x:c r="C95" s="18"/>
      <x:c r="D95" s="18"/>
      <x:c r="E95" s="18"/>
      <x:c r="F95" s="30"/>
      <x:c r="G95" s="30"/>
      <x:c r="H95" s="30"/>
      <x:c r="I95" s="30"/>
      <x:c r="J95" s="30" t="str">
        <x:f>IF(OR(F95="",G95=""),"",G95-F95)</x:f>
      </x:c>
      <x:c r="K95" s="18"/>
      <x:c r="L95" s="18"/>
      <x:c r="M95" s="18"/>
    </x:row>
    <x:row r="96">
      <x:c r="A96" s="18"/>
      <x:c r="B96" s="18"/>
      <x:c r="C96" s="18"/>
      <x:c r="D96" s="18"/>
      <x:c r="E96" s="18"/>
      <x:c r="F96" s="30"/>
      <x:c r="G96" s="30"/>
      <x:c r="H96" s="30"/>
      <x:c r="I96" s="30"/>
      <x:c r="J96" s="30" t="str">
        <x:f>IF(OR(F96="",G96=""),"",G96-F96)</x:f>
      </x:c>
      <x:c r="K96" s="18"/>
      <x:c r="L96" s="18"/>
      <x:c r="M96" s="18"/>
    </x:row>
    <x:row r="97">
      <x:c r="A97" s="18"/>
      <x:c r="B97" s="18"/>
      <x:c r="C97" s="18"/>
      <x:c r="D97" s="18"/>
      <x:c r="E97" s="18"/>
      <x:c r="F97" s="30"/>
      <x:c r="G97" s="30"/>
      <x:c r="H97" s="30"/>
      <x:c r="I97" s="30"/>
      <x:c r="J97" s="30" t="str">
        <x:f>IF(OR(F97="",G97=""),"",G97-F97)</x:f>
      </x:c>
      <x:c r="K97" s="18"/>
      <x:c r="L97" s="18"/>
      <x:c r="M97" s="18"/>
    </x:row>
    <x:row r="98">
      <x:c r="A98" s="18"/>
      <x:c r="B98" s="18"/>
      <x:c r="C98" s="18"/>
      <x:c r="D98" s="18"/>
      <x:c r="E98" s="18"/>
      <x:c r="F98" s="30"/>
      <x:c r="G98" s="30"/>
      <x:c r="H98" s="30"/>
      <x:c r="I98" s="30"/>
      <x:c r="J98" s="30" t="str">
        <x:f>IF(OR(F98="",G98=""),"",G98-F98)</x:f>
      </x:c>
      <x:c r="K98" s="18"/>
      <x:c r="L98" s="18"/>
      <x:c r="M98" s="18"/>
    </x:row>
    <x:row r="99">
      <x:c r="A99" s="18"/>
      <x:c r="B99" s="18"/>
      <x:c r="C99" s="18"/>
      <x:c r="D99" s="18"/>
      <x:c r="E99" s="18"/>
      <x:c r="F99" s="30"/>
      <x:c r="G99" s="30"/>
      <x:c r="H99" s="30"/>
      <x:c r="I99" s="30"/>
      <x:c r="J99" s="30" t="str">
        <x:f>IF(OR(F99="",G99=""),"",G99-F99)</x:f>
      </x:c>
      <x:c r="K99" s="18"/>
      <x:c r="L99" s="18"/>
      <x:c r="M99" s="18"/>
    </x:row>
    <x:row r="100">
      <x:c r="A100" s="18"/>
      <x:c r="B100" s="18"/>
      <x:c r="C100" s="18"/>
      <x:c r="D100" s="18"/>
      <x:c r="E100" s="18"/>
      <x:c r="F100" s="30"/>
      <x:c r="G100" s="30"/>
      <x:c r="H100" s="30"/>
      <x:c r="I100" s="30"/>
      <x:c r="J100" s="30" t="str">
        <x:f>IF(OR(F100="",G100=""),"",G100-F100)</x:f>
      </x:c>
      <x:c r="K100" s="18"/>
      <x:c r="L100" s="18"/>
      <x:c r="M100" s="18"/>
    </x:row>
    <x:row r="101">
      <x:c r="A101" s="18"/>
      <x:c r="B101" s="18"/>
      <x:c r="C101" s="18"/>
      <x:c r="D101" s="18"/>
      <x:c r="E101" s="18"/>
      <x:c r="F101" s="30"/>
      <x:c r="G101" s="30"/>
      <x:c r="H101" s="30"/>
      <x:c r="I101" s="30"/>
      <x:c r="J101" s="30" t="str">
        <x:f>IF(OR(F101="",G101=""),"",G101-F101)</x:f>
      </x:c>
      <x:c r="K101" s="18"/>
      <x:c r="L101" s="18"/>
      <x:c r="M101" s="18"/>
    </x:row>
    <x:row r="102">
      <x:c r="A102" s="18"/>
      <x:c r="B102" s="18"/>
      <x:c r="C102" s="18"/>
      <x:c r="D102" s="18"/>
      <x:c r="E102" s="18"/>
      <x:c r="F102" s="30"/>
      <x:c r="G102" s="30"/>
      <x:c r="H102" s="30"/>
      <x:c r="I102" s="30"/>
      <x:c r="J102" s="30" t="str">
        <x:f>IF(OR(F102="",G102=""),"",G102-F102)</x:f>
      </x:c>
      <x:c r="K102" s="18"/>
      <x:c r="L102" s="18"/>
      <x:c r="M102" s="18"/>
    </x:row>
    <x:row r="103">
      <x:c r="A103" s="18"/>
      <x:c r="B103" s="18"/>
      <x:c r="C103" s="18"/>
      <x:c r="D103" s="18"/>
      <x:c r="E103" s="18"/>
      <x:c r="F103" s="30"/>
      <x:c r="G103" s="30"/>
      <x:c r="H103" s="30"/>
      <x:c r="I103" s="30"/>
      <x:c r="J103" s="30" t="str">
        <x:f>IF(OR(F103="",G103=""),"",G103-F103)</x:f>
      </x:c>
      <x:c r="K103" s="18"/>
      <x:c r="L103" s="18"/>
      <x:c r="M103" s="18"/>
    </x:row>
    <x:row r="104">
      <x:c r="A104" s="18"/>
      <x:c r="B104" s="18"/>
      <x:c r="C104" s="18"/>
      <x:c r="D104" s="18"/>
      <x:c r="E104" s="18"/>
      <x:c r="F104" s="30"/>
      <x:c r="G104" s="30"/>
      <x:c r="H104" s="30"/>
      <x:c r="I104" s="30"/>
      <x:c r="J104" s="30" t="str">
        <x:f>IF(OR(F104="",G104=""),"",G104-F104)</x:f>
      </x:c>
      <x:c r="K104" s="18"/>
      <x:c r="L104" s="18"/>
      <x:c r="M104" s="18"/>
    </x:row>
    <x:row r="105">
      <x:c r="A105" s="18"/>
      <x:c r="B105" s="18"/>
      <x:c r="C105" s="18"/>
      <x:c r="D105" s="18"/>
      <x:c r="E105" s="18"/>
      <x:c r="F105" s="30"/>
      <x:c r="G105" s="30"/>
      <x:c r="H105" s="30"/>
      <x:c r="I105" s="30"/>
      <x:c r="J105" s="30" t="str">
        <x:f>IF(OR(F105="",G105=""),"",G105-F105)</x:f>
      </x:c>
      <x:c r="K105" s="18"/>
      <x:c r="L105" s="18"/>
      <x:c r="M105" s="18"/>
    </x:row>
    <x:row r="106">
      <x:c r="A106" s="18"/>
      <x:c r="B106" s="18"/>
      <x:c r="C106" s="18"/>
      <x:c r="D106" s="18"/>
      <x:c r="E106" s="18"/>
      <x:c r="F106" s="30"/>
      <x:c r="G106" s="30"/>
      <x:c r="H106" s="30"/>
      <x:c r="I106" s="30"/>
      <x:c r="J106" s="30" t="str">
        <x:f>IF(OR(F106="",G106=""),"",G106-F106)</x:f>
      </x:c>
      <x:c r="K106" s="18"/>
      <x:c r="L106" s="18"/>
      <x:c r="M106" s="18"/>
    </x:row>
    <x:row r="107">
      <x:c r="A107" s="18"/>
      <x:c r="B107" s="18"/>
      <x:c r="C107" s="18"/>
      <x:c r="D107" s="18"/>
      <x:c r="E107" s="18"/>
      <x:c r="F107" s="30"/>
      <x:c r="G107" s="30"/>
      <x:c r="H107" s="30"/>
      <x:c r="I107" s="30"/>
      <x:c r="J107" s="30" t="str">
        <x:f>IF(OR(F107="",G107=""),"",G107-F107)</x:f>
      </x:c>
      <x:c r="K107" s="18"/>
      <x:c r="L107" s="18"/>
      <x:c r="M107" s="18"/>
    </x:row>
    <x:row r="108">
      <x:c r="A108" s="18"/>
      <x:c r="B108" s="18"/>
      <x:c r="C108" s="18"/>
      <x:c r="D108" s="18"/>
      <x:c r="E108" s="18"/>
      <x:c r="F108" s="30"/>
      <x:c r="G108" s="30"/>
      <x:c r="H108" s="30"/>
      <x:c r="I108" s="30"/>
      <x:c r="J108" s="30" t="str">
        <x:f>IF(OR(F108="",G108=""),"",G108-F108)</x:f>
      </x:c>
      <x:c r="K108" s="18"/>
      <x:c r="L108" s="18"/>
      <x:c r="M108" s="18"/>
    </x:row>
    <x:row r="109">
      <x:c r="A109" s="18"/>
      <x:c r="B109" s="18"/>
      <x:c r="C109" s="18"/>
      <x:c r="D109" s="18"/>
      <x:c r="E109" s="18"/>
      <x:c r="F109" s="30"/>
      <x:c r="G109" s="30"/>
      <x:c r="H109" s="30"/>
      <x:c r="I109" s="30"/>
      <x:c r="J109" s="30" t="str">
        <x:f>IF(OR(F109="",G109=""),"",G109-F109)</x:f>
      </x:c>
      <x:c r="K109" s="18"/>
      <x:c r="L109" s="18"/>
      <x:c r="M109" s="18"/>
    </x:row>
    <x:row r="110">
      <x:c r="A110" s="18"/>
      <x:c r="B110" s="18"/>
      <x:c r="C110" s="18"/>
      <x:c r="D110" s="18"/>
      <x:c r="E110" s="18"/>
      <x:c r="F110" s="30"/>
      <x:c r="G110" s="30"/>
      <x:c r="H110" s="30"/>
      <x:c r="I110" s="30"/>
      <x:c r="J110" s="30" t="str">
        <x:f>IF(OR(F110="",G110=""),"",G110-F110)</x:f>
      </x:c>
      <x:c r="K110" s="18"/>
      <x:c r="L110" s="18"/>
      <x:c r="M110" s="18"/>
    </x:row>
    <x:row r="111">
      <x:c r="A111" s="18"/>
      <x:c r="B111" s="18"/>
      <x:c r="C111" s="18"/>
      <x:c r="D111" s="18"/>
      <x:c r="E111" s="18"/>
      <x:c r="F111" s="30"/>
      <x:c r="G111" s="30"/>
      <x:c r="H111" s="30"/>
      <x:c r="I111" s="30"/>
      <x:c r="J111" s="30" t="str">
        <x:f>IF(OR(F111="",G111=""),"",G111-F111)</x:f>
      </x:c>
      <x:c r="K111" s="18"/>
      <x:c r="L111" s="18"/>
      <x:c r="M111" s="18"/>
    </x:row>
    <x:row r="112">
      <x:c r="A112" s="18"/>
      <x:c r="B112" s="18"/>
      <x:c r="C112" s="18"/>
      <x:c r="D112" s="18"/>
      <x:c r="E112" s="18"/>
      <x:c r="F112" s="30"/>
      <x:c r="G112" s="30"/>
      <x:c r="H112" s="30"/>
      <x:c r="I112" s="30"/>
      <x:c r="J112" s="30" t="str">
        <x:f>IF(OR(F112="",G112=""),"",G112-F112)</x:f>
      </x:c>
      <x:c r="K112" s="18"/>
      <x:c r="L112" s="18"/>
      <x:c r="M112" s="18"/>
    </x:row>
    <x:row r="113">
      <x:c r="A113" s="18"/>
      <x:c r="B113" s="18"/>
      <x:c r="C113" s="18"/>
      <x:c r="D113" s="18"/>
      <x:c r="E113" s="18"/>
      <x:c r="F113" s="30"/>
      <x:c r="G113" s="30"/>
      <x:c r="H113" s="30"/>
      <x:c r="I113" s="30"/>
      <x:c r="J113" s="30" t="str">
        <x:f>IF(OR(F113="",G113=""),"",G113-F113)</x:f>
      </x:c>
      <x:c r="K113" s="18"/>
      <x:c r="L113" s="18"/>
      <x:c r="M113" s="18"/>
    </x:row>
    <x:row r="114">
      <x:c r="A114" s="18"/>
      <x:c r="B114" s="18"/>
      <x:c r="C114" s="18"/>
      <x:c r="D114" s="18"/>
      <x:c r="E114" s="18"/>
      <x:c r="F114" s="30"/>
      <x:c r="G114" s="30"/>
      <x:c r="H114" s="30"/>
      <x:c r="I114" s="30"/>
      <x:c r="J114" s="30" t="str">
        <x:f>IF(OR(F114="",G114=""),"",G114-F114)</x:f>
      </x:c>
      <x:c r="K114" s="18"/>
      <x:c r="L114" s="18"/>
      <x:c r="M114" s="18"/>
    </x:row>
    <x:row r="115">
      <x:c r="A115" s="18"/>
      <x:c r="B115" s="18"/>
      <x:c r="C115" s="18"/>
      <x:c r="D115" s="18"/>
      <x:c r="E115" s="18"/>
      <x:c r="F115" s="30"/>
      <x:c r="G115" s="30"/>
      <x:c r="H115" s="30"/>
      <x:c r="I115" s="30"/>
      <x:c r="J115" s="30" t="str">
        <x:f>IF(OR(F115="",G115=""),"",G115-F115)</x:f>
      </x:c>
      <x:c r="K115" s="18"/>
      <x:c r="L115" s="18"/>
      <x:c r="M115" s="18"/>
    </x:row>
    <x:row r="116">
      <x:c r="A116" s="18"/>
      <x:c r="B116" s="18"/>
      <x:c r="C116" s="18"/>
      <x:c r="D116" s="18"/>
      <x:c r="E116" s="18"/>
      <x:c r="F116" s="30"/>
      <x:c r="G116" s="30"/>
      <x:c r="H116" s="30"/>
      <x:c r="I116" s="30"/>
      <x:c r="J116" s="30" t="str">
        <x:f>IF(OR(F116="",G116=""),"",G116-F116)</x:f>
      </x:c>
      <x:c r="K116" s="18"/>
      <x:c r="L116" s="18"/>
      <x:c r="M116" s="18"/>
    </x:row>
    <x:row r="117">
      <x:c r="A117" s="18"/>
      <x:c r="B117" s="18"/>
      <x:c r="C117" s="18"/>
      <x:c r="D117" s="18"/>
      <x:c r="E117" s="18"/>
      <x:c r="F117" s="30"/>
      <x:c r="G117" s="30"/>
      <x:c r="H117" s="30"/>
      <x:c r="I117" s="30"/>
      <x:c r="J117" s="30" t="str">
        <x:f>IF(OR(F117="",G117=""),"",G117-F117)</x:f>
      </x:c>
      <x:c r="K117" s="18"/>
      <x:c r="L117" s="18"/>
      <x:c r="M117" s="18"/>
    </x:row>
    <x:row r="118">
      <x:c r="A118" s="18"/>
      <x:c r="B118" s="18"/>
      <x:c r="C118" s="18"/>
      <x:c r="D118" s="18"/>
      <x:c r="E118" s="18"/>
      <x:c r="F118" s="30"/>
      <x:c r="G118" s="30"/>
      <x:c r="H118" s="30"/>
      <x:c r="I118" s="30"/>
      <x:c r="J118" s="30" t="str">
        <x:f>IF(OR(F118="",G118=""),"",G118-F118)</x:f>
      </x:c>
      <x:c r="K118" s="18"/>
      <x:c r="L118" s="18"/>
      <x:c r="M118" s="18"/>
    </x:row>
    <x:row r="119">
      <x:c r="A119" s="18"/>
      <x:c r="B119" s="18"/>
      <x:c r="C119" s="18"/>
      <x:c r="D119" s="18"/>
      <x:c r="E119" s="18"/>
      <x:c r="F119" s="30"/>
      <x:c r="G119" s="30"/>
      <x:c r="H119" s="30"/>
      <x:c r="I119" s="30"/>
      <x:c r="J119" s="30" t="str">
        <x:f>IF(OR(F119="",G119=""),"",G119-F119)</x:f>
      </x:c>
      <x:c r="K119" s="18"/>
      <x:c r="L119" s="18"/>
      <x:c r="M119" s="18"/>
    </x:row>
    <x:row r="120">
      <x:c r="A120" s="18"/>
      <x:c r="B120" s="18"/>
      <x:c r="C120" s="18"/>
      <x:c r="D120" s="18"/>
      <x:c r="E120" s="18"/>
      <x:c r="F120" s="30"/>
      <x:c r="G120" s="30"/>
      <x:c r="H120" s="30"/>
      <x:c r="I120" s="30"/>
      <x:c r="J120" s="30" t="str">
        <x:f>IF(OR(F120="",G120=""),"",G120-F120)</x:f>
      </x:c>
      <x:c r="K120" s="18"/>
      <x:c r="L120" s="18"/>
      <x:c r="M120" s="18"/>
    </x:row>
    <x:row r="121">
      <x:c r="A121" s="18"/>
      <x:c r="B121" s="18"/>
      <x:c r="C121" s="18"/>
      <x:c r="D121" s="18"/>
      <x:c r="E121" s="18"/>
      <x:c r="F121" s="30"/>
      <x:c r="G121" s="30"/>
      <x:c r="H121" s="30"/>
      <x:c r="I121" s="30"/>
      <x:c r="J121" s="30" t="str">
        <x:f>IF(OR(F121="",G121=""),"",G121-F121)</x:f>
      </x:c>
      <x:c r="K121" s="18"/>
      <x:c r="L121" s="18"/>
      <x:c r="M121" s="18"/>
    </x:row>
    <x:row r="122">
      <x:c r="A122" s="18"/>
      <x:c r="B122" s="18"/>
      <x:c r="C122" s="18"/>
      <x:c r="D122" s="18"/>
      <x:c r="E122" s="18"/>
      <x:c r="F122" s="30"/>
      <x:c r="G122" s="30"/>
      <x:c r="H122" s="30"/>
      <x:c r="I122" s="30"/>
      <x:c r="J122" s="30" t="str">
        <x:f>IF(OR(F122="",G122=""),"",G122-F122)</x:f>
      </x:c>
      <x:c r="K122" s="18"/>
      <x:c r="L122" s="18"/>
      <x:c r="M122" s="18"/>
    </x:row>
    <x:row r="123">
      <x:c r="A123" s="18"/>
      <x:c r="B123" s="18"/>
      <x:c r="C123" s="18"/>
      <x:c r="D123" s="18"/>
      <x:c r="E123" s="18"/>
      <x:c r="F123" s="30"/>
      <x:c r="G123" s="30"/>
      <x:c r="H123" s="30"/>
      <x:c r="I123" s="30"/>
      <x:c r="J123" s="30" t="str">
        <x:f>IF(OR(F123="",G123=""),"",G123-F123)</x:f>
      </x:c>
      <x:c r="K123" s="18"/>
      <x:c r="L123" s="18"/>
      <x:c r="M123" s="18"/>
    </x:row>
    <x:row r="124">
      <x:c r="A124" s="18"/>
      <x:c r="B124" s="18"/>
      <x:c r="C124" s="18"/>
      <x:c r="D124" s="18"/>
      <x:c r="E124" s="18"/>
      <x:c r="F124" s="30"/>
      <x:c r="G124" s="30"/>
      <x:c r="H124" s="30"/>
      <x:c r="I124" s="30"/>
      <x:c r="J124" s="30" t="str">
        <x:f>IF(OR(F124="",G124=""),"",G124-F124)</x:f>
      </x:c>
      <x:c r="K124" s="18"/>
      <x:c r="L124" s="18"/>
      <x:c r="M124" s="18"/>
    </x:row>
    <x:row r="125">
      <x:c r="A125" s="18"/>
      <x:c r="B125" s="18"/>
      <x:c r="C125" s="18"/>
      <x:c r="D125" s="18"/>
      <x:c r="E125" s="18"/>
      <x:c r="F125" s="30"/>
      <x:c r="G125" s="30"/>
      <x:c r="H125" s="30"/>
      <x:c r="I125" s="30"/>
      <x:c r="J125" s="30" t="str">
        <x:f>IF(OR(F125="",G125=""),"",G125-F125)</x:f>
      </x:c>
      <x:c r="K125" s="18"/>
      <x:c r="L125" s="18"/>
      <x:c r="M125" s="18"/>
    </x:row>
    <x:row r="126">
      <x:c r="A126" s="18"/>
      <x:c r="B126" s="18"/>
      <x:c r="C126" s="18"/>
      <x:c r="D126" s="18"/>
      <x:c r="E126" s="18"/>
      <x:c r="F126" s="30"/>
      <x:c r="G126" s="30"/>
      <x:c r="H126" s="30"/>
      <x:c r="I126" s="30"/>
      <x:c r="J126" s="30" t="str">
        <x:f>IF(OR(F126="",G126=""),"",G126-F126)</x:f>
      </x:c>
      <x:c r="K126" s="18"/>
      <x:c r="L126" s="18"/>
      <x:c r="M126" s="18"/>
    </x:row>
    <x:row r="127">
      <x:c r="A127" s="18"/>
      <x:c r="B127" s="18"/>
      <x:c r="C127" s="18"/>
      <x:c r="D127" s="18"/>
      <x:c r="E127" s="18"/>
      <x:c r="F127" s="30"/>
      <x:c r="G127" s="30"/>
      <x:c r="H127" s="30"/>
      <x:c r="I127" s="30"/>
      <x:c r="J127" s="30" t="str">
        <x:f>IF(OR(F127="",G127=""),"",G127-F127)</x:f>
      </x:c>
      <x:c r="K127" s="18"/>
      <x:c r="L127" s="18"/>
      <x:c r="M127" s="18"/>
    </x:row>
    <x:row r="128">
      <x:c r="A128" s="18"/>
      <x:c r="B128" s="18"/>
      <x:c r="C128" s="18"/>
      <x:c r="D128" s="18"/>
      <x:c r="E128" s="18"/>
      <x:c r="F128" s="30"/>
      <x:c r="G128" s="30"/>
      <x:c r="H128" s="30"/>
      <x:c r="I128" s="30"/>
      <x:c r="J128" s="30" t="str">
        <x:f>IF(OR(F128="",G128=""),"",G128-F128)</x:f>
      </x:c>
      <x:c r="K128" s="18"/>
      <x:c r="L128" s="18"/>
      <x:c r="M128" s="18"/>
    </x:row>
    <x:row r="129">
      <x:c r="A129" s="18"/>
      <x:c r="B129" s="18"/>
      <x:c r="C129" s="18"/>
      <x:c r="D129" s="18"/>
      <x:c r="E129" s="18"/>
      <x:c r="F129" s="30"/>
      <x:c r="G129" s="30"/>
      <x:c r="H129" s="30"/>
      <x:c r="I129" s="30"/>
      <x:c r="J129" s="30" t="str">
        <x:f>IF(OR(F129="",G129=""),"",G129-F129)</x:f>
      </x:c>
      <x:c r="K129" s="18"/>
      <x:c r="L129" s="18"/>
      <x:c r="M129" s="18"/>
    </x:row>
    <x:row r="130">
      <x:c r="A130" s="18"/>
      <x:c r="B130" s="18"/>
      <x:c r="C130" s="18"/>
      <x:c r="D130" s="18"/>
      <x:c r="E130" s="18"/>
      <x:c r="F130" s="30"/>
      <x:c r="G130" s="30"/>
      <x:c r="H130" s="30"/>
      <x:c r="I130" s="30"/>
      <x:c r="J130" s="30" t="str">
        <x:f>IF(OR(F130="",G130=""),"",G130-F130)</x:f>
      </x:c>
      <x:c r="K130" s="18"/>
      <x:c r="L130" s="18"/>
      <x:c r="M130" s="18"/>
    </x:row>
    <x:row r="131">
      <x:c r="A131" s="18"/>
      <x:c r="B131" s="18"/>
      <x:c r="C131" s="18"/>
      <x:c r="D131" s="18"/>
      <x:c r="E131" s="18"/>
      <x:c r="F131" s="30"/>
      <x:c r="G131" s="30"/>
      <x:c r="H131" s="30"/>
      <x:c r="I131" s="30"/>
      <x:c r="J131" s="30" t="str">
        <x:f>IF(OR(F131="",G131=""),"",G131-F131)</x:f>
      </x:c>
      <x:c r="K131" s="18"/>
      <x:c r="L131" s="18"/>
      <x:c r="M131" s="18"/>
    </x:row>
    <x:row r="132">
      <x:c r="A132" s="18"/>
      <x:c r="B132" s="18"/>
      <x:c r="C132" s="18"/>
      <x:c r="D132" s="18"/>
      <x:c r="E132" s="18"/>
      <x:c r="F132" s="30"/>
      <x:c r="G132" s="30"/>
      <x:c r="H132" s="30"/>
      <x:c r="I132" s="30"/>
      <x:c r="J132" s="30" t="str">
        <x:f>IF(OR(F132="",G132=""),"",G132-F132)</x:f>
      </x:c>
      <x:c r="K132" s="18"/>
      <x:c r="L132" s="18"/>
      <x:c r="M132" s="18"/>
    </x:row>
    <x:row r="133">
      <x:c r="A133" s="18"/>
      <x:c r="B133" s="18"/>
      <x:c r="C133" s="18"/>
      <x:c r="D133" s="18"/>
      <x:c r="E133" s="18"/>
      <x:c r="F133" s="30"/>
      <x:c r="G133" s="30"/>
      <x:c r="H133" s="30"/>
      <x:c r="I133" s="30"/>
      <x:c r="J133" s="30" t="str">
        <x:f>IF(OR(F133="",G133=""),"",G133-F133)</x:f>
      </x:c>
      <x:c r="K133" s="18"/>
      <x:c r="L133" s="18"/>
      <x:c r="M133" s="18"/>
    </x:row>
    <x:row r="134">
      <x:c r="A134" s="18"/>
      <x:c r="B134" s="18"/>
      <x:c r="C134" s="18"/>
      <x:c r="D134" s="18"/>
      <x:c r="E134" s="18"/>
      <x:c r="F134" s="30"/>
      <x:c r="G134" s="30"/>
      <x:c r="H134" s="30"/>
      <x:c r="I134" s="30"/>
      <x:c r="J134" s="30" t="str">
        <x:f>IF(OR(F134="",G134=""),"",G134-F134)</x:f>
      </x:c>
      <x:c r="K134" s="18"/>
      <x:c r="L134" s="18"/>
      <x:c r="M134" s="18"/>
    </x:row>
    <x:row r="135">
      <x:c r="A135" s="18"/>
      <x:c r="B135" s="18"/>
      <x:c r="C135" s="18"/>
      <x:c r="D135" s="18"/>
      <x:c r="E135" s="18"/>
      <x:c r="F135" s="30"/>
      <x:c r="G135" s="30"/>
      <x:c r="H135" s="30"/>
      <x:c r="I135" s="30"/>
      <x:c r="J135" s="30" t="str">
        <x:f>IF(OR(F135="",G135=""),"",G135-F135)</x:f>
      </x:c>
      <x:c r="K135" s="18"/>
      <x:c r="L135" s="18"/>
      <x:c r="M135" s="18"/>
    </x:row>
    <x:row r="136">
      <x:c r="A136" s="18"/>
      <x:c r="B136" s="18"/>
      <x:c r="C136" s="18"/>
      <x:c r="D136" s="18"/>
      <x:c r="E136" s="18"/>
      <x:c r="F136" s="30"/>
      <x:c r="G136" s="30"/>
      <x:c r="H136" s="30"/>
      <x:c r="I136" s="30"/>
      <x:c r="J136" s="30" t="str">
        <x:f>IF(OR(F136="",G136=""),"",G136-F136)</x:f>
      </x:c>
      <x:c r="K136" s="18"/>
      <x:c r="L136" s="18"/>
      <x:c r="M136" s="18"/>
    </x:row>
    <x:row r="137">
      <x:c r="A137" s="18"/>
      <x:c r="B137" s="18"/>
      <x:c r="C137" s="18"/>
      <x:c r="D137" s="18"/>
      <x:c r="E137" s="18"/>
      <x:c r="F137" s="30"/>
      <x:c r="G137" s="30"/>
      <x:c r="H137" s="30"/>
      <x:c r="I137" s="30"/>
      <x:c r="J137" s="30" t="str">
        <x:f>IF(OR(F137="",G137=""),"",G137-F137)</x:f>
      </x:c>
      <x:c r="K137" s="18"/>
      <x:c r="L137" s="18"/>
      <x:c r="M137" s="18"/>
    </x:row>
    <x:row r="138">
      <x:c r="A138" s="18"/>
      <x:c r="B138" s="18"/>
      <x:c r="C138" s="18"/>
      <x:c r="D138" s="18"/>
      <x:c r="E138" s="18"/>
      <x:c r="F138" s="30"/>
      <x:c r="G138" s="30"/>
      <x:c r="H138" s="30"/>
      <x:c r="I138" s="30"/>
      <x:c r="J138" s="30" t="str">
        <x:f>IF(OR(F138="",G138=""),"",G138-F138)</x:f>
      </x:c>
      <x:c r="K138" s="18"/>
      <x:c r="L138" s="18"/>
      <x:c r="M138" s="18"/>
    </x:row>
    <x:row r="139">
      <x:c r="A139" s="18"/>
      <x:c r="B139" s="18"/>
      <x:c r="C139" s="18"/>
      <x:c r="D139" s="18"/>
      <x:c r="E139" s="18"/>
      <x:c r="F139" s="30"/>
      <x:c r="G139" s="30"/>
      <x:c r="H139" s="30"/>
      <x:c r="I139" s="30"/>
      <x:c r="J139" s="30" t="str">
        <x:f>IF(OR(F139="",G139=""),"",G139-F139)</x:f>
      </x:c>
      <x:c r="K139" s="18"/>
      <x:c r="L139" s="18"/>
      <x:c r="M139" s="18"/>
    </x:row>
    <x:row r="140">
      <x:c r="A140" s="18"/>
      <x:c r="B140" s="18"/>
      <x:c r="C140" s="18"/>
      <x:c r="D140" s="18"/>
      <x:c r="E140" s="18"/>
      <x:c r="F140" s="30"/>
      <x:c r="G140" s="30"/>
      <x:c r="H140" s="30"/>
      <x:c r="I140" s="30"/>
      <x:c r="J140" s="30" t="str">
        <x:f>IF(OR(F140="",G140=""),"",G140-F140)</x:f>
      </x:c>
      <x:c r="K140" s="18"/>
      <x:c r="L140" s="18"/>
      <x:c r="M140" s="18"/>
    </x:row>
    <x:row r="141">
      <x:c r="A141" s="18"/>
      <x:c r="B141" s="18"/>
      <x:c r="C141" s="18"/>
      <x:c r="D141" s="18"/>
      <x:c r="E141" s="18"/>
      <x:c r="F141" s="30"/>
      <x:c r="G141" s="30"/>
      <x:c r="H141" s="30"/>
      <x:c r="I141" s="30"/>
      <x:c r="J141" s="30" t="str">
        <x:f>IF(OR(F141="",G141=""),"",G141-F141)</x:f>
      </x:c>
      <x:c r="K141" s="18"/>
      <x:c r="L141" s="18"/>
      <x:c r="M141" s="18"/>
    </x:row>
    <x:row r="142">
      <x:c r="A142" s="18"/>
      <x:c r="B142" s="18"/>
      <x:c r="C142" s="18"/>
      <x:c r="D142" s="18"/>
      <x:c r="E142" s="18"/>
      <x:c r="F142" s="30"/>
      <x:c r="G142" s="30"/>
      <x:c r="H142" s="30"/>
      <x:c r="I142" s="30"/>
      <x:c r="J142" s="30" t="str">
        <x:f>IF(OR(F142="",G142=""),"",G142-F142)</x:f>
      </x:c>
      <x:c r="K142" s="18"/>
      <x:c r="L142" s="18"/>
      <x:c r="M142" s="18"/>
    </x:row>
    <x:row r="143">
      <x:c r="A143" s="18"/>
      <x:c r="B143" s="18"/>
      <x:c r="C143" s="18"/>
      <x:c r="D143" s="18"/>
      <x:c r="E143" s="18"/>
      <x:c r="F143" s="30"/>
      <x:c r="G143" s="30"/>
      <x:c r="H143" s="30"/>
      <x:c r="I143" s="30"/>
      <x:c r="J143" s="30" t="str">
        <x:f>IF(OR(F143="",G143=""),"",G143-F143)</x:f>
      </x:c>
      <x:c r="K143" s="18"/>
      <x:c r="L143" s="18"/>
      <x:c r="M143" s="18"/>
    </x:row>
    <x:row r="144">
      <x:c r="A144" s="18"/>
      <x:c r="B144" s="18"/>
      <x:c r="C144" s="18"/>
      <x:c r="D144" s="18"/>
      <x:c r="E144" s="18"/>
      <x:c r="F144" s="30"/>
      <x:c r="G144" s="30"/>
      <x:c r="H144" s="30"/>
      <x:c r="I144" s="30"/>
      <x:c r="J144" s="30" t="str">
        <x:f>IF(OR(F144="",G144=""),"",G144-F144)</x:f>
      </x:c>
      <x:c r="K144" s="18"/>
      <x:c r="L144" s="18"/>
      <x:c r="M144" s="18"/>
    </x:row>
    <x:row r="145">
      <x:c r="A145" s="18"/>
      <x:c r="B145" s="18"/>
      <x:c r="C145" s="18"/>
      <x:c r="D145" s="18"/>
      <x:c r="E145" s="18"/>
      <x:c r="F145" s="30"/>
      <x:c r="G145" s="30"/>
      <x:c r="H145" s="30"/>
      <x:c r="I145" s="30"/>
      <x:c r="J145" s="30" t="str">
        <x:f>IF(OR(F145="",G145=""),"",G145-F145)</x:f>
      </x:c>
      <x:c r="K145" s="18"/>
      <x:c r="L145" s="18"/>
      <x:c r="M145" s="18"/>
    </x:row>
    <x:row r="146">
      <x:c r="A146" s="18"/>
      <x:c r="B146" s="18"/>
      <x:c r="C146" s="18"/>
      <x:c r="D146" s="18"/>
      <x:c r="E146" s="18"/>
      <x:c r="F146" s="30"/>
      <x:c r="G146" s="30"/>
      <x:c r="H146" s="30"/>
      <x:c r="I146" s="30"/>
      <x:c r="J146" s="30" t="str">
        <x:f>IF(OR(F146="",G146=""),"",G146-F146)</x:f>
      </x:c>
      <x:c r="K146" s="18"/>
      <x:c r="L146" s="18"/>
      <x:c r="M146" s="18"/>
    </x:row>
    <x:row r="147">
      <x:c r="A147" s="18"/>
      <x:c r="B147" s="18"/>
      <x:c r="C147" s="18"/>
      <x:c r="D147" s="18"/>
      <x:c r="E147" s="18"/>
      <x:c r="F147" s="30"/>
      <x:c r="G147" s="30"/>
      <x:c r="H147" s="30"/>
      <x:c r="I147" s="30"/>
      <x:c r="J147" s="30" t="str">
        <x:f>IF(OR(F147="",G147=""),"",G147-F147)</x:f>
      </x:c>
      <x:c r="K147" s="18"/>
      <x:c r="L147" s="18"/>
      <x:c r="M147" s="18"/>
    </x:row>
    <x:row r="148">
      <x:c r="A148" s="18"/>
      <x:c r="B148" s="18"/>
      <x:c r="C148" s="18"/>
      <x:c r="D148" s="18"/>
      <x:c r="E148" s="18"/>
      <x:c r="F148" s="30"/>
      <x:c r="G148" s="30"/>
      <x:c r="H148" s="30"/>
      <x:c r="I148" s="30"/>
      <x:c r="J148" s="30" t="str">
        <x:f>IF(OR(F148="",G148=""),"",G148-F148)</x:f>
      </x:c>
      <x:c r="K148" s="18"/>
      <x:c r="L148" s="18"/>
      <x:c r="M148" s="18"/>
    </x:row>
    <x:row r="149">
      <x:c r="A149" s="18"/>
      <x:c r="B149" s="18"/>
      <x:c r="C149" s="18"/>
      <x:c r="D149" s="18"/>
      <x:c r="E149" s="18"/>
      <x:c r="F149" s="30"/>
      <x:c r="G149" s="30"/>
      <x:c r="H149" s="30"/>
      <x:c r="I149" s="30"/>
      <x:c r="J149" s="30" t="str">
        <x:f>IF(OR(F149="",G149=""),"",G149-F149)</x:f>
      </x:c>
      <x:c r="K149" s="18"/>
      <x:c r="L149" s="18"/>
      <x:c r="M149" s="18"/>
    </x:row>
    <x:row r="150">
      <x:c r="A150" s="18"/>
      <x:c r="B150" s="18"/>
      <x:c r="C150" s="18"/>
      <x:c r="D150" s="18"/>
      <x:c r="E150" s="18"/>
      <x:c r="F150" s="30"/>
      <x:c r="G150" s="30"/>
      <x:c r="H150" s="30"/>
      <x:c r="I150" s="30"/>
      <x:c r="J150" s="30" t="str">
        <x:f>IF(OR(F150="",G150=""),"",G150-F150)</x:f>
      </x:c>
      <x:c r="K150" s="18"/>
      <x:c r="L150" s="18"/>
      <x:c r="M150" s="18"/>
    </x:row>
    <x:row r="151">
      <x:c r="A151" s="18"/>
      <x:c r="B151" s="18"/>
      <x:c r="C151" s="18"/>
      <x:c r="D151" s="18"/>
      <x:c r="E151" s="18"/>
      <x:c r="F151" s="30"/>
      <x:c r="G151" s="30"/>
      <x:c r="H151" s="30"/>
      <x:c r="I151" s="30"/>
      <x:c r="J151" s="30" t="str">
        <x:f>IF(OR(F151="",G151=""),"",G151-F151)</x:f>
      </x:c>
      <x:c r="K151" s="18"/>
      <x:c r="L151" s="18"/>
      <x:c r="M151" s="18"/>
    </x:row>
    <x:row r="152">
      <x:c r="A152" s="18"/>
      <x:c r="B152" s="18"/>
      <x:c r="C152" s="18"/>
      <x:c r="D152" s="18"/>
      <x:c r="E152" s="18"/>
      <x:c r="F152" s="30"/>
      <x:c r="G152" s="30"/>
      <x:c r="H152" s="30"/>
      <x:c r="I152" s="30"/>
      <x:c r="J152" s="30" t="str">
        <x:f>IF(OR(F152="",G152=""),"",G152-F152)</x:f>
      </x:c>
      <x:c r="K152" s="18"/>
      <x:c r="L152" s="18"/>
      <x:c r="M152" s="18"/>
    </x:row>
    <x:row r="153">
      <x:c r="A153" s="18"/>
      <x:c r="B153" s="18"/>
      <x:c r="C153" s="18"/>
      <x:c r="D153" s="18"/>
      <x:c r="E153" s="18"/>
      <x:c r="F153" s="30"/>
      <x:c r="G153" s="30"/>
      <x:c r="H153" s="30"/>
      <x:c r="I153" s="30"/>
      <x:c r="J153" s="30" t="str">
        <x:f>IF(OR(F153="",G153=""),"",G153-F153)</x:f>
      </x:c>
      <x:c r="K153" s="18"/>
      <x:c r="L153" s="18"/>
      <x:c r="M153" s="18"/>
    </x:row>
    <x:row r="154">
      <x:c r="A154" s="18"/>
      <x:c r="B154" s="18"/>
      <x:c r="C154" s="18"/>
      <x:c r="D154" s="18"/>
      <x:c r="E154" s="18"/>
      <x:c r="F154" s="30"/>
      <x:c r="G154" s="30"/>
      <x:c r="H154" s="30"/>
      <x:c r="I154" s="30"/>
      <x:c r="J154" s="30" t="str">
        <x:f>IF(OR(F154="",G154=""),"",G154-F154)</x:f>
      </x:c>
      <x:c r="K154" s="18"/>
      <x:c r="L154" s="18"/>
      <x:c r="M154" s="18"/>
    </x:row>
    <x:row r="155">
      <x:c r="A155" s="18"/>
      <x:c r="B155" s="18"/>
      <x:c r="C155" s="18"/>
      <x:c r="D155" s="18"/>
      <x:c r="E155" s="18"/>
      <x:c r="F155" s="30"/>
      <x:c r="G155" s="30"/>
      <x:c r="H155" s="30"/>
      <x:c r="I155" s="30"/>
      <x:c r="J155" s="30" t="str">
        <x:f>IF(OR(F155="",G155=""),"",G155-F155)</x:f>
      </x:c>
      <x:c r="K155" s="18"/>
      <x:c r="L155" s="18"/>
      <x:c r="M155" s="18"/>
    </x:row>
    <x:row r="156">
      <x:c r="A156" s="18"/>
      <x:c r="B156" s="18"/>
      <x:c r="C156" s="18"/>
      <x:c r="D156" s="18"/>
      <x:c r="E156" s="18"/>
      <x:c r="F156" s="30"/>
      <x:c r="G156" s="30"/>
      <x:c r="H156" s="30"/>
      <x:c r="I156" s="30"/>
      <x:c r="J156" s="30" t="str">
        <x:f>IF(OR(F156="",G156=""),"",G156-F156)</x:f>
      </x:c>
      <x:c r="K156" s="18"/>
      <x:c r="L156" s="18"/>
      <x:c r="M156" s="18"/>
    </x:row>
    <x:row r="157">
      <x:c r="A157" s="18"/>
      <x:c r="B157" s="18"/>
      <x:c r="C157" s="18"/>
      <x:c r="D157" s="18"/>
      <x:c r="E157" s="18"/>
      <x:c r="F157" s="30"/>
      <x:c r="G157" s="30"/>
      <x:c r="H157" s="30"/>
      <x:c r="I157" s="30"/>
      <x:c r="J157" s="30" t="str">
        <x:f>IF(OR(F157="",G157=""),"",G157-F157)</x:f>
      </x:c>
      <x:c r="K157" s="18"/>
      <x:c r="L157" s="18"/>
      <x:c r="M157" s="18"/>
    </x:row>
    <x:row r="158">
      <x:c r="A158" s="18"/>
      <x:c r="B158" s="18"/>
      <x:c r="C158" s="18"/>
      <x:c r="D158" s="18"/>
      <x:c r="E158" s="18"/>
      <x:c r="F158" s="30"/>
      <x:c r="G158" s="30"/>
      <x:c r="H158" s="30"/>
      <x:c r="I158" s="30"/>
      <x:c r="J158" s="30" t="str">
        <x:f>IF(OR(F158="",G158=""),"",G158-F158)</x:f>
      </x:c>
      <x:c r="K158" s="18"/>
      <x:c r="L158" s="18"/>
      <x:c r="M158" s="18"/>
    </x:row>
    <x:row r="159">
      <x:c r="A159" s="18"/>
      <x:c r="B159" s="18"/>
      <x:c r="C159" s="18"/>
      <x:c r="D159" s="18"/>
      <x:c r="E159" s="18"/>
      <x:c r="F159" s="30"/>
      <x:c r="G159" s="30"/>
      <x:c r="H159" s="30"/>
      <x:c r="I159" s="30"/>
      <x:c r="J159" s="30" t="str">
        <x:f>IF(OR(F159="",G159=""),"",G159-F159)</x:f>
      </x:c>
      <x:c r="K159" s="18"/>
      <x:c r="L159" s="18"/>
      <x:c r="M159" s="18"/>
    </x:row>
    <x:row r="160">
      <x:c r="A160" s="18"/>
      <x:c r="B160" s="18"/>
      <x:c r="C160" s="18"/>
      <x:c r="D160" s="18"/>
      <x:c r="E160" s="18"/>
      <x:c r="F160" s="30"/>
      <x:c r="G160" s="30"/>
      <x:c r="H160" s="30"/>
      <x:c r="I160" s="30"/>
      <x:c r="J160" s="30" t="str">
        <x:f>IF(OR(F160="",G160=""),"",G160-F160)</x:f>
      </x:c>
      <x:c r="K160" s="18"/>
      <x:c r="L160" s="18"/>
      <x:c r="M160" s="18"/>
    </x:row>
    <x:row r="161">
      <x:c r="A161" s="18"/>
      <x:c r="B161" s="18"/>
      <x:c r="C161" s="18"/>
      <x:c r="D161" s="18"/>
      <x:c r="E161" s="18"/>
      <x:c r="F161" s="30"/>
      <x:c r="G161" s="30"/>
      <x:c r="H161" s="30"/>
      <x:c r="I161" s="30"/>
      <x:c r="J161" s="30" t="str">
        <x:f>IF(OR(F161="",G161=""),"",G161-F161)</x:f>
      </x:c>
      <x:c r="K161" s="18"/>
      <x:c r="L161" s="18"/>
      <x:c r="M161" s="18"/>
    </x:row>
    <x:row r="162">
      <x:c r="A162" s="18"/>
      <x:c r="B162" s="18"/>
      <x:c r="C162" s="18"/>
      <x:c r="D162" s="18"/>
      <x:c r="E162" s="18"/>
      <x:c r="F162" s="30"/>
      <x:c r="G162" s="30"/>
      <x:c r="H162" s="30"/>
      <x:c r="I162" s="30"/>
      <x:c r="J162" s="30" t="str">
        <x:f>IF(OR(F162="",G162=""),"",G162-F162)</x:f>
      </x:c>
      <x:c r="K162" s="18"/>
      <x:c r="L162" s="18"/>
      <x:c r="M162" s="18"/>
    </x:row>
    <x:row r="163">
      <x:c r="A163" s="18"/>
      <x:c r="B163" s="18"/>
      <x:c r="C163" s="18"/>
      <x:c r="D163" s="18"/>
      <x:c r="E163" s="18"/>
      <x:c r="F163" s="30"/>
      <x:c r="G163" s="30"/>
      <x:c r="H163" s="30"/>
      <x:c r="I163" s="30"/>
      <x:c r="J163" s="30" t="str">
        <x:f>IF(OR(F163="",G163=""),"",G163-F163)</x:f>
      </x:c>
      <x:c r="K163" s="18"/>
      <x:c r="L163" s="18"/>
      <x:c r="M163" s="18"/>
    </x:row>
    <x:row r="164">
      <x:c r="A164" s="18"/>
      <x:c r="B164" s="18"/>
      <x:c r="C164" s="18"/>
      <x:c r="D164" s="18"/>
      <x:c r="E164" s="18"/>
      <x:c r="F164" s="30"/>
      <x:c r="G164" s="30"/>
      <x:c r="H164" s="30"/>
      <x:c r="I164" s="30"/>
      <x:c r="J164" s="30" t="str">
        <x:f>IF(OR(F164="",G164=""),"",G164-F164)</x:f>
      </x:c>
      <x:c r="K164" s="18"/>
      <x:c r="L164" s="18"/>
      <x:c r="M164" s="18"/>
    </x:row>
    <x:row r="165">
      <x:c r="A165" s="18"/>
      <x:c r="B165" s="18"/>
      <x:c r="C165" s="18"/>
      <x:c r="D165" s="18"/>
      <x:c r="E165" s="18"/>
      <x:c r="F165" s="30"/>
      <x:c r="G165" s="30"/>
      <x:c r="H165" s="30"/>
      <x:c r="I165" s="30"/>
      <x:c r="J165" s="30" t="str">
        <x:f>IF(OR(F165="",G165=""),"",G165-F165)</x:f>
      </x:c>
      <x:c r="K165" s="18"/>
      <x:c r="L165" s="18"/>
      <x:c r="M165" s="18"/>
    </x:row>
    <x:row r="166">
      <x:c r="A166" s="18"/>
      <x:c r="B166" s="18"/>
      <x:c r="C166" s="18"/>
      <x:c r="D166" s="18"/>
      <x:c r="E166" s="18"/>
      <x:c r="F166" s="30"/>
      <x:c r="G166" s="30"/>
      <x:c r="H166" s="30"/>
      <x:c r="I166" s="30"/>
      <x:c r="J166" s="30" t="str">
        <x:f>IF(OR(F166="",G166=""),"",G166-F166)</x:f>
      </x:c>
      <x:c r="K166" s="18"/>
      <x:c r="L166" s="18"/>
      <x:c r="M166" s="18"/>
    </x:row>
    <x:row r="167">
      <x:c r="A167" s="18"/>
      <x:c r="B167" s="18"/>
      <x:c r="C167" s="18"/>
      <x:c r="D167" s="18"/>
      <x:c r="E167" s="18"/>
      <x:c r="F167" s="30"/>
      <x:c r="G167" s="30"/>
      <x:c r="H167" s="30"/>
      <x:c r="I167" s="30"/>
      <x:c r="J167" s="30" t="str">
        <x:f>IF(OR(F167="",G167=""),"",G167-F167)</x:f>
      </x:c>
      <x:c r="K167" s="18"/>
      <x:c r="L167" s="18"/>
      <x:c r="M167" s="18"/>
    </x:row>
    <x:row r="168">
      <x:c r="A168" s="18"/>
      <x:c r="B168" s="18"/>
      <x:c r="C168" s="18"/>
      <x:c r="D168" s="18"/>
      <x:c r="E168" s="18"/>
      <x:c r="F168" s="30"/>
      <x:c r="G168" s="30"/>
      <x:c r="H168" s="30"/>
      <x:c r="I168" s="30"/>
      <x:c r="J168" s="30" t="str">
        <x:f>IF(OR(F168="",G168=""),"",G168-F168)</x:f>
      </x:c>
      <x:c r="K168" s="18"/>
      <x:c r="L168" s="18"/>
      <x:c r="M168" s="18"/>
    </x:row>
    <x:row r="169">
      <x:c r="A169" s="18"/>
      <x:c r="B169" s="18"/>
      <x:c r="C169" s="18"/>
      <x:c r="D169" s="18"/>
      <x:c r="E169" s="18"/>
      <x:c r="F169" s="30"/>
      <x:c r="G169" s="30"/>
      <x:c r="H169" s="30"/>
      <x:c r="I169" s="30"/>
      <x:c r="J169" s="30" t="str">
        <x:f>IF(OR(F169="",G169=""),"",G169-F169)</x:f>
      </x:c>
      <x:c r="K169" s="18"/>
      <x:c r="L169" s="18"/>
      <x:c r="M169" s="18"/>
    </x:row>
    <x:row r="170">
      <x:c r="A170" s="18"/>
      <x:c r="B170" s="18"/>
      <x:c r="C170" s="18"/>
      <x:c r="D170" s="18"/>
      <x:c r="E170" s="18"/>
      <x:c r="F170" s="30"/>
      <x:c r="G170" s="30"/>
      <x:c r="H170" s="30"/>
      <x:c r="I170" s="30"/>
      <x:c r="J170" s="30" t="str">
        <x:f>IF(OR(F170="",G170=""),"",G170-F170)</x:f>
      </x:c>
      <x:c r="K170" s="18"/>
      <x:c r="L170" s="18"/>
      <x:c r="M170" s="18"/>
    </x:row>
    <x:row r="171">
      <x:c r="A171" s="18"/>
      <x:c r="B171" s="18"/>
      <x:c r="C171" s="18"/>
      <x:c r="D171" s="18"/>
      <x:c r="E171" s="18"/>
      <x:c r="F171" s="30"/>
      <x:c r="G171" s="30"/>
      <x:c r="H171" s="30"/>
      <x:c r="I171" s="30"/>
      <x:c r="J171" s="30" t="str">
        <x:f>IF(OR(F171="",G171=""),"",G171-F171)</x:f>
      </x:c>
      <x:c r="K171" s="18"/>
      <x:c r="L171" s="18"/>
      <x:c r="M171" s="18"/>
    </x:row>
    <x:row r="172">
      <x:c r="A172" s="18"/>
      <x:c r="B172" s="18"/>
      <x:c r="C172" s="18"/>
      <x:c r="D172" s="18"/>
      <x:c r="E172" s="18"/>
      <x:c r="F172" s="30"/>
      <x:c r="G172" s="30"/>
      <x:c r="H172" s="30"/>
      <x:c r="I172" s="30"/>
      <x:c r="J172" s="30" t="str">
        <x:f>IF(OR(F172="",G172=""),"",G172-F172)</x:f>
      </x:c>
      <x:c r="K172" s="18"/>
      <x:c r="L172" s="18"/>
      <x:c r="M172" s="18"/>
    </x:row>
    <x:row r="173">
      <x:c r="A173" s="18"/>
      <x:c r="B173" s="18"/>
      <x:c r="C173" s="18"/>
      <x:c r="D173" s="18"/>
      <x:c r="E173" s="18"/>
      <x:c r="F173" s="30"/>
      <x:c r="G173" s="30"/>
      <x:c r="H173" s="30"/>
      <x:c r="I173" s="30"/>
      <x:c r="J173" s="30" t="str">
        <x:f>IF(OR(F173="",G173=""),"",G173-F173)</x:f>
      </x:c>
      <x:c r="K173" s="18"/>
      <x:c r="L173" s="18"/>
      <x:c r="M173" s="18"/>
    </x:row>
    <x:row r="174">
      <x:c r="A174" s="18"/>
      <x:c r="B174" s="18"/>
      <x:c r="C174" s="18"/>
      <x:c r="D174" s="18"/>
      <x:c r="E174" s="18"/>
      <x:c r="F174" s="30"/>
      <x:c r="G174" s="30"/>
      <x:c r="H174" s="30"/>
      <x:c r="I174" s="30"/>
      <x:c r="J174" s="30" t="str">
        <x:f>IF(OR(F174="",G174=""),"",G174-F174)</x:f>
      </x:c>
      <x:c r="K174" s="18"/>
      <x:c r="L174" s="18"/>
      <x:c r="M174" s="18"/>
    </x:row>
    <x:row r="175">
      <x:c r="A175" s="18"/>
      <x:c r="B175" s="18"/>
      <x:c r="C175" s="18"/>
      <x:c r="D175" s="18"/>
      <x:c r="E175" s="18"/>
      <x:c r="F175" s="30"/>
      <x:c r="G175" s="30"/>
      <x:c r="H175" s="30"/>
      <x:c r="I175" s="30"/>
      <x:c r="J175" s="30" t="str">
        <x:f>IF(OR(F175="",G175=""),"",G175-F175)</x:f>
      </x:c>
      <x:c r="K175" s="18"/>
      <x:c r="L175" s="18"/>
      <x:c r="M175" s="18"/>
    </x:row>
    <x:row r="176">
      <x:c r="A176" s="18"/>
      <x:c r="B176" s="18"/>
      <x:c r="C176" s="18"/>
      <x:c r="D176" s="18"/>
      <x:c r="E176" s="18"/>
      <x:c r="F176" s="30"/>
      <x:c r="G176" s="30"/>
      <x:c r="H176" s="30"/>
      <x:c r="I176" s="30"/>
      <x:c r="J176" s="30" t="str">
        <x:f>IF(OR(F176="",G176=""),"",G176-F176)</x:f>
      </x:c>
      <x:c r="K176" s="18"/>
      <x:c r="L176" s="18"/>
      <x:c r="M176" s="18"/>
    </x:row>
    <x:row r="177">
      <x:c r="A177" s="18"/>
      <x:c r="B177" s="18"/>
      <x:c r="C177" s="18"/>
      <x:c r="D177" s="18"/>
      <x:c r="E177" s="18"/>
      <x:c r="F177" s="30"/>
      <x:c r="G177" s="30"/>
      <x:c r="H177" s="30"/>
      <x:c r="I177" s="30"/>
      <x:c r="J177" s="30" t="str">
        <x:f>IF(OR(F177="",G177=""),"",G177-F177)</x:f>
      </x:c>
      <x:c r="K177" s="18"/>
      <x:c r="L177" s="18"/>
      <x:c r="M177" s="18"/>
    </x:row>
    <x:row r="178">
      <x:c r="A178" s="18"/>
      <x:c r="B178" s="18"/>
      <x:c r="C178" s="18"/>
      <x:c r="D178" s="18"/>
      <x:c r="E178" s="18"/>
      <x:c r="F178" s="30"/>
      <x:c r="G178" s="30"/>
      <x:c r="H178" s="30"/>
      <x:c r="I178" s="30"/>
      <x:c r="J178" s="30" t="str">
        <x:f>IF(OR(F178="",G178=""),"",G178-F178)</x:f>
      </x:c>
      <x:c r="K178" s="18"/>
      <x:c r="L178" s="18"/>
      <x:c r="M178" s="18"/>
    </x:row>
    <x:row r="179">
      <x:c r="A179" s="18"/>
      <x:c r="B179" s="18"/>
      <x:c r="C179" s="18"/>
      <x:c r="D179" s="18"/>
      <x:c r="E179" s="18"/>
      <x:c r="F179" s="30"/>
      <x:c r="G179" s="30"/>
      <x:c r="H179" s="30"/>
      <x:c r="I179" s="30"/>
      <x:c r="J179" s="30" t="str">
        <x:f>IF(OR(F179="",G179=""),"",G179-F179)</x:f>
      </x:c>
      <x:c r="K179" s="18"/>
      <x:c r="L179" s="18"/>
      <x:c r="M179" s="18"/>
    </x:row>
    <x:row r="180">
      <x:c r="A180" s="18"/>
      <x:c r="B180" s="18"/>
      <x:c r="C180" s="18"/>
      <x:c r="D180" s="18"/>
      <x:c r="E180" s="18"/>
      <x:c r="F180" s="30"/>
      <x:c r="G180" s="30"/>
      <x:c r="H180" s="30"/>
      <x:c r="I180" s="30"/>
      <x:c r="J180" s="30" t="str">
        <x:f>IF(OR(F180="",G180=""),"",G180-F180)</x:f>
      </x:c>
      <x:c r="K180" s="18"/>
      <x:c r="L180" s="18"/>
      <x:c r="M180" s="18"/>
    </x:row>
    <x:row r="181">
      <x:c r="A181" s="18"/>
      <x:c r="B181" s="18"/>
      <x:c r="C181" s="18"/>
      <x:c r="D181" s="18"/>
      <x:c r="E181" s="18"/>
      <x:c r="F181" s="30"/>
      <x:c r="G181" s="30"/>
      <x:c r="H181" s="30"/>
      <x:c r="I181" s="30"/>
      <x:c r="J181" s="30" t="str">
        <x:f>IF(OR(F181="",G181=""),"",G181-F181)</x:f>
      </x:c>
      <x:c r="K181" s="18"/>
      <x:c r="L181" s="18"/>
      <x:c r="M181" s="18"/>
    </x:row>
    <x:row r="182">
      <x:c r="A182" s="18"/>
      <x:c r="B182" s="18"/>
      <x:c r="C182" s="18"/>
      <x:c r="D182" s="18"/>
      <x:c r="E182" s="18"/>
      <x:c r="F182" s="30"/>
      <x:c r="G182" s="30"/>
      <x:c r="H182" s="30"/>
      <x:c r="I182" s="30"/>
      <x:c r="J182" s="30" t="str">
        <x:f>IF(OR(F182="",G182=""),"",G182-F182)</x:f>
      </x:c>
      <x:c r="K182" s="18"/>
      <x:c r="L182" s="18"/>
      <x:c r="M182" s="18"/>
    </x:row>
    <x:row r="183">
      <x:c r="A183" s="18"/>
      <x:c r="B183" s="18"/>
      <x:c r="C183" s="18"/>
      <x:c r="D183" s="18"/>
      <x:c r="E183" s="18"/>
      <x:c r="F183" s="30"/>
      <x:c r="G183" s="30"/>
      <x:c r="H183" s="30"/>
      <x:c r="I183" s="30"/>
      <x:c r="J183" s="30" t="str">
        <x:f>IF(OR(F183="",G183=""),"",G183-F183)</x:f>
      </x:c>
      <x:c r="K183" s="18"/>
      <x:c r="L183" s="18"/>
      <x:c r="M183" s="18"/>
    </x:row>
    <x:row r="184">
      <x:c r="A184" s="18"/>
      <x:c r="B184" s="18"/>
      <x:c r="C184" s="18"/>
      <x:c r="D184" s="18"/>
      <x:c r="E184" s="18"/>
      <x:c r="F184" s="30"/>
      <x:c r="G184" s="30"/>
      <x:c r="H184" s="30"/>
      <x:c r="I184" s="30"/>
      <x:c r="J184" s="30" t="str">
        <x:f>IF(OR(F184="",G184=""),"",G184-F184)</x:f>
      </x:c>
      <x:c r="K184" s="18"/>
      <x:c r="L184" s="18"/>
      <x:c r="M184" s="18"/>
    </x:row>
    <x:row r="185">
      <x:c r="A185" s="18"/>
      <x:c r="B185" s="18"/>
      <x:c r="C185" s="18"/>
      <x:c r="D185" s="18"/>
      <x:c r="E185" s="18"/>
      <x:c r="F185" s="30"/>
      <x:c r="G185" s="30"/>
      <x:c r="H185" s="30"/>
      <x:c r="I185" s="30"/>
      <x:c r="J185" s="30" t="str">
        <x:f>IF(OR(F185="",G185=""),"",G185-F185)</x:f>
      </x:c>
      <x:c r="K185" s="18"/>
      <x:c r="L185" s="18"/>
      <x:c r="M185" s="18"/>
    </x:row>
    <x:row r="186">
      <x:c r="A186" s="18"/>
      <x:c r="B186" s="18"/>
      <x:c r="C186" s="18"/>
      <x:c r="D186" s="18"/>
      <x:c r="E186" s="18"/>
      <x:c r="F186" s="30"/>
      <x:c r="G186" s="30"/>
      <x:c r="H186" s="30"/>
      <x:c r="I186" s="30"/>
      <x:c r="J186" s="30" t="str">
        <x:f>IF(OR(F186="",G186=""),"",G186-F186)</x:f>
      </x:c>
      <x:c r="K186" s="18"/>
      <x:c r="L186" s="18"/>
      <x:c r="M186" s="18"/>
    </x:row>
    <x:row r="187">
      <x:c r="A187" s="18"/>
      <x:c r="B187" s="18"/>
      <x:c r="C187" s="18"/>
      <x:c r="D187" s="18"/>
      <x:c r="E187" s="18"/>
      <x:c r="F187" s="30"/>
      <x:c r="G187" s="30"/>
      <x:c r="H187" s="30"/>
      <x:c r="I187" s="30"/>
      <x:c r="J187" s="30" t="str">
        <x:f>IF(OR(F187="",G187=""),"",G187-F187)</x:f>
      </x:c>
      <x:c r="K187" s="18"/>
      <x:c r="L187" s="18"/>
      <x:c r="M187" s="18"/>
    </x:row>
    <x:row r="188">
      <x:c r="A188" s="18"/>
      <x:c r="B188" s="18"/>
      <x:c r="C188" s="18"/>
      <x:c r="D188" s="18"/>
      <x:c r="E188" s="18"/>
      <x:c r="F188" s="30"/>
      <x:c r="G188" s="30"/>
      <x:c r="H188" s="30"/>
      <x:c r="I188" s="30"/>
      <x:c r="J188" s="30" t="str">
        <x:f>IF(OR(F188="",G188=""),"",G188-F188)</x:f>
      </x:c>
      <x:c r="K188" s="18"/>
      <x:c r="L188" s="18"/>
      <x:c r="M188" s="18"/>
    </x:row>
    <x:row r="189">
      <x:c r="A189" s="18"/>
      <x:c r="B189" s="18"/>
      <x:c r="C189" s="18"/>
      <x:c r="D189" s="18"/>
      <x:c r="E189" s="18"/>
      <x:c r="F189" s="30"/>
      <x:c r="G189" s="30"/>
      <x:c r="H189" s="30"/>
      <x:c r="I189" s="30"/>
      <x:c r="J189" s="30" t="str">
        <x:f>IF(OR(F189="",G189=""),"",G189-F189)</x:f>
      </x:c>
      <x:c r="K189" s="18"/>
      <x:c r="L189" s="18"/>
      <x:c r="M189" s="18"/>
    </x:row>
    <x:row r="190">
      <x:c r="A190" s="18"/>
      <x:c r="B190" s="18"/>
      <x:c r="C190" s="18"/>
      <x:c r="D190" s="18"/>
      <x:c r="E190" s="18"/>
      <x:c r="F190" s="30"/>
      <x:c r="G190" s="30"/>
      <x:c r="H190" s="30"/>
      <x:c r="I190" s="30"/>
      <x:c r="J190" s="30" t="str">
        <x:f>IF(OR(F190="",G190=""),"",G190-F190)</x:f>
      </x:c>
      <x:c r="K190" s="18"/>
      <x:c r="L190" s="18"/>
      <x:c r="M190" s="18"/>
    </x:row>
    <x:row r="191">
      <x:c r="A191" s="18"/>
      <x:c r="B191" s="18"/>
      <x:c r="C191" s="18"/>
      <x:c r="D191" s="18"/>
      <x:c r="E191" s="18"/>
      <x:c r="F191" s="30"/>
      <x:c r="G191" s="30"/>
      <x:c r="H191" s="30"/>
      <x:c r="I191" s="30"/>
      <x:c r="J191" s="30" t="str">
        <x:f>IF(OR(F191="",G191=""),"",G191-F191)</x:f>
      </x:c>
      <x:c r="K191" s="18"/>
      <x:c r="L191" s="18"/>
      <x:c r="M191" s="18"/>
    </x:row>
    <x:row r="192">
      <x:c r="A192" s="18"/>
      <x:c r="B192" s="18"/>
      <x:c r="C192" s="18"/>
      <x:c r="D192" s="18"/>
      <x:c r="E192" s="18"/>
      <x:c r="F192" s="30"/>
      <x:c r="G192" s="30"/>
      <x:c r="H192" s="30"/>
      <x:c r="I192" s="30"/>
      <x:c r="J192" s="30" t="str">
        <x:f>IF(OR(F192="",G192=""),"",G192-F192)</x:f>
      </x:c>
      <x:c r="K192" s="18"/>
      <x:c r="L192" s="18"/>
      <x:c r="M192" s="18"/>
    </x:row>
    <x:row r="193">
      <x:c r="A193" s="18"/>
      <x:c r="B193" s="18"/>
      <x:c r="C193" s="18"/>
      <x:c r="D193" s="18"/>
      <x:c r="E193" s="18"/>
      <x:c r="F193" s="30"/>
      <x:c r="G193" s="30"/>
      <x:c r="H193" s="30"/>
      <x:c r="I193" s="30"/>
      <x:c r="J193" s="30" t="str">
        <x:f>IF(OR(F193="",G193=""),"",G193-F193)</x:f>
      </x:c>
      <x:c r="K193" s="18"/>
      <x:c r="L193" s="18"/>
      <x:c r="M193" s="18"/>
    </x:row>
    <x:row r="194">
      <x:c r="A194" s="18"/>
      <x:c r="B194" s="18"/>
      <x:c r="C194" s="18"/>
      <x:c r="D194" s="18"/>
      <x:c r="E194" s="18"/>
      <x:c r="F194" s="30"/>
      <x:c r="G194" s="30"/>
      <x:c r="H194" s="30"/>
      <x:c r="I194" s="30"/>
      <x:c r="J194" s="30" t="str">
        <x:f>IF(OR(F194="",G194=""),"",G194-F194)</x:f>
      </x:c>
      <x:c r="K194" s="18"/>
      <x:c r="L194" s="18"/>
      <x:c r="M194" s="18"/>
    </x:row>
    <x:row r="195">
      <x:c r="A195" s="18"/>
      <x:c r="B195" s="18"/>
      <x:c r="C195" s="18"/>
      <x:c r="D195" s="18"/>
      <x:c r="E195" s="18"/>
      <x:c r="F195" s="30"/>
      <x:c r="G195" s="30"/>
      <x:c r="H195" s="30"/>
      <x:c r="I195" s="30"/>
      <x:c r="J195" s="30" t="str">
        <x:f>IF(OR(F195="",G195=""),"",G195-F195)</x:f>
      </x:c>
      <x:c r="K195" s="18"/>
      <x:c r="L195" s="18"/>
      <x:c r="M195" s="18"/>
    </x:row>
    <x:row r="196">
      <x:c r="A196" s="18"/>
      <x:c r="B196" s="18"/>
      <x:c r="C196" s="18"/>
      <x:c r="D196" s="18"/>
      <x:c r="E196" s="18"/>
      <x:c r="F196" s="30"/>
      <x:c r="G196" s="30"/>
      <x:c r="H196" s="30"/>
      <x:c r="I196" s="30"/>
      <x:c r="J196" s="30" t="str">
        <x:f>IF(OR(F196="",G196=""),"",G196-F196)</x:f>
      </x:c>
      <x:c r="K196" s="18"/>
      <x:c r="L196" s="18"/>
      <x:c r="M196" s="18"/>
    </x:row>
    <x:row r="197">
      <x:c r="A197" s="18"/>
      <x:c r="B197" s="18"/>
      <x:c r="C197" s="18"/>
      <x:c r="D197" s="18"/>
      <x:c r="E197" s="18"/>
      <x:c r="F197" s="30"/>
      <x:c r="G197" s="30"/>
      <x:c r="H197" s="30"/>
      <x:c r="I197" s="30"/>
      <x:c r="J197" s="30" t="str">
        <x:f>IF(OR(F197="",G197=""),"",G197-F197)</x:f>
      </x:c>
      <x:c r="K197" s="18"/>
      <x:c r="L197" s="18"/>
      <x:c r="M197" s="18"/>
    </x:row>
    <x:row r="198">
      <x:c r="A198" s="18"/>
      <x:c r="B198" s="18"/>
      <x:c r="C198" s="18"/>
      <x:c r="D198" s="18"/>
      <x:c r="E198" s="18"/>
      <x:c r="F198" s="30"/>
      <x:c r="G198" s="30"/>
      <x:c r="H198" s="30"/>
      <x:c r="I198" s="30"/>
      <x:c r="J198" s="30" t="str">
        <x:f>IF(OR(F198="",G198=""),"",G198-F198)</x:f>
      </x:c>
      <x:c r="K198" s="18"/>
      <x:c r="L198" s="18"/>
      <x:c r="M198" s="18"/>
    </x:row>
    <x:row r="199">
      <x:c r="A199" s="18"/>
      <x:c r="B199" s="18"/>
      <x:c r="C199" s="18"/>
      <x:c r="D199" s="18"/>
      <x:c r="E199" s="18"/>
      <x:c r="F199" s="30"/>
      <x:c r="G199" s="30"/>
      <x:c r="H199" s="30"/>
      <x:c r="I199" s="30"/>
      <x:c r="J199" s="30" t="str">
        <x:f>IF(OR(F199="",G199=""),"",G199-F199)</x:f>
      </x:c>
      <x:c r="K199" s="18"/>
      <x:c r="L199" s="18"/>
      <x:c r="M199" s="18"/>
    </x:row>
    <x:row r="200">
      <x:c r="A200" s="18"/>
      <x:c r="B200" s="18"/>
      <x:c r="C200" s="18"/>
      <x:c r="D200" s="18"/>
      <x:c r="E200" s="18"/>
      <x:c r="F200" s="30"/>
      <x:c r="G200" s="30"/>
      <x:c r="H200" s="30"/>
      <x:c r="I200" s="30"/>
      <x:c r="J200" s="30" t="str">
        <x:f>IF(OR(F200="",G200=""),"",G200-F200)</x:f>
      </x:c>
      <x:c r="K200" s="18"/>
      <x:c r="L200" s="18"/>
      <x:c r="M200" s="18"/>
    </x:row>
    <x:row r="201">
      <x:c r="A201" s="18"/>
      <x:c r="B201" s="18"/>
      <x:c r="C201" s="18"/>
      <x:c r="D201" s="18"/>
      <x:c r="E201" s="18"/>
      <x:c r="F201" s="30"/>
      <x:c r="G201" s="30"/>
      <x:c r="H201" s="30"/>
      <x:c r="I201" s="30"/>
      <x:c r="J201" s="30" t="str">
        <x:f>IF(OR(F201="",G201=""),"",G201-F201)</x:f>
      </x:c>
      <x:c r="K201" s="18"/>
      <x:c r="L201" s="18"/>
      <x:c r="M201" s="18"/>
    </x:row>
    <x:row r="202">
      <x:c r="A202" s="18"/>
      <x:c r="B202" s="18"/>
      <x:c r="C202" s="18"/>
      <x:c r="D202" s="18"/>
      <x:c r="E202" s="18"/>
      <x:c r="F202" s="30"/>
      <x:c r="G202" s="30"/>
      <x:c r="H202" s="30"/>
      <x:c r="I202" s="30"/>
      <x:c r="J202" s="30" t="str">
        <x:f>IF(OR(F202="",G202=""),"",G202-F202)</x:f>
      </x:c>
      <x:c r="K202" s="18"/>
      <x:c r="L202" s="18"/>
      <x:c r="M202" s="18"/>
    </x:row>
    <x:row r="203">
      <x:c r="A203" s="18"/>
      <x:c r="B203" s="18"/>
      <x:c r="C203" s="18"/>
      <x:c r="D203" s="18"/>
      <x:c r="E203" s="18"/>
      <x:c r="F203" s="30"/>
      <x:c r="G203" s="30"/>
      <x:c r="H203" s="30"/>
      <x:c r="I203" s="30"/>
      <x:c r="J203" s="30" t="str">
        <x:f>IF(OR(F203="",G203=""),"",G203-F203)</x:f>
      </x:c>
      <x:c r="K203" s="18"/>
      <x:c r="L203" s="18"/>
      <x:c r="M203" s="18"/>
    </x:row>
    <x:row r="204">
      <x:c r="A204" s="18"/>
      <x:c r="B204" s="18"/>
      <x:c r="C204" s="18"/>
      <x:c r="D204" s="18"/>
      <x:c r="E204" s="18"/>
      <x:c r="F204" s="30"/>
      <x:c r="G204" s="30"/>
      <x:c r="H204" s="30"/>
      <x:c r="I204" s="30"/>
      <x:c r="J204" s="30" t="str">
        <x:f>IF(OR(F204="",G204=""),"",G204-F204)</x:f>
      </x:c>
      <x:c r="K204" s="18"/>
      <x:c r="L204" s="18"/>
      <x:c r="M204" s="18"/>
    </x:row>
  </x:sheetData>
  <x:conditionalFormatting sqref="K5:K204">
    <x:cfRule type="containsText" dxfId="0" priority="1" operator="containsText" text="BLOCKED"/>
    <x:cfRule type="containsText" dxfId="1" priority="2" operator="containsText" text="REVIEW"/>
  </x:conditionalFormatting>
  <x:dataValidations count="2">
    <x:dataValidation type="list" sqref="B5:B204">
      <x:formula1>"公式版本,代表值,单位,质量平衡,能量汇总,方向符号,内部流,循环,边界/功能单位,重复计算,CLCA分配排除"</x:formula1>
    </x:dataValidation>
    <x:dataValidation type="list" sqref="K5:K204">
      <x:formula1>"PASS,PASS_WITH_NOTE,REVIEW,BLOCKED,NOT_APPLICABLE"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42" hidden="0" customWidth="1"/>
    <x:col min="5" max="5" width="36" hidden="0" customWidth="1"/>
    <x:col min="6" max="6" width="34" hidden="0" customWidth="1"/>
    <x:col min="7" max="7" width="38" hidden="0" customWidth="1"/>
    <x:col min="8" max="8" width="38" hidden="0" customWidth="1"/>
    <x:col min="9" max="9" width="18" hidden="0" customWidth="1"/>
    <x:col min="10" max="10" width="26" hidden="0" customWidth="1"/>
    <x:col min="11" max="11" width="16" hidden="0" customWidth="1"/>
    <x:col min="12" max="12" width="34" hidden="0" customWidth="1"/>
    <x:col min="13" max="13" width="18" hidden="0" customWidth="1"/>
    <x:col min="14" max="14" width="18" hidden="0" customWidth="1"/>
    <x:col min="15" max="15" width="22" hidden="0" customWidth="1"/>
  </x:cols>
  <x:sheetData>
    <x:row r="1" ht="24" customHeight="1">
      <x:c r="A1" s="1" t="str">
        <x:v>问题与决策</x:v>
      </x:c>
    </x:row>
    <x:row r="2" ht="24" customHeight="1">
      <x:c r="A2" s="2" t="str">
        <x:v>保留来源差异、影响、候选处理和用户决定；实际改变要写回事实表。</x:v>
      </x:c>
    </x:row>
    <x:row r="4" ht="28" customHeight="1">
      <x:c r="A4" s="14" t="str">
        <x:v>问题ID</x:v>
      </x:c>
      <x:c r="B4" s="15" t="str">
        <x:v>对象类型</x:v>
      </x:c>
      <x:c r="C4" s="15" t="str">
        <x:v>对象ID</x:v>
      </x:c>
      <x:c r="D4" s="15" t="str">
        <x:v>问题描述</x:v>
      </x:c>
      <x:c r="E4" s="15" t="str">
        <x:v>证据/来源</x:v>
      </x:c>
      <x:c r="F4" s="15" t="str">
        <x:v>影响</x:v>
      </x:c>
      <x:c r="G4" s="15" t="str">
        <x:v>候选处理</x:v>
      </x:c>
      <x:c r="H4" s="15" t="str">
        <x:v>用户决定</x:v>
      </x:c>
      <x:c r="I4" s="15" t="str">
        <x:v>状态</x:v>
      </x:c>
      <x:c r="J4" s="15" t="str">
        <x:v>执行位置</x:v>
      </x:c>
      <x:c r="K4" s="15" t="str">
        <x:v>更新日期</x:v>
      </x:c>
      <x:c r="L4" s="16" t="str">
        <x:v>备注</x:v>
      </x:c>
      <x:c r="M4" s="42" t="str">
        <x:v>是否阻断冻结</x:v>
      </x:c>
      <x:c r="N4" s="42" t="str">
        <x:v>确认日期</x:v>
      </x:c>
      <x:c r="O4" s="49" t="str">
        <x:v>归属操作ID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</x:row>
  </x:sheetData>
  <x:conditionalFormatting sqref="I5:I204">
    <x:cfRule type="containsText" dxfId="2" priority="1" operator="containsText" text="未解决"/>
  </x:conditionalFormatting>
  <x:dataValidations count="1">
    <x:dataValidation type="list" sqref="I5:I204">
      <x:formula1>"未解决,待用户决定,已决定待执行,已解决,保留说明,不适用"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14" hidden="0" customWidth="1"/>
    <x:col min="10" max="10" width="34" hidden="0" customWidth="1"/>
    <x:col min="11" max="11" width="16" hidden="0" customWidth="1"/>
    <x:col min="12" max="12" width="16" hidden="0" customWidth="1"/>
    <x:col min="13" max="13" width="14" hidden="0" customWidth="1"/>
    <x:col min="14" max="14" width="20" hidden="0" customWidth="1"/>
    <x:col min="15" max="15" width="20" hidden="0" customWidth="1"/>
    <x:col min="16" max="16" width="18" hidden="0" customWidth="1"/>
    <x:col min="17" max="17" width="18" hidden="0" customWidth="1"/>
    <x:col min="18" max="18" width="22" hidden="0" customWidth="1"/>
    <x:col min="19" max="19" width="18" hidden="0" customWidth="1"/>
    <x:col min="20" max="20" width="18" hidden="0" customWidth="1"/>
    <x:col min="21" max="21" width="34" hidden="0" customWidth="1"/>
  </x:cols>
  <x:sheetData>
    <x:row r="1" ht="24" customHeight="1">
      <x:c r="A1" s="1" t="str">
        <x:v>绘图确认</x:v>
      </x:c>
    </x:row>
    <x:row r="2" ht="24" customHeight="1">
      <x:c r="A2" s="2" t="str">
        <x:v>科学字段由模型过程和模型流派生；用户只确认展开、显示、标签和样式。</x:v>
      </x:c>
    </x:row>
    <x:row r="3">
      <x:c r="A3" t="str">
        <x:v>只确认展开、显示和标签；L/M列自动引用模型流，不能手填科学数值。</x:v>
      </x:c>
    </x:row>
    <x:row r="4" ht="34" customHeight="1">
      <x:c r="A4" s="14" t="str">
        <x:v>对象ID</x:v>
      </x:c>
      <x:c r="B4" s="15" t="str">
        <x:v>对象类型</x:v>
      </x:c>
      <x:c r="C4" s="15" t="str">
        <x:v>来源ID</x:v>
      </x:c>
      <x:c r="D4" s="15" t="str">
        <x:v>所属车间</x:v>
      </x:c>
      <x:c r="E4" s="15" t="str">
        <x:v>来源过程ID</x:v>
      </x:c>
      <x:c r="F4" s="15" t="str">
        <x:v>目标过程ID</x:v>
      </x:c>
      <x:c r="G4" s="15" t="str">
        <x:v>主支线ID</x:v>
      </x:c>
      <x:c r="H4" s="15" t="str">
        <x:v>展开方式</x:v>
      </x:c>
      <x:c r="I4" s="15" t="str">
        <x:v>是否显示</x:v>
      </x:c>
      <x:c r="J4" s="15" t="str">
        <x:v>显示标签</x:v>
      </x:c>
      <x:c r="K4" s="15" t="str">
        <x:v>是否显示数值</x:v>
      </x:c>
      <x:c r="L4" s="15" t="str">
        <x:v>代表值</x:v>
      </x:c>
      <x:c r="M4" s="15" t="str">
        <x:v>单位</x:v>
      </x:c>
      <x:c r="N4" s="15" t="str">
        <x:v>标签模式</x:v>
      </x:c>
      <x:c r="O4" s="15" t="str">
        <x:v>样式角色</x:v>
      </x:c>
      <x:c r="P4" s="15" t="str">
        <x:v>数据功能确认</x:v>
      </x:c>
      <x:c r="Q4" s="15" t="str">
        <x:v>绘图功能确认</x:v>
      </x:c>
      <x:c r="R4" s="15" t="str">
        <x:v>Draw.io对象ID</x:v>
      </x:c>
      <x:c r="S4" s="15" t="str">
        <x:v>QA状态</x:v>
      </x:c>
      <x:c r="T4" s="15" t="str">
        <x:v>关联问题ID</x:v>
      </x:c>
      <x:c r="U4" s="16" t="str">
        <x:v>备注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30" t="str">
        <x:f>IF(A5="","",IF(B5="Edge",IFERROR(IF(INDEX('模型流与公式'!$P$5:$P$204,MATCH(A5,'模型流与公式'!$A$5:$A$204,0))="","",INDEX('模型流与公式'!$P$5:$P$204,MATCH(A5,'模型流与公式'!$A$5:$A$204,0))),""),""))</x:f>
      </x:c>
      <x:c r="M5" s="18" t="str">
        <x:f>IF(A5="","",IF(B5="Edge",IFERROR(IF(INDEX('模型流与公式'!$Q$5:$Q$204,MATCH(A5,'模型流与公式'!$A$5:$A$204,0))="","",INDEX('模型流与公式'!$Q$5:$Q$204,MATCH(A5,'模型流与公式'!$A$5:$A$204,0))),""),""))</x:f>
      </x:c>
      <x:c r="N5" s="18"/>
      <x:c r="O5" s="18"/>
      <x:c r="P5" s="18"/>
      <x:c r="Q5" s="18"/>
      <x:c r="R5" s="18"/>
      <x:c r="S5" s="18"/>
      <x:c r="T5" s="18"/>
      <x:c r="U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30" t="str">
        <x:f>IF(A6="","",IF(B6="Edge",IFERROR(IF(INDEX('模型流与公式'!$P$5:$P$204,MATCH(A6,'模型流与公式'!$A$5:$A$204,0))="","",INDEX('模型流与公式'!$P$5:$P$204,MATCH(A6,'模型流与公式'!$A$5:$A$204,0))),""),""))</x:f>
      </x:c>
      <x:c r="M6" s="18" t="str">
        <x:f>IF(A6="","",IF(B6="Edge",IFERROR(IF(INDEX('模型流与公式'!$Q$5:$Q$204,MATCH(A6,'模型流与公式'!$A$5:$A$204,0))="","",INDEX('模型流与公式'!$Q$5:$Q$204,MATCH(A6,'模型流与公式'!$A$5:$A$204,0))),""),""))</x:f>
      </x:c>
      <x:c r="N6" s="18"/>
      <x:c r="O6" s="18"/>
      <x:c r="P6" s="18"/>
      <x:c r="Q6" s="18"/>
      <x:c r="R6" s="18"/>
      <x:c r="S6" s="18"/>
      <x:c r="T6" s="18"/>
      <x:c r="U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30" t="str">
        <x:f>IF(A7="","",IF(B7="Edge",IFERROR(IF(INDEX('模型流与公式'!$P$5:$P$204,MATCH(A7,'模型流与公式'!$A$5:$A$204,0))="","",INDEX('模型流与公式'!$P$5:$P$204,MATCH(A7,'模型流与公式'!$A$5:$A$204,0))),""),""))</x:f>
      </x:c>
      <x:c r="M7" s="18" t="str">
        <x:f>IF(A7="","",IF(B7="Edge",IFERROR(IF(INDEX('模型流与公式'!$Q$5:$Q$204,MATCH(A7,'模型流与公式'!$A$5:$A$204,0))="","",INDEX('模型流与公式'!$Q$5:$Q$204,MATCH(A7,'模型流与公式'!$A$5:$A$204,0))),""),""))</x:f>
      </x:c>
      <x:c r="N7" s="18"/>
      <x:c r="O7" s="18"/>
      <x:c r="P7" s="18"/>
      <x:c r="Q7" s="18"/>
      <x:c r="R7" s="18"/>
      <x:c r="S7" s="18"/>
      <x:c r="T7" s="18"/>
      <x:c r="U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30" t="str">
        <x:f>IF(A8="","",IF(B8="Edge",IFERROR(IF(INDEX('模型流与公式'!$P$5:$P$204,MATCH(A8,'模型流与公式'!$A$5:$A$204,0))="","",INDEX('模型流与公式'!$P$5:$P$204,MATCH(A8,'模型流与公式'!$A$5:$A$204,0))),""),""))</x:f>
      </x:c>
      <x:c r="M8" s="18" t="str">
        <x:f>IF(A8="","",IF(B8="Edge",IFERROR(IF(INDEX('模型流与公式'!$Q$5:$Q$204,MATCH(A8,'模型流与公式'!$A$5:$A$204,0))="","",INDEX('模型流与公式'!$Q$5:$Q$204,MATCH(A8,'模型流与公式'!$A$5:$A$204,0))),""),""))</x:f>
      </x:c>
      <x:c r="N8" s="18"/>
      <x:c r="O8" s="18"/>
      <x:c r="P8" s="18"/>
      <x:c r="Q8" s="18"/>
      <x:c r="R8" s="18"/>
      <x:c r="S8" s="18"/>
      <x:c r="T8" s="18"/>
      <x:c r="U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30" t="str">
        <x:f>IF(A9="","",IF(B9="Edge",IFERROR(IF(INDEX('模型流与公式'!$P$5:$P$204,MATCH(A9,'模型流与公式'!$A$5:$A$204,0))="","",INDEX('模型流与公式'!$P$5:$P$204,MATCH(A9,'模型流与公式'!$A$5:$A$204,0))),""),""))</x:f>
      </x:c>
      <x:c r="M9" s="18" t="str">
        <x:f>IF(A9="","",IF(B9="Edge",IFERROR(IF(INDEX('模型流与公式'!$Q$5:$Q$204,MATCH(A9,'模型流与公式'!$A$5:$A$204,0))="","",INDEX('模型流与公式'!$Q$5:$Q$204,MATCH(A9,'模型流与公式'!$A$5:$A$204,0))),""),""))</x:f>
      </x:c>
      <x:c r="N9" s="18"/>
      <x:c r="O9" s="18"/>
      <x:c r="P9" s="18"/>
      <x:c r="Q9" s="18"/>
      <x:c r="R9" s="18"/>
      <x:c r="S9" s="18"/>
      <x:c r="T9" s="18"/>
      <x:c r="U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30" t="str">
        <x:f>IF(A10="","",IF(B10="Edge",IFERROR(IF(INDEX('模型流与公式'!$P$5:$P$204,MATCH(A10,'模型流与公式'!$A$5:$A$204,0))="","",INDEX('模型流与公式'!$P$5:$P$204,MATCH(A10,'模型流与公式'!$A$5:$A$204,0))),""),""))</x:f>
      </x:c>
      <x:c r="M10" s="18" t="str">
        <x:f>IF(A10="","",IF(B10="Edge",IFERROR(IF(INDEX('模型流与公式'!$Q$5:$Q$204,MATCH(A10,'模型流与公式'!$A$5:$A$204,0))="","",INDEX('模型流与公式'!$Q$5:$Q$204,MATCH(A10,'模型流与公式'!$A$5:$A$204,0))),""),""))</x:f>
      </x:c>
      <x:c r="N10" s="18"/>
      <x:c r="O10" s="18"/>
      <x:c r="P10" s="18"/>
      <x:c r="Q10" s="18"/>
      <x:c r="R10" s="18"/>
      <x:c r="S10" s="18"/>
      <x:c r="T10" s="18"/>
      <x:c r="U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30" t="str">
        <x:f>IF(A11="","",IF(B11="Edge",IFERROR(IF(INDEX('模型流与公式'!$P$5:$P$204,MATCH(A11,'模型流与公式'!$A$5:$A$204,0))="","",INDEX('模型流与公式'!$P$5:$P$204,MATCH(A11,'模型流与公式'!$A$5:$A$204,0))),""),""))</x:f>
      </x:c>
      <x:c r="M11" s="18" t="str">
        <x:f>IF(A11="","",IF(B11="Edge",IFERROR(IF(INDEX('模型流与公式'!$Q$5:$Q$204,MATCH(A11,'模型流与公式'!$A$5:$A$204,0))="","",INDEX('模型流与公式'!$Q$5:$Q$204,MATCH(A11,'模型流与公式'!$A$5:$A$204,0))),""),""))</x:f>
      </x:c>
      <x:c r="N11" s="18"/>
      <x:c r="O11" s="18"/>
      <x:c r="P11" s="18"/>
      <x:c r="Q11" s="18"/>
      <x:c r="R11" s="18"/>
      <x:c r="S11" s="18"/>
      <x:c r="T11" s="18"/>
      <x:c r="U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30" t="str">
        <x:f>IF(A12="","",IF(B12="Edge",IFERROR(IF(INDEX('模型流与公式'!$P$5:$P$204,MATCH(A12,'模型流与公式'!$A$5:$A$204,0))="","",INDEX('模型流与公式'!$P$5:$P$204,MATCH(A12,'模型流与公式'!$A$5:$A$204,0))),""),""))</x:f>
      </x:c>
      <x:c r="M12" s="18" t="str">
        <x:f>IF(A12="","",IF(B12="Edge",IFERROR(IF(INDEX('模型流与公式'!$Q$5:$Q$204,MATCH(A12,'模型流与公式'!$A$5:$A$204,0))="","",INDEX('模型流与公式'!$Q$5:$Q$204,MATCH(A12,'模型流与公式'!$A$5:$A$204,0))),""),""))</x:f>
      </x:c>
      <x:c r="N12" s="18"/>
      <x:c r="O12" s="18"/>
      <x:c r="P12" s="18"/>
      <x:c r="Q12" s="18"/>
      <x:c r="R12" s="18"/>
      <x:c r="S12" s="18"/>
      <x:c r="T12" s="18"/>
      <x:c r="U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30" t="str">
        <x:f>IF(A13="","",IF(B13="Edge",IFERROR(IF(INDEX('模型流与公式'!$P$5:$P$204,MATCH(A13,'模型流与公式'!$A$5:$A$204,0))="","",INDEX('模型流与公式'!$P$5:$P$204,MATCH(A13,'模型流与公式'!$A$5:$A$204,0))),""),""))</x:f>
      </x:c>
      <x:c r="M13" s="18" t="str">
        <x:f>IF(A13="","",IF(B13="Edge",IFERROR(IF(INDEX('模型流与公式'!$Q$5:$Q$204,MATCH(A13,'模型流与公式'!$A$5:$A$204,0))="","",INDEX('模型流与公式'!$Q$5:$Q$204,MATCH(A13,'模型流与公式'!$A$5:$A$204,0))),""),""))</x:f>
      </x:c>
      <x:c r="N13" s="18"/>
      <x:c r="O13" s="18"/>
      <x:c r="P13" s="18"/>
      <x:c r="Q13" s="18"/>
      <x:c r="R13" s="18"/>
      <x:c r="S13" s="18"/>
      <x:c r="T13" s="18"/>
      <x:c r="U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30" t="str">
        <x:f>IF(A14="","",IF(B14="Edge",IFERROR(IF(INDEX('模型流与公式'!$P$5:$P$204,MATCH(A14,'模型流与公式'!$A$5:$A$204,0))="","",INDEX('模型流与公式'!$P$5:$P$204,MATCH(A14,'模型流与公式'!$A$5:$A$204,0))),""),""))</x:f>
      </x:c>
      <x:c r="M14" s="18" t="str">
        <x:f>IF(A14="","",IF(B14="Edge",IFERROR(IF(INDEX('模型流与公式'!$Q$5:$Q$204,MATCH(A14,'模型流与公式'!$A$5:$A$204,0))="","",INDEX('模型流与公式'!$Q$5:$Q$204,MATCH(A14,'模型流与公式'!$A$5:$A$204,0))),""),""))</x:f>
      </x:c>
      <x:c r="N14" s="18"/>
      <x:c r="O14" s="18"/>
      <x:c r="P14" s="18"/>
      <x:c r="Q14" s="18"/>
      <x:c r="R14" s="18"/>
      <x:c r="S14" s="18"/>
      <x:c r="T14" s="18"/>
      <x:c r="U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30" t="str">
        <x:f>IF(A15="","",IF(B15="Edge",IFERROR(IF(INDEX('模型流与公式'!$P$5:$P$204,MATCH(A15,'模型流与公式'!$A$5:$A$204,0))="","",INDEX('模型流与公式'!$P$5:$P$204,MATCH(A15,'模型流与公式'!$A$5:$A$204,0))),""),""))</x:f>
      </x:c>
      <x:c r="M15" s="18" t="str">
        <x:f>IF(A15="","",IF(B15="Edge",IFERROR(IF(INDEX('模型流与公式'!$Q$5:$Q$204,MATCH(A15,'模型流与公式'!$A$5:$A$204,0))="","",INDEX('模型流与公式'!$Q$5:$Q$204,MATCH(A15,'模型流与公式'!$A$5:$A$204,0))),""),""))</x:f>
      </x:c>
      <x:c r="N15" s="18"/>
      <x:c r="O15" s="18"/>
      <x:c r="P15" s="18"/>
      <x:c r="Q15" s="18"/>
      <x:c r="R15" s="18"/>
      <x:c r="S15" s="18"/>
      <x:c r="T15" s="18"/>
      <x:c r="U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30" t="str">
        <x:f>IF(A16="","",IF(B16="Edge",IFERROR(IF(INDEX('模型流与公式'!$P$5:$P$204,MATCH(A16,'模型流与公式'!$A$5:$A$204,0))="","",INDEX('模型流与公式'!$P$5:$P$204,MATCH(A16,'模型流与公式'!$A$5:$A$204,0))),""),""))</x:f>
      </x:c>
      <x:c r="M16" s="18" t="str">
        <x:f>IF(A16="","",IF(B16="Edge",IFERROR(IF(INDEX('模型流与公式'!$Q$5:$Q$204,MATCH(A16,'模型流与公式'!$A$5:$A$204,0))="","",INDEX('模型流与公式'!$Q$5:$Q$204,MATCH(A16,'模型流与公式'!$A$5:$A$204,0))),""),""))</x:f>
      </x:c>
      <x:c r="N16" s="18"/>
      <x:c r="O16" s="18"/>
      <x:c r="P16" s="18"/>
      <x:c r="Q16" s="18"/>
      <x:c r="R16" s="18"/>
      <x:c r="S16" s="18"/>
      <x:c r="T16" s="18"/>
      <x:c r="U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30" t="str">
        <x:f>IF(A17="","",IF(B17="Edge",IFERROR(IF(INDEX('模型流与公式'!$P$5:$P$204,MATCH(A17,'模型流与公式'!$A$5:$A$204,0))="","",INDEX('模型流与公式'!$P$5:$P$204,MATCH(A17,'模型流与公式'!$A$5:$A$204,0))),""),""))</x:f>
      </x:c>
      <x:c r="M17" s="18" t="str">
        <x:f>IF(A17="","",IF(B17="Edge",IFERROR(IF(INDEX('模型流与公式'!$Q$5:$Q$204,MATCH(A17,'模型流与公式'!$A$5:$A$204,0))="","",INDEX('模型流与公式'!$Q$5:$Q$204,MATCH(A17,'模型流与公式'!$A$5:$A$204,0))),""),""))</x:f>
      </x:c>
      <x:c r="N17" s="18"/>
      <x:c r="O17" s="18"/>
      <x:c r="P17" s="18"/>
      <x:c r="Q17" s="18"/>
      <x:c r="R17" s="18"/>
      <x:c r="S17" s="18"/>
      <x:c r="T17" s="18"/>
      <x:c r="U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30" t="str">
        <x:f>IF(A18="","",IF(B18="Edge",IFERROR(IF(INDEX('模型流与公式'!$P$5:$P$204,MATCH(A18,'模型流与公式'!$A$5:$A$204,0))="","",INDEX('模型流与公式'!$P$5:$P$204,MATCH(A18,'模型流与公式'!$A$5:$A$204,0))),""),""))</x:f>
      </x:c>
      <x:c r="M18" s="18" t="str">
        <x:f>IF(A18="","",IF(B18="Edge",IFERROR(IF(INDEX('模型流与公式'!$Q$5:$Q$204,MATCH(A18,'模型流与公式'!$A$5:$A$204,0))="","",INDEX('模型流与公式'!$Q$5:$Q$204,MATCH(A18,'模型流与公式'!$A$5:$A$204,0))),""),""))</x:f>
      </x:c>
      <x:c r="N18" s="18"/>
      <x:c r="O18" s="18"/>
      <x:c r="P18" s="18"/>
      <x:c r="Q18" s="18"/>
      <x:c r="R18" s="18"/>
      <x:c r="S18" s="18"/>
      <x:c r="T18" s="18"/>
      <x:c r="U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30" t="str">
        <x:f>IF(A19="","",IF(B19="Edge",IFERROR(IF(INDEX('模型流与公式'!$P$5:$P$204,MATCH(A19,'模型流与公式'!$A$5:$A$204,0))="","",INDEX('模型流与公式'!$P$5:$P$204,MATCH(A19,'模型流与公式'!$A$5:$A$204,0))),""),""))</x:f>
      </x:c>
      <x:c r="M19" s="18" t="str">
        <x:f>IF(A19="","",IF(B19="Edge",IFERROR(IF(INDEX('模型流与公式'!$Q$5:$Q$204,MATCH(A19,'模型流与公式'!$A$5:$A$204,0))="","",INDEX('模型流与公式'!$Q$5:$Q$204,MATCH(A19,'模型流与公式'!$A$5:$A$204,0))),""),""))</x:f>
      </x:c>
      <x:c r="N19" s="18"/>
      <x:c r="O19" s="18"/>
      <x:c r="P19" s="18"/>
      <x:c r="Q19" s="18"/>
      <x:c r="R19" s="18"/>
      <x:c r="S19" s="18"/>
      <x:c r="T19" s="18"/>
      <x:c r="U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30" t="str">
        <x:f>IF(A20="","",IF(B20="Edge",IFERROR(IF(INDEX('模型流与公式'!$P$5:$P$204,MATCH(A20,'模型流与公式'!$A$5:$A$204,0))="","",INDEX('模型流与公式'!$P$5:$P$204,MATCH(A20,'模型流与公式'!$A$5:$A$204,0))),""),""))</x:f>
      </x:c>
      <x:c r="M20" s="18" t="str">
        <x:f>IF(A20="","",IF(B20="Edge",IFERROR(IF(INDEX('模型流与公式'!$Q$5:$Q$204,MATCH(A20,'模型流与公式'!$A$5:$A$204,0))="","",INDEX('模型流与公式'!$Q$5:$Q$204,MATCH(A20,'模型流与公式'!$A$5:$A$204,0))),""),""))</x:f>
      </x:c>
      <x:c r="N20" s="18"/>
      <x:c r="O20" s="18"/>
      <x:c r="P20" s="18"/>
      <x:c r="Q20" s="18"/>
      <x:c r="R20" s="18"/>
      <x:c r="S20" s="18"/>
      <x:c r="T20" s="18"/>
      <x:c r="U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30" t="str">
        <x:f>IF(A21="","",IF(B21="Edge",IFERROR(IF(INDEX('模型流与公式'!$P$5:$P$204,MATCH(A21,'模型流与公式'!$A$5:$A$204,0))="","",INDEX('模型流与公式'!$P$5:$P$204,MATCH(A21,'模型流与公式'!$A$5:$A$204,0))),""),""))</x:f>
      </x:c>
      <x:c r="M21" s="18" t="str">
        <x:f>IF(A21="","",IF(B21="Edge",IFERROR(IF(INDEX('模型流与公式'!$Q$5:$Q$204,MATCH(A21,'模型流与公式'!$A$5:$A$204,0))="","",INDEX('模型流与公式'!$Q$5:$Q$204,MATCH(A21,'模型流与公式'!$A$5:$A$204,0))),""),""))</x:f>
      </x:c>
      <x:c r="N21" s="18"/>
      <x:c r="O21" s="18"/>
      <x:c r="P21" s="18"/>
      <x:c r="Q21" s="18"/>
      <x:c r="R21" s="18"/>
      <x:c r="S21" s="18"/>
      <x:c r="T21" s="18"/>
      <x:c r="U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30" t="str">
        <x:f>IF(A22="","",IF(B22="Edge",IFERROR(IF(INDEX('模型流与公式'!$P$5:$P$204,MATCH(A22,'模型流与公式'!$A$5:$A$204,0))="","",INDEX('模型流与公式'!$P$5:$P$204,MATCH(A22,'模型流与公式'!$A$5:$A$204,0))),""),""))</x:f>
      </x:c>
      <x:c r="M22" s="18" t="str">
        <x:f>IF(A22="","",IF(B22="Edge",IFERROR(IF(INDEX('模型流与公式'!$Q$5:$Q$204,MATCH(A22,'模型流与公式'!$A$5:$A$204,0))="","",INDEX('模型流与公式'!$Q$5:$Q$204,MATCH(A22,'模型流与公式'!$A$5:$A$204,0))),""),""))</x:f>
      </x:c>
      <x:c r="N22" s="18"/>
      <x:c r="O22" s="18"/>
      <x:c r="P22" s="18"/>
      <x:c r="Q22" s="18"/>
      <x:c r="R22" s="18"/>
      <x:c r="S22" s="18"/>
      <x:c r="T22" s="18"/>
      <x:c r="U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30" t="str">
        <x:f>IF(A23="","",IF(B23="Edge",IFERROR(IF(INDEX('模型流与公式'!$P$5:$P$204,MATCH(A23,'模型流与公式'!$A$5:$A$204,0))="","",INDEX('模型流与公式'!$P$5:$P$204,MATCH(A23,'模型流与公式'!$A$5:$A$204,0))),""),""))</x:f>
      </x:c>
      <x:c r="M23" s="18" t="str">
        <x:f>IF(A23="","",IF(B23="Edge",IFERROR(IF(INDEX('模型流与公式'!$Q$5:$Q$204,MATCH(A23,'模型流与公式'!$A$5:$A$204,0))="","",INDEX('模型流与公式'!$Q$5:$Q$204,MATCH(A23,'模型流与公式'!$A$5:$A$204,0))),""),""))</x:f>
      </x:c>
      <x:c r="N23" s="18"/>
      <x:c r="O23" s="18"/>
      <x:c r="P23" s="18"/>
      <x:c r="Q23" s="18"/>
      <x:c r="R23" s="18"/>
      <x:c r="S23" s="18"/>
      <x:c r="T23" s="18"/>
      <x:c r="U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30" t="str">
        <x:f>IF(A24="","",IF(B24="Edge",IFERROR(IF(INDEX('模型流与公式'!$P$5:$P$204,MATCH(A24,'模型流与公式'!$A$5:$A$204,0))="","",INDEX('模型流与公式'!$P$5:$P$204,MATCH(A24,'模型流与公式'!$A$5:$A$204,0))),""),""))</x:f>
      </x:c>
      <x:c r="M24" s="18" t="str">
        <x:f>IF(A24="","",IF(B24="Edge",IFERROR(IF(INDEX('模型流与公式'!$Q$5:$Q$204,MATCH(A24,'模型流与公式'!$A$5:$A$204,0))="","",INDEX('模型流与公式'!$Q$5:$Q$204,MATCH(A24,'模型流与公式'!$A$5:$A$204,0))),""),""))</x:f>
      </x:c>
      <x:c r="N24" s="18"/>
      <x:c r="O24" s="18"/>
      <x:c r="P24" s="18"/>
      <x:c r="Q24" s="18"/>
      <x:c r="R24" s="18"/>
      <x:c r="S24" s="18"/>
      <x:c r="T24" s="18"/>
      <x:c r="U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30" t="str">
        <x:f>IF(A25="","",IF(B25="Edge",IFERROR(IF(INDEX('模型流与公式'!$P$5:$P$204,MATCH(A25,'模型流与公式'!$A$5:$A$204,0))="","",INDEX('模型流与公式'!$P$5:$P$204,MATCH(A25,'模型流与公式'!$A$5:$A$204,0))),""),""))</x:f>
      </x:c>
      <x:c r="M25" s="18" t="str">
        <x:f>IF(A25="","",IF(B25="Edge",IFERROR(IF(INDEX('模型流与公式'!$Q$5:$Q$204,MATCH(A25,'模型流与公式'!$A$5:$A$204,0))="","",INDEX('模型流与公式'!$Q$5:$Q$204,MATCH(A25,'模型流与公式'!$A$5:$A$204,0))),""),""))</x:f>
      </x:c>
      <x:c r="N25" s="18"/>
      <x:c r="O25" s="18"/>
      <x:c r="P25" s="18"/>
      <x:c r="Q25" s="18"/>
      <x:c r="R25" s="18"/>
      <x:c r="S25" s="18"/>
      <x:c r="T25" s="18"/>
      <x:c r="U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30" t="str">
        <x:f>IF(A26="","",IF(B26="Edge",IFERROR(IF(INDEX('模型流与公式'!$P$5:$P$204,MATCH(A26,'模型流与公式'!$A$5:$A$204,0))="","",INDEX('模型流与公式'!$P$5:$P$204,MATCH(A26,'模型流与公式'!$A$5:$A$204,0))),""),""))</x:f>
      </x:c>
      <x:c r="M26" s="18" t="str">
        <x:f>IF(A26="","",IF(B26="Edge",IFERROR(IF(INDEX('模型流与公式'!$Q$5:$Q$204,MATCH(A26,'模型流与公式'!$A$5:$A$204,0))="","",INDEX('模型流与公式'!$Q$5:$Q$204,MATCH(A26,'模型流与公式'!$A$5:$A$204,0))),""),""))</x:f>
      </x:c>
      <x:c r="N26" s="18"/>
      <x:c r="O26" s="18"/>
      <x:c r="P26" s="18"/>
      <x:c r="Q26" s="18"/>
      <x:c r="R26" s="18"/>
      <x:c r="S26" s="18"/>
      <x:c r="T26" s="18"/>
      <x:c r="U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30" t="str">
        <x:f>IF(A27="","",IF(B27="Edge",IFERROR(IF(INDEX('模型流与公式'!$P$5:$P$204,MATCH(A27,'模型流与公式'!$A$5:$A$204,0))="","",INDEX('模型流与公式'!$P$5:$P$204,MATCH(A27,'模型流与公式'!$A$5:$A$204,0))),""),""))</x:f>
      </x:c>
      <x:c r="M27" s="18" t="str">
        <x:f>IF(A27="","",IF(B27="Edge",IFERROR(IF(INDEX('模型流与公式'!$Q$5:$Q$204,MATCH(A27,'模型流与公式'!$A$5:$A$204,0))="","",INDEX('模型流与公式'!$Q$5:$Q$204,MATCH(A27,'模型流与公式'!$A$5:$A$204,0))),""),""))</x:f>
      </x:c>
      <x:c r="N27" s="18"/>
      <x:c r="O27" s="18"/>
      <x:c r="P27" s="18"/>
      <x:c r="Q27" s="18"/>
      <x:c r="R27" s="18"/>
      <x:c r="S27" s="18"/>
      <x:c r="T27" s="18"/>
      <x:c r="U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30" t="str">
        <x:f>IF(A28="","",IF(B28="Edge",IFERROR(IF(INDEX('模型流与公式'!$P$5:$P$204,MATCH(A28,'模型流与公式'!$A$5:$A$204,0))="","",INDEX('模型流与公式'!$P$5:$P$204,MATCH(A28,'模型流与公式'!$A$5:$A$204,0))),""),""))</x:f>
      </x:c>
      <x:c r="M28" s="18" t="str">
        <x:f>IF(A28="","",IF(B28="Edge",IFERROR(IF(INDEX('模型流与公式'!$Q$5:$Q$204,MATCH(A28,'模型流与公式'!$A$5:$A$204,0))="","",INDEX('模型流与公式'!$Q$5:$Q$204,MATCH(A28,'模型流与公式'!$A$5:$A$204,0))),""),""))</x:f>
      </x:c>
      <x:c r="N28" s="18"/>
      <x:c r="O28" s="18"/>
      <x:c r="P28" s="18"/>
      <x:c r="Q28" s="18"/>
      <x:c r="R28" s="18"/>
      <x:c r="S28" s="18"/>
      <x:c r="T28" s="18"/>
      <x:c r="U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30" t="str">
        <x:f>IF(A29="","",IF(B29="Edge",IFERROR(IF(INDEX('模型流与公式'!$P$5:$P$204,MATCH(A29,'模型流与公式'!$A$5:$A$204,0))="","",INDEX('模型流与公式'!$P$5:$P$204,MATCH(A29,'模型流与公式'!$A$5:$A$204,0))),""),""))</x:f>
      </x:c>
      <x:c r="M29" s="18" t="str">
        <x:f>IF(A29="","",IF(B29="Edge",IFERROR(IF(INDEX('模型流与公式'!$Q$5:$Q$204,MATCH(A29,'模型流与公式'!$A$5:$A$204,0))="","",INDEX('模型流与公式'!$Q$5:$Q$204,MATCH(A29,'模型流与公式'!$A$5:$A$204,0))),""),""))</x:f>
      </x:c>
      <x:c r="N29" s="18"/>
      <x:c r="O29" s="18"/>
      <x:c r="P29" s="18"/>
      <x:c r="Q29" s="18"/>
      <x:c r="R29" s="18"/>
      <x:c r="S29" s="18"/>
      <x:c r="T29" s="18"/>
      <x:c r="U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30" t="str">
        <x:f>IF(A30="","",IF(B30="Edge",IFERROR(IF(INDEX('模型流与公式'!$P$5:$P$204,MATCH(A30,'模型流与公式'!$A$5:$A$204,0))="","",INDEX('模型流与公式'!$P$5:$P$204,MATCH(A30,'模型流与公式'!$A$5:$A$204,0))),""),""))</x:f>
      </x:c>
      <x:c r="M30" s="18" t="str">
        <x:f>IF(A30="","",IF(B30="Edge",IFERROR(IF(INDEX('模型流与公式'!$Q$5:$Q$204,MATCH(A30,'模型流与公式'!$A$5:$A$204,0))="","",INDEX('模型流与公式'!$Q$5:$Q$204,MATCH(A30,'模型流与公式'!$A$5:$A$204,0))),""),""))</x:f>
      </x:c>
      <x:c r="N30" s="18"/>
      <x:c r="O30" s="18"/>
      <x:c r="P30" s="18"/>
      <x:c r="Q30" s="18"/>
      <x:c r="R30" s="18"/>
      <x:c r="S30" s="18"/>
      <x:c r="T30" s="18"/>
      <x:c r="U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30" t="str">
        <x:f>IF(A31="","",IF(B31="Edge",IFERROR(IF(INDEX('模型流与公式'!$P$5:$P$204,MATCH(A31,'模型流与公式'!$A$5:$A$204,0))="","",INDEX('模型流与公式'!$P$5:$P$204,MATCH(A31,'模型流与公式'!$A$5:$A$204,0))),""),""))</x:f>
      </x:c>
      <x:c r="M31" s="18" t="str">
        <x:f>IF(A31="","",IF(B31="Edge",IFERROR(IF(INDEX('模型流与公式'!$Q$5:$Q$204,MATCH(A31,'模型流与公式'!$A$5:$A$204,0))="","",INDEX('模型流与公式'!$Q$5:$Q$204,MATCH(A31,'模型流与公式'!$A$5:$A$204,0))),""),""))</x:f>
      </x:c>
      <x:c r="N31" s="18"/>
      <x:c r="O31" s="18"/>
      <x:c r="P31" s="18"/>
      <x:c r="Q31" s="18"/>
      <x:c r="R31" s="18"/>
      <x:c r="S31" s="18"/>
      <x:c r="T31" s="18"/>
      <x:c r="U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30" t="str">
        <x:f>IF(A32="","",IF(B32="Edge",IFERROR(IF(INDEX('模型流与公式'!$P$5:$P$204,MATCH(A32,'模型流与公式'!$A$5:$A$204,0))="","",INDEX('模型流与公式'!$P$5:$P$204,MATCH(A32,'模型流与公式'!$A$5:$A$204,0))),""),""))</x:f>
      </x:c>
      <x:c r="M32" s="18" t="str">
        <x:f>IF(A32="","",IF(B32="Edge",IFERROR(IF(INDEX('模型流与公式'!$Q$5:$Q$204,MATCH(A32,'模型流与公式'!$A$5:$A$204,0))="","",INDEX('模型流与公式'!$Q$5:$Q$204,MATCH(A32,'模型流与公式'!$A$5:$A$204,0))),""),""))</x:f>
      </x:c>
      <x:c r="N32" s="18"/>
      <x:c r="O32" s="18"/>
      <x:c r="P32" s="18"/>
      <x:c r="Q32" s="18"/>
      <x:c r="R32" s="18"/>
      <x:c r="S32" s="18"/>
      <x:c r="T32" s="18"/>
      <x:c r="U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30" t="str">
        <x:f>IF(A33="","",IF(B33="Edge",IFERROR(IF(INDEX('模型流与公式'!$P$5:$P$204,MATCH(A33,'模型流与公式'!$A$5:$A$204,0))="","",INDEX('模型流与公式'!$P$5:$P$204,MATCH(A33,'模型流与公式'!$A$5:$A$204,0))),""),""))</x:f>
      </x:c>
      <x:c r="M33" s="18" t="str">
        <x:f>IF(A33="","",IF(B33="Edge",IFERROR(IF(INDEX('模型流与公式'!$Q$5:$Q$204,MATCH(A33,'模型流与公式'!$A$5:$A$204,0))="","",INDEX('模型流与公式'!$Q$5:$Q$204,MATCH(A33,'模型流与公式'!$A$5:$A$204,0))),""),""))</x:f>
      </x:c>
      <x:c r="N33" s="18"/>
      <x:c r="O33" s="18"/>
      <x:c r="P33" s="18"/>
      <x:c r="Q33" s="18"/>
      <x:c r="R33" s="18"/>
      <x:c r="S33" s="18"/>
      <x:c r="T33" s="18"/>
      <x:c r="U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30" t="str">
        <x:f>IF(A34="","",IF(B34="Edge",IFERROR(IF(INDEX('模型流与公式'!$P$5:$P$204,MATCH(A34,'模型流与公式'!$A$5:$A$204,0))="","",INDEX('模型流与公式'!$P$5:$P$204,MATCH(A34,'模型流与公式'!$A$5:$A$204,0))),""),""))</x:f>
      </x:c>
      <x:c r="M34" s="18" t="str">
        <x:f>IF(A34="","",IF(B34="Edge",IFERROR(IF(INDEX('模型流与公式'!$Q$5:$Q$204,MATCH(A34,'模型流与公式'!$A$5:$A$204,0))="","",INDEX('模型流与公式'!$Q$5:$Q$204,MATCH(A34,'模型流与公式'!$A$5:$A$204,0))),""),""))</x:f>
      </x:c>
      <x:c r="N34" s="18"/>
      <x:c r="O34" s="18"/>
      <x:c r="P34" s="18"/>
      <x:c r="Q34" s="18"/>
      <x:c r="R34" s="18"/>
      <x:c r="S34" s="18"/>
      <x:c r="T34" s="18"/>
      <x:c r="U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30" t="str">
        <x:f>IF(A35="","",IF(B35="Edge",IFERROR(IF(INDEX('模型流与公式'!$P$5:$P$204,MATCH(A35,'模型流与公式'!$A$5:$A$204,0))="","",INDEX('模型流与公式'!$P$5:$P$204,MATCH(A35,'模型流与公式'!$A$5:$A$204,0))),""),""))</x:f>
      </x:c>
      <x:c r="M35" s="18" t="str">
        <x:f>IF(A35="","",IF(B35="Edge",IFERROR(IF(INDEX('模型流与公式'!$Q$5:$Q$204,MATCH(A35,'模型流与公式'!$A$5:$A$204,0))="","",INDEX('模型流与公式'!$Q$5:$Q$204,MATCH(A35,'模型流与公式'!$A$5:$A$204,0))),""),""))</x:f>
      </x:c>
      <x:c r="N35" s="18"/>
      <x:c r="O35" s="18"/>
      <x:c r="P35" s="18"/>
      <x:c r="Q35" s="18"/>
      <x:c r="R35" s="18"/>
      <x:c r="S35" s="18"/>
      <x:c r="T35" s="18"/>
      <x:c r="U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30" t="str">
        <x:f>IF(A36="","",IF(B36="Edge",IFERROR(IF(INDEX('模型流与公式'!$P$5:$P$204,MATCH(A36,'模型流与公式'!$A$5:$A$204,0))="","",INDEX('模型流与公式'!$P$5:$P$204,MATCH(A36,'模型流与公式'!$A$5:$A$204,0))),""),""))</x:f>
      </x:c>
      <x:c r="M36" s="18" t="str">
        <x:f>IF(A36="","",IF(B36="Edge",IFERROR(IF(INDEX('模型流与公式'!$Q$5:$Q$204,MATCH(A36,'模型流与公式'!$A$5:$A$204,0))="","",INDEX('模型流与公式'!$Q$5:$Q$204,MATCH(A36,'模型流与公式'!$A$5:$A$204,0))),""),""))</x:f>
      </x:c>
      <x:c r="N36" s="18"/>
      <x:c r="O36" s="18"/>
      <x:c r="P36" s="18"/>
      <x:c r="Q36" s="18"/>
      <x:c r="R36" s="18"/>
      <x:c r="S36" s="18"/>
      <x:c r="T36" s="18"/>
      <x:c r="U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30" t="str">
        <x:f>IF(A37="","",IF(B37="Edge",IFERROR(IF(INDEX('模型流与公式'!$P$5:$P$204,MATCH(A37,'模型流与公式'!$A$5:$A$204,0))="","",INDEX('模型流与公式'!$P$5:$P$204,MATCH(A37,'模型流与公式'!$A$5:$A$204,0))),""),""))</x:f>
      </x:c>
      <x:c r="M37" s="18" t="str">
        <x:f>IF(A37="","",IF(B37="Edge",IFERROR(IF(INDEX('模型流与公式'!$Q$5:$Q$204,MATCH(A37,'模型流与公式'!$A$5:$A$204,0))="","",INDEX('模型流与公式'!$Q$5:$Q$204,MATCH(A37,'模型流与公式'!$A$5:$A$204,0))),""),""))</x:f>
      </x:c>
      <x:c r="N37" s="18"/>
      <x:c r="O37" s="18"/>
      <x:c r="P37" s="18"/>
      <x:c r="Q37" s="18"/>
      <x:c r="R37" s="18"/>
      <x:c r="S37" s="18"/>
      <x:c r="T37" s="18"/>
      <x:c r="U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30" t="str">
        <x:f>IF(A38="","",IF(B38="Edge",IFERROR(IF(INDEX('模型流与公式'!$P$5:$P$204,MATCH(A38,'模型流与公式'!$A$5:$A$204,0))="","",INDEX('模型流与公式'!$P$5:$P$204,MATCH(A38,'模型流与公式'!$A$5:$A$204,0))),""),""))</x:f>
      </x:c>
      <x:c r="M38" s="18" t="str">
        <x:f>IF(A38="","",IF(B38="Edge",IFERROR(IF(INDEX('模型流与公式'!$Q$5:$Q$204,MATCH(A38,'模型流与公式'!$A$5:$A$204,0))="","",INDEX('模型流与公式'!$Q$5:$Q$204,MATCH(A38,'模型流与公式'!$A$5:$A$204,0))),""),""))</x:f>
      </x:c>
      <x:c r="N38" s="18"/>
      <x:c r="O38" s="18"/>
      <x:c r="P38" s="18"/>
      <x:c r="Q38" s="18"/>
      <x:c r="R38" s="18"/>
      <x:c r="S38" s="18"/>
      <x:c r="T38" s="18"/>
      <x:c r="U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30" t="str">
        <x:f>IF(A39="","",IF(B39="Edge",IFERROR(IF(INDEX('模型流与公式'!$P$5:$P$204,MATCH(A39,'模型流与公式'!$A$5:$A$204,0))="","",INDEX('模型流与公式'!$P$5:$P$204,MATCH(A39,'模型流与公式'!$A$5:$A$204,0))),""),""))</x:f>
      </x:c>
      <x:c r="M39" s="18" t="str">
        <x:f>IF(A39="","",IF(B39="Edge",IFERROR(IF(INDEX('模型流与公式'!$Q$5:$Q$204,MATCH(A39,'模型流与公式'!$A$5:$A$204,0))="","",INDEX('模型流与公式'!$Q$5:$Q$204,MATCH(A39,'模型流与公式'!$A$5:$A$204,0))),""),""))</x:f>
      </x:c>
      <x:c r="N39" s="18"/>
      <x:c r="O39" s="18"/>
      <x:c r="P39" s="18"/>
      <x:c r="Q39" s="18"/>
      <x:c r="R39" s="18"/>
      <x:c r="S39" s="18"/>
      <x:c r="T39" s="18"/>
      <x:c r="U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30" t="str">
        <x:f>IF(A40="","",IF(B40="Edge",IFERROR(IF(INDEX('模型流与公式'!$P$5:$P$204,MATCH(A40,'模型流与公式'!$A$5:$A$204,0))="","",INDEX('模型流与公式'!$P$5:$P$204,MATCH(A40,'模型流与公式'!$A$5:$A$204,0))),""),""))</x:f>
      </x:c>
      <x:c r="M40" s="18" t="str">
        <x:f>IF(A40="","",IF(B40="Edge",IFERROR(IF(INDEX('模型流与公式'!$Q$5:$Q$204,MATCH(A40,'模型流与公式'!$A$5:$A$204,0))="","",INDEX('模型流与公式'!$Q$5:$Q$204,MATCH(A40,'模型流与公式'!$A$5:$A$204,0))),""),""))</x:f>
      </x:c>
      <x:c r="N40" s="18"/>
      <x:c r="O40" s="18"/>
      <x:c r="P40" s="18"/>
      <x:c r="Q40" s="18"/>
      <x:c r="R40" s="18"/>
      <x:c r="S40" s="18"/>
      <x:c r="T40" s="18"/>
      <x:c r="U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30" t="str">
        <x:f>IF(A41="","",IF(B41="Edge",IFERROR(IF(INDEX('模型流与公式'!$P$5:$P$204,MATCH(A41,'模型流与公式'!$A$5:$A$204,0))="","",INDEX('模型流与公式'!$P$5:$P$204,MATCH(A41,'模型流与公式'!$A$5:$A$204,0))),""),""))</x:f>
      </x:c>
      <x:c r="M41" s="18" t="str">
        <x:f>IF(A41="","",IF(B41="Edge",IFERROR(IF(INDEX('模型流与公式'!$Q$5:$Q$204,MATCH(A41,'模型流与公式'!$A$5:$A$204,0))="","",INDEX('模型流与公式'!$Q$5:$Q$204,MATCH(A41,'模型流与公式'!$A$5:$A$204,0))),""),""))</x:f>
      </x:c>
      <x:c r="N41" s="18"/>
      <x:c r="O41" s="18"/>
      <x:c r="P41" s="18"/>
      <x:c r="Q41" s="18"/>
      <x:c r="R41" s="18"/>
      <x:c r="S41" s="18"/>
      <x:c r="T41" s="18"/>
      <x:c r="U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30" t="str">
        <x:f>IF(A42="","",IF(B42="Edge",IFERROR(IF(INDEX('模型流与公式'!$P$5:$P$204,MATCH(A42,'模型流与公式'!$A$5:$A$204,0))="","",INDEX('模型流与公式'!$P$5:$P$204,MATCH(A42,'模型流与公式'!$A$5:$A$204,0))),""),""))</x:f>
      </x:c>
      <x:c r="M42" s="18" t="str">
        <x:f>IF(A42="","",IF(B42="Edge",IFERROR(IF(INDEX('模型流与公式'!$Q$5:$Q$204,MATCH(A42,'模型流与公式'!$A$5:$A$204,0))="","",INDEX('模型流与公式'!$Q$5:$Q$204,MATCH(A42,'模型流与公式'!$A$5:$A$204,0))),""),""))</x:f>
      </x:c>
      <x:c r="N42" s="18"/>
      <x:c r="O42" s="18"/>
      <x:c r="P42" s="18"/>
      <x:c r="Q42" s="18"/>
      <x:c r="R42" s="18"/>
      <x:c r="S42" s="18"/>
      <x:c r="T42" s="18"/>
      <x:c r="U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30" t="str">
        <x:f>IF(A43="","",IF(B43="Edge",IFERROR(IF(INDEX('模型流与公式'!$P$5:$P$204,MATCH(A43,'模型流与公式'!$A$5:$A$204,0))="","",INDEX('模型流与公式'!$P$5:$P$204,MATCH(A43,'模型流与公式'!$A$5:$A$204,0))),""),""))</x:f>
      </x:c>
      <x:c r="M43" s="18" t="str">
        <x:f>IF(A43="","",IF(B43="Edge",IFERROR(IF(INDEX('模型流与公式'!$Q$5:$Q$204,MATCH(A43,'模型流与公式'!$A$5:$A$204,0))="","",INDEX('模型流与公式'!$Q$5:$Q$204,MATCH(A43,'模型流与公式'!$A$5:$A$204,0))),""),""))</x:f>
      </x:c>
      <x:c r="N43" s="18"/>
      <x:c r="O43" s="18"/>
      <x:c r="P43" s="18"/>
      <x:c r="Q43" s="18"/>
      <x:c r="R43" s="18"/>
      <x:c r="S43" s="18"/>
      <x:c r="T43" s="18"/>
      <x:c r="U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30" t="str">
        <x:f>IF(A44="","",IF(B44="Edge",IFERROR(IF(INDEX('模型流与公式'!$P$5:$P$204,MATCH(A44,'模型流与公式'!$A$5:$A$204,0))="","",INDEX('模型流与公式'!$P$5:$P$204,MATCH(A44,'模型流与公式'!$A$5:$A$204,0))),""),""))</x:f>
      </x:c>
      <x:c r="M44" s="18" t="str">
        <x:f>IF(A44="","",IF(B44="Edge",IFERROR(IF(INDEX('模型流与公式'!$Q$5:$Q$204,MATCH(A44,'模型流与公式'!$A$5:$A$204,0))="","",INDEX('模型流与公式'!$Q$5:$Q$204,MATCH(A44,'模型流与公式'!$A$5:$A$204,0))),""),""))</x:f>
      </x:c>
      <x:c r="N44" s="18"/>
      <x:c r="O44" s="18"/>
      <x:c r="P44" s="18"/>
      <x:c r="Q44" s="18"/>
      <x:c r="R44" s="18"/>
      <x:c r="S44" s="18"/>
      <x:c r="T44" s="18"/>
      <x:c r="U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30" t="str">
        <x:f>IF(A45="","",IF(B45="Edge",IFERROR(IF(INDEX('模型流与公式'!$P$5:$P$204,MATCH(A45,'模型流与公式'!$A$5:$A$204,0))="","",INDEX('模型流与公式'!$P$5:$P$204,MATCH(A45,'模型流与公式'!$A$5:$A$204,0))),""),""))</x:f>
      </x:c>
      <x:c r="M45" s="18" t="str">
        <x:f>IF(A45="","",IF(B45="Edge",IFERROR(IF(INDEX('模型流与公式'!$Q$5:$Q$204,MATCH(A45,'模型流与公式'!$A$5:$A$204,0))="","",INDEX('模型流与公式'!$Q$5:$Q$204,MATCH(A45,'模型流与公式'!$A$5:$A$204,0))),""),""))</x:f>
      </x:c>
      <x:c r="N45" s="18"/>
      <x:c r="O45" s="18"/>
      <x:c r="P45" s="18"/>
      <x:c r="Q45" s="18"/>
      <x:c r="R45" s="18"/>
      <x:c r="S45" s="18"/>
      <x:c r="T45" s="18"/>
      <x:c r="U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30" t="str">
        <x:f>IF(A46="","",IF(B46="Edge",IFERROR(IF(INDEX('模型流与公式'!$P$5:$P$204,MATCH(A46,'模型流与公式'!$A$5:$A$204,0))="","",INDEX('模型流与公式'!$P$5:$P$204,MATCH(A46,'模型流与公式'!$A$5:$A$204,0))),""),""))</x:f>
      </x:c>
      <x:c r="M46" s="18" t="str">
        <x:f>IF(A46="","",IF(B46="Edge",IFERROR(IF(INDEX('模型流与公式'!$Q$5:$Q$204,MATCH(A46,'模型流与公式'!$A$5:$A$204,0))="","",INDEX('模型流与公式'!$Q$5:$Q$204,MATCH(A46,'模型流与公式'!$A$5:$A$204,0))),""),""))</x:f>
      </x:c>
      <x:c r="N46" s="18"/>
      <x:c r="O46" s="18"/>
      <x:c r="P46" s="18"/>
      <x:c r="Q46" s="18"/>
      <x:c r="R46" s="18"/>
      <x:c r="S46" s="18"/>
      <x:c r="T46" s="18"/>
      <x:c r="U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30" t="str">
        <x:f>IF(A47="","",IF(B47="Edge",IFERROR(IF(INDEX('模型流与公式'!$P$5:$P$204,MATCH(A47,'模型流与公式'!$A$5:$A$204,0))="","",INDEX('模型流与公式'!$P$5:$P$204,MATCH(A47,'模型流与公式'!$A$5:$A$204,0))),""),""))</x:f>
      </x:c>
      <x:c r="M47" s="18" t="str">
        <x:f>IF(A47="","",IF(B47="Edge",IFERROR(IF(INDEX('模型流与公式'!$Q$5:$Q$204,MATCH(A47,'模型流与公式'!$A$5:$A$204,0))="","",INDEX('模型流与公式'!$Q$5:$Q$204,MATCH(A47,'模型流与公式'!$A$5:$A$204,0))),""),""))</x:f>
      </x:c>
      <x:c r="N47" s="18"/>
      <x:c r="O47" s="18"/>
      <x:c r="P47" s="18"/>
      <x:c r="Q47" s="18"/>
      <x:c r="R47" s="18"/>
      <x:c r="S47" s="18"/>
      <x:c r="T47" s="18"/>
      <x:c r="U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30" t="str">
        <x:f>IF(A48="","",IF(B48="Edge",IFERROR(IF(INDEX('模型流与公式'!$P$5:$P$204,MATCH(A48,'模型流与公式'!$A$5:$A$204,0))="","",INDEX('模型流与公式'!$P$5:$P$204,MATCH(A48,'模型流与公式'!$A$5:$A$204,0))),""),""))</x:f>
      </x:c>
      <x:c r="M48" s="18" t="str">
        <x:f>IF(A48="","",IF(B48="Edge",IFERROR(IF(INDEX('模型流与公式'!$Q$5:$Q$204,MATCH(A48,'模型流与公式'!$A$5:$A$204,0))="","",INDEX('模型流与公式'!$Q$5:$Q$204,MATCH(A48,'模型流与公式'!$A$5:$A$204,0))),""),""))</x:f>
      </x:c>
      <x:c r="N48" s="18"/>
      <x:c r="O48" s="18"/>
      <x:c r="P48" s="18"/>
      <x:c r="Q48" s="18"/>
      <x:c r="R48" s="18"/>
      <x:c r="S48" s="18"/>
      <x:c r="T48" s="18"/>
      <x:c r="U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30" t="str">
        <x:f>IF(A49="","",IF(B49="Edge",IFERROR(IF(INDEX('模型流与公式'!$P$5:$P$204,MATCH(A49,'模型流与公式'!$A$5:$A$204,0))="","",INDEX('模型流与公式'!$P$5:$P$204,MATCH(A49,'模型流与公式'!$A$5:$A$204,0))),""),""))</x:f>
      </x:c>
      <x:c r="M49" s="18" t="str">
        <x:f>IF(A49="","",IF(B49="Edge",IFERROR(IF(INDEX('模型流与公式'!$Q$5:$Q$204,MATCH(A49,'模型流与公式'!$A$5:$A$204,0))="","",INDEX('模型流与公式'!$Q$5:$Q$204,MATCH(A49,'模型流与公式'!$A$5:$A$204,0))),""),""))</x:f>
      </x:c>
      <x:c r="N49" s="18"/>
      <x:c r="O49" s="18"/>
      <x:c r="P49" s="18"/>
      <x:c r="Q49" s="18"/>
      <x:c r="R49" s="18"/>
      <x:c r="S49" s="18"/>
      <x:c r="T49" s="18"/>
      <x:c r="U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30" t="str">
        <x:f>IF(A50="","",IF(B50="Edge",IFERROR(IF(INDEX('模型流与公式'!$P$5:$P$204,MATCH(A50,'模型流与公式'!$A$5:$A$204,0))="","",INDEX('模型流与公式'!$P$5:$P$204,MATCH(A50,'模型流与公式'!$A$5:$A$204,0))),""),""))</x:f>
      </x:c>
      <x:c r="M50" s="18" t="str">
        <x:f>IF(A50="","",IF(B50="Edge",IFERROR(IF(INDEX('模型流与公式'!$Q$5:$Q$204,MATCH(A50,'模型流与公式'!$A$5:$A$204,0))="","",INDEX('模型流与公式'!$Q$5:$Q$204,MATCH(A50,'模型流与公式'!$A$5:$A$204,0))),""),""))</x:f>
      </x:c>
      <x:c r="N50" s="18"/>
      <x:c r="O50" s="18"/>
      <x:c r="P50" s="18"/>
      <x:c r="Q50" s="18"/>
      <x:c r="R50" s="18"/>
      <x:c r="S50" s="18"/>
      <x:c r="T50" s="18"/>
      <x:c r="U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30" t="str">
        <x:f>IF(A51="","",IF(B51="Edge",IFERROR(IF(INDEX('模型流与公式'!$P$5:$P$204,MATCH(A51,'模型流与公式'!$A$5:$A$204,0))="","",INDEX('模型流与公式'!$P$5:$P$204,MATCH(A51,'模型流与公式'!$A$5:$A$204,0))),""),""))</x:f>
      </x:c>
      <x:c r="M51" s="18" t="str">
        <x:f>IF(A51="","",IF(B51="Edge",IFERROR(IF(INDEX('模型流与公式'!$Q$5:$Q$204,MATCH(A51,'模型流与公式'!$A$5:$A$204,0))="","",INDEX('模型流与公式'!$Q$5:$Q$204,MATCH(A51,'模型流与公式'!$A$5:$A$204,0))),""),""))</x:f>
      </x:c>
      <x:c r="N51" s="18"/>
      <x:c r="O51" s="18"/>
      <x:c r="P51" s="18"/>
      <x:c r="Q51" s="18"/>
      <x:c r="R51" s="18"/>
      <x:c r="S51" s="18"/>
      <x:c r="T51" s="18"/>
      <x:c r="U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30" t="str">
        <x:f>IF(A52="","",IF(B52="Edge",IFERROR(IF(INDEX('模型流与公式'!$P$5:$P$204,MATCH(A52,'模型流与公式'!$A$5:$A$204,0))="","",INDEX('模型流与公式'!$P$5:$P$204,MATCH(A52,'模型流与公式'!$A$5:$A$204,0))),""),""))</x:f>
      </x:c>
      <x:c r="M52" s="18" t="str">
        <x:f>IF(A52="","",IF(B52="Edge",IFERROR(IF(INDEX('模型流与公式'!$Q$5:$Q$204,MATCH(A52,'模型流与公式'!$A$5:$A$204,0))="","",INDEX('模型流与公式'!$Q$5:$Q$204,MATCH(A52,'模型流与公式'!$A$5:$A$204,0))),""),""))</x:f>
      </x:c>
      <x:c r="N52" s="18"/>
      <x:c r="O52" s="18"/>
      <x:c r="P52" s="18"/>
      <x:c r="Q52" s="18"/>
      <x:c r="R52" s="18"/>
      <x:c r="S52" s="18"/>
      <x:c r="T52" s="18"/>
      <x:c r="U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30" t="str">
        <x:f>IF(A53="","",IF(B53="Edge",IFERROR(IF(INDEX('模型流与公式'!$P$5:$P$204,MATCH(A53,'模型流与公式'!$A$5:$A$204,0))="","",INDEX('模型流与公式'!$P$5:$P$204,MATCH(A53,'模型流与公式'!$A$5:$A$204,0))),""),""))</x:f>
      </x:c>
      <x:c r="M53" s="18" t="str">
        <x:f>IF(A53="","",IF(B53="Edge",IFERROR(IF(INDEX('模型流与公式'!$Q$5:$Q$204,MATCH(A53,'模型流与公式'!$A$5:$A$204,0))="","",INDEX('模型流与公式'!$Q$5:$Q$204,MATCH(A53,'模型流与公式'!$A$5:$A$204,0))),""),""))</x:f>
      </x:c>
      <x:c r="N53" s="18"/>
      <x:c r="O53" s="18"/>
      <x:c r="P53" s="18"/>
      <x:c r="Q53" s="18"/>
      <x:c r="R53" s="18"/>
      <x:c r="S53" s="18"/>
      <x:c r="T53" s="18"/>
      <x:c r="U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30" t="str">
        <x:f>IF(A54="","",IF(B54="Edge",IFERROR(IF(INDEX('模型流与公式'!$P$5:$P$204,MATCH(A54,'模型流与公式'!$A$5:$A$204,0))="","",INDEX('模型流与公式'!$P$5:$P$204,MATCH(A54,'模型流与公式'!$A$5:$A$204,0))),""),""))</x:f>
      </x:c>
      <x:c r="M54" s="18" t="str">
        <x:f>IF(A54="","",IF(B54="Edge",IFERROR(IF(INDEX('模型流与公式'!$Q$5:$Q$204,MATCH(A54,'模型流与公式'!$A$5:$A$204,0))="","",INDEX('模型流与公式'!$Q$5:$Q$204,MATCH(A54,'模型流与公式'!$A$5:$A$204,0))),""),""))</x:f>
      </x:c>
      <x:c r="N54" s="18"/>
      <x:c r="O54" s="18"/>
      <x:c r="P54" s="18"/>
      <x:c r="Q54" s="18"/>
      <x:c r="R54" s="18"/>
      <x:c r="S54" s="18"/>
      <x:c r="T54" s="18"/>
      <x:c r="U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30" t="str">
        <x:f>IF(A55="","",IF(B55="Edge",IFERROR(IF(INDEX('模型流与公式'!$P$5:$P$204,MATCH(A55,'模型流与公式'!$A$5:$A$204,0))="","",INDEX('模型流与公式'!$P$5:$P$204,MATCH(A55,'模型流与公式'!$A$5:$A$204,0))),""),""))</x:f>
      </x:c>
      <x:c r="M55" s="18" t="str">
        <x:f>IF(A55="","",IF(B55="Edge",IFERROR(IF(INDEX('模型流与公式'!$Q$5:$Q$204,MATCH(A55,'模型流与公式'!$A$5:$A$204,0))="","",INDEX('模型流与公式'!$Q$5:$Q$204,MATCH(A55,'模型流与公式'!$A$5:$A$204,0))),""),""))</x:f>
      </x:c>
      <x:c r="N55" s="18"/>
      <x:c r="O55" s="18"/>
      <x:c r="P55" s="18"/>
      <x:c r="Q55" s="18"/>
      <x:c r="R55" s="18"/>
      <x:c r="S55" s="18"/>
      <x:c r="T55" s="18"/>
      <x:c r="U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30" t="str">
        <x:f>IF(A56="","",IF(B56="Edge",IFERROR(IF(INDEX('模型流与公式'!$P$5:$P$204,MATCH(A56,'模型流与公式'!$A$5:$A$204,0))="","",INDEX('模型流与公式'!$P$5:$P$204,MATCH(A56,'模型流与公式'!$A$5:$A$204,0))),""),""))</x:f>
      </x:c>
      <x:c r="M56" s="18" t="str">
        <x:f>IF(A56="","",IF(B56="Edge",IFERROR(IF(INDEX('模型流与公式'!$Q$5:$Q$204,MATCH(A56,'模型流与公式'!$A$5:$A$204,0))="","",INDEX('模型流与公式'!$Q$5:$Q$204,MATCH(A56,'模型流与公式'!$A$5:$A$204,0))),""),""))</x:f>
      </x:c>
      <x:c r="N56" s="18"/>
      <x:c r="O56" s="18"/>
      <x:c r="P56" s="18"/>
      <x:c r="Q56" s="18"/>
      <x:c r="R56" s="18"/>
      <x:c r="S56" s="18"/>
      <x:c r="T56" s="18"/>
      <x:c r="U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30" t="str">
        <x:f>IF(A57="","",IF(B57="Edge",IFERROR(IF(INDEX('模型流与公式'!$P$5:$P$204,MATCH(A57,'模型流与公式'!$A$5:$A$204,0))="","",INDEX('模型流与公式'!$P$5:$P$204,MATCH(A57,'模型流与公式'!$A$5:$A$204,0))),""),""))</x:f>
      </x:c>
      <x:c r="M57" s="18" t="str">
        <x:f>IF(A57="","",IF(B57="Edge",IFERROR(IF(INDEX('模型流与公式'!$Q$5:$Q$204,MATCH(A57,'模型流与公式'!$A$5:$A$204,0))="","",INDEX('模型流与公式'!$Q$5:$Q$204,MATCH(A57,'模型流与公式'!$A$5:$A$204,0))),""),""))</x:f>
      </x:c>
      <x:c r="N57" s="18"/>
      <x:c r="O57" s="18"/>
      <x:c r="P57" s="18"/>
      <x:c r="Q57" s="18"/>
      <x:c r="R57" s="18"/>
      <x:c r="S57" s="18"/>
      <x:c r="T57" s="18"/>
      <x:c r="U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30" t="str">
        <x:f>IF(A58="","",IF(B58="Edge",IFERROR(IF(INDEX('模型流与公式'!$P$5:$P$204,MATCH(A58,'模型流与公式'!$A$5:$A$204,0))="","",INDEX('模型流与公式'!$P$5:$P$204,MATCH(A58,'模型流与公式'!$A$5:$A$204,0))),""),""))</x:f>
      </x:c>
      <x:c r="M58" s="18" t="str">
        <x:f>IF(A58="","",IF(B58="Edge",IFERROR(IF(INDEX('模型流与公式'!$Q$5:$Q$204,MATCH(A58,'模型流与公式'!$A$5:$A$204,0))="","",INDEX('模型流与公式'!$Q$5:$Q$204,MATCH(A58,'模型流与公式'!$A$5:$A$204,0))),""),""))</x:f>
      </x:c>
      <x:c r="N58" s="18"/>
      <x:c r="O58" s="18"/>
      <x:c r="P58" s="18"/>
      <x:c r="Q58" s="18"/>
      <x:c r="R58" s="18"/>
      <x:c r="S58" s="18"/>
      <x:c r="T58" s="18"/>
      <x:c r="U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30" t="str">
        <x:f>IF(A59="","",IF(B59="Edge",IFERROR(IF(INDEX('模型流与公式'!$P$5:$P$204,MATCH(A59,'模型流与公式'!$A$5:$A$204,0))="","",INDEX('模型流与公式'!$P$5:$P$204,MATCH(A59,'模型流与公式'!$A$5:$A$204,0))),""),""))</x:f>
      </x:c>
      <x:c r="M59" s="18" t="str">
        <x:f>IF(A59="","",IF(B59="Edge",IFERROR(IF(INDEX('模型流与公式'!$Q$5:$Q$204,MATCH(A59,'模型流与公式'!$A$5:$A$204,0))="","",INDEX('模型流与公式'!$Q$5:$Q$204,MATCH(A59,'模型流与公式'!$A$5:$A$204,0))),""),""))</x:f>
      </x:c>
      <x:c r="N59" s="18"/>
      <x:c r="O59" s="18"/>
      <x:c r="P59" s="18"/>
      <x:c r="Q59" s="18"/>
      <x:c r="R59" s="18"/>
      <x:c r="S59" s="18"/>
      <x:c r="T59" s="18"/>
      <x:c r="U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30" t="str">
        <x:f>IF(A60="","",IF(B60="Edge",IFERROR(IF(INDEX('模型流与公式'!$P$5:$P$204,MATCH(A60,'模型流与公式'!$A$5:$A$204,0))="","",INDEX('模型流与公式'!$P$5:$P$204,MATCH(A60,'模型流与公式'!$A$5:$A$204,0))),""),""))</x:f>
      </x:c>
      <x:c r="M60" s="18" t="str">
        <x:f>IF(A60="","",IF(B60="Edge",IFERROR(IF(INDEX('模型流与公式'!$Q$5:$Q$204,MATCH(A60,'模型流与公式'!$A$5:$A$204,0))="","",INDEX('模型流与公式'!$Q$5:$Q$204,MATCH(A60,'模型流与公式'!$A$5:$A$204,0))),""),""))</x:f>
      </x:c>
      <x:c r="N60" s="18"/>
      <x:c r="O60" s="18"/>
      <x:c r="P60" s="18"/>
      <x:c r="Q60" s="18"/>
      <x:c r="R60" s="18"/>
      <x:c r="S60" s="18"/>
      <x:c r="T60" s="18"/>
      <x:c r="U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30" t="str">
        <x:f>IF(A61="","",IF(B61="Edge",IFERROR(IF(INDEX('模型流与公式'!$P$5:$P$204,MATCH(A61,'模型流与公式'!$A$5:$A$204,0))="","",INDEX('模型流与公式'!$P$5:$P$204,MATCH(A61,'模型流与公式'!$A$5:$A$204,0))),""),""))</x:f>
      </x:c>
      <x:c r="M61" s="18" t="str">
        <x:f>IF(A61="","",IF(B61="Edge",IFERROR(IF(INDEX('模型流与公式'!$Q$5:$Q$204,MATCH(A61,'模型流与公式'!$A$5:$A$204,0))="","",INDEX('模型流与公式'!$Q$5:$Q$204,MATCH(A61,'模型流与公式'!$A$5:$A$204,0))),""),""))</x:f>
      </x:c>
      <x:c r="N61" s="18"/>
      <x:c r="O61" s="18"/>
      <x:c r="P61" s="18"/>
      <x:c r="Q61" s="18"/>
      <x:c r="R61" s="18"/>
      <x:c r="S61" s="18"/>
      <x:c r="T61" s="18"/>
      <x:c r="U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30" t="str">
        <x:f>IF(A62="","",IF(B62="Edge",IFERROR(IF(INDEX('模型流与公式'!$P$5:$P$204,MATCH(A62,'模型流与公式'!$A$5:$A$204,0))="","",INDEX('模型流与公式'!$P$5:$P$204,MATCH(A62,'模型流与公式'!$A$5:$A$204,0))),""),""))</x:f>
      </x:c>
      <x:c r="M62" s="18" t="str">
        <x:f>IF(A62="","",IF(B62="Edge",IFERROR(IF(INDEX('模型流与公式'!$Q$5:$Q$204,MATCH(A62,'模型流与公式'!$A$5:$A$204,0))="","",INDEX('模型流与公式'!$Q$5:$Q$204,MATCH(A62,'模型流与公式'!$A$5:$A$204,0))),""),""))</x:f>
      </x:c>
      <x:c r="N62" s="18"/>
      <x:c r="O62" s="18"/>
      <x:c r="P62" s="18"/>
      <x:c r="Q62" s="18"/>
      <x:c r="R62" s="18"/>
      <x:c r="S62" s="18"/>
      <x:c r="T62" s="18"/>
      <x:c r="U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30" t="str">
        <x:f>IF(A63="","",IF(B63="Edge",IFERROR(IF(INDEX('模型流与公式'!$P$5:$P$204,MATCH(A63,'模型流与公式'!$A$5:$A$204,0))="","",INDEX('模型流与公式'!$P$5:$P$204,MATCH(A63,'模型流与公式'!$A$5:$A$204,0))),""),""))</x:f>
      </x:c>
      <x:c r="M63" s="18" t="str">
        <x:f>IF(A63="","",IF(B63="Edge",IFERROR(IF(INDEX('模型流与公式'!$Q$5:$Q$204,MATCH(A63,'模型流与公式'!$A$5:$A$204,0))="","",INDEX('模型流与公式'!$Q$5:$Q$204,MATCH(A63,'模型流与公式'!$A$5:$A$204,0))),""),""))</x:f>
      </x:c>
      <x:c r="N63" s="18"/>
      <x:c r="O63" s="18"/>
      <x:c r="P63" s="18"/>
      <x:c r="Q63" s="18"/>
      <x:c r="R63" s="18"/>
      <x:c r="S63" s="18"/>
      <x:c r="T63" s="18"/>
      <x:c r="U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30" t="str">
        <x:f>IF(A64="","",IF(B64="Edge",IFERROR(IF(INDEX('模型流与公式'!$P$5:$P$204,MATCH(A64,'模型流与公式'!$A$5:$A$204,0))="","",INDEX('模型流与公式'!$P$5:$P$204,MATCH(A64,'模型流与公式'!$A$5:$A$204,0))),""),""))</x:f>
      </x:c>
      <x:c r="M64" s="18" t="str">
        <x:f>IF(A64="","",IF(B64="Edge",IFERROR(IF(INDEX('模型流与公式'!$Q$5:$Q$204,MATCH(A64,'模型流与公式'!$A$5:$A$204,0))="","",INDEX('模型流与公式'!$Q$5:$Q$204,MATCH(A64,'模型流与公式'!$A$5:$A$204,0))),""),""))</x:f>
      </x:c>
      <x:c r="N64" s="18"/>
      <x:c r="O64" s="18"/>
      <x:c r="P64" s="18"/>
      <x:c r="Q64" s="18"/>
      <x:c r="R64" s="18"/>
      <x:c r="S64" s="18"/>
      <x:c r="T64" s="18"/>
      <x:c r="U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30" t="str">
        <x:f>IF(A65="","",IF(B65="Edge",IFERROR(IF(INDEX('模型流与公式'!$P$5:$P$204,MATCH(A65,'模型流与公式'!$A$5:$A$204,0))="","",INDEX('模型流与公式'!$P$5:$P$204,MATCH(A65,'模型流与公式'!$A$5:$A$204,0))),""),""))</x:f>
      </x:c>
      <x:c r="M65" s="18" t="str">
        <x:f>IF(A65="","",IF(B65="Edge",IFERROR(IF(INDEX('模型流与公式'!$Q$5:$Q$204,MATCH(A65,'模型流与公式'!$A$5:$A$204,0))="","",INDEX('模型流与公式'!$Q$5:$Q$204,MATCH(A65,'模型流与公式'!$A$5:$A$204,0))),""),""))</x:f>
      </x:c>
      <x:c r="N65" s="18"/>
      <x:c r="O65" s="18"/>
      <x:c r="P65" s="18"/>
      <x:c r="Q65" s="18"/>
      <x:c r="R65" s="18"/>
      <x:c r="S65" s="18"/>
      <x:c r="T65" s="18"/>
      <x:c r="U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30" t="str">
        <x:f>IF(A66="","",IF(B66="Edge",IFERROR(IF(INDEX('模型流与公式'!$P$5:$P$204,MATCH(A66,'模型流与公式'!$A$5:$A$204,0))="","",INDEX('模型流与公式'!$P$5:$P$204,MATCH(A66,'模型流与公式'!$A$5:$A$204,0))),""),""))</x:f>
      </x:c>
      <x:c r="M66" s="18" t="str">
        <x:f>IF(A66="","",IF(B66="Edge",IFERROR(IF(INDEX('模型流与公式'!$Q$5:$Q$204,MATCH(A66,'模型流与公式'!$A$5:$A$204,0))="","",INDEX('模型流与公式'!$Q$5:$Q$204,MATCH(A66,'模型流与公式'!$A$5:$A$204,0))),""),""))</x:f>
      </x:c>
      <x:c r="N66" s="18"/>
      <x:c r="O66" s="18"/>
      <x:c r="P66" s="18"/>
      <x:c r="Q66" s="18"/>
      <x:c r="R66" s="18"/>
      <x:c r="S66" s="18"/>
      <x:c r="T66" s="18"/>
      <x:c r="U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30" t="str">
        <x:f>IF(A67="","",IF(B67="Edge",IFERROR(IF(INDEX('模型流与公式'!$P$5:$P$204,MATCH(A67,'模型流与公式'!$A$5:$A$204,0))="","",INDEX('模型流与公式'!$P$5:$P$204,MATCH(A67,'模型流与公式'!$A$5:$A$204,0))),""),""))</x:f>
      </x:c>
      <x:c r="M67" s="18" t="str">
        <x:f>IF(A67="","",IF(B67="Edge",IFERROR(IF(INDEX('模型流与公式'!$Q$5:$Q$204,MATCH(A67,'模型流与公式'!$A$5:$A$204,0))="","",INDEX('模型流与公式'!$Q$5:$Q$204,MATCH(A67,'模型流与公式'!$A$5:$A$204,0))),""),""))</x:f>
      </x:c>
      <x:c r="N67" s="18"/>
      <x:c r="O67" s="18"/>
      <x:c r="P67" s="18"/>
      <x:c r="Q67" s="18"/>
      <x:c r="R67" s="18"/>
      <x:c r="S67" s="18"/>
      <x:c r="T67" s="18"/>
      <x:c r="U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30" t="str">
        <x:f>IF(A68="","",IF(B68="Edge",IFERROR(IF(INDEX('模型流与公式'!$P$5:$P$204,MATCH(A68,'模型流与公式'!$A$5:$A$204,0))="","",INDEX('模型流与公式'!$P$5:$P$204,MATCH(A68,'模型流与公式'!$A$5:$A$204,0))),""),""))</x:f>
      </x:c>
      <x:c r="M68" s="18" t="str">
        <x:f>IF(A68="","",IF(B68="Edge",IFERROR(IF(INDEX('模型流与公式'!$Q$5:$Q$204,MATCH(A68,'模型流与公式'!$A$5:$A$204,0))="","",INDEX('模型流与公式'!$Q$5:$Q$204,MATCH(A68,'模型流与公式'!$A$5:$A$204,0))),""),""))</x:f>
      </x:c>
      <x:c r="N68" s="18"/>
      <x:c r="O68" s="18"/>
      <x:c r="P68" s="18"/>
      <x:c r="Q68" s="18"/>
      <x:c r="R68" s="18"/>
      <x:c r="S68" s="18"/>
      <x:c r="T68" s="18"/>
      <x:c r="U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30" t="str">
        <x:f>IF(A69="","",IF(B69="Edge",IFERROR(IF(INDEX('模型流与公式'!$P$5:$P$204,MATCH(A69,'模型流与公式'!$A$5:$A$204,0))="","",INDEX('模型流与公式'!$P$5:$P$204,MATCH(A69,'模型流与公式'!$A$5:$A$204,0))),""),""))</x:f>
      </x:c>
      <x:c r="M69" s="18" t="str">
        <x:f>IF(A69="","",IF(B69="Edge",IFERROR(IF(INDEX('模型流与公式'!$Q$5:$Q$204,MATCH(A69,'模型流与公式'!$A$5:$A$204,0))="","",INDEX('模型流与公式'!$Q$5:$Q$204,MATCH(A69,'模型流与公式'!$A$5:$A$204,0))),""),""))</x:f>
      </x:c>
      <x:c r="N69" s="18"/>
      <x:c r="O69" s="18"/>
      <x:c r="P69" s="18"/>
      <x:c r="Q69" s="18"/>
      <x:c r="R69" s="18"/>
      <x:c r="S69" s="18"/>
      <x:c r="T69" s="18"/>
      <x:c r="U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30" t="str">
        <x:f>IF(A70="","",IF(B70="Edge",IFERROR(IF(INDEX('模型流与公式'!$P$5:$P$204,MATCH(A70,'模型流与公式'!$A$5:$A$204,0))="","",INDEX('模型流与公式'!$P$5:$P$204,MATCH(A70,'模型流与公式'!$A$5:$A$204,0))),""),""))</x:f>
      </x:c>
      <x:c r="M70" s="18" t="str">
        <x:f>IF(A70="","",IF(B70="Edge",IFERROR(IF(INDEX('模型流与公式'!$Q$5:$Q$204,MATCH(A70,'模型流与公式'!$A$5:$A$204,0))="","",INDEX('模型流与公式'!$Q$5:$Q$204,MATCH(A70,'模型流与公式'!$A$5:$A$204,0))),""),""))</x:f>
      </x:c>
      <x:c r="N70" s="18"/>
      <x:c r="O70" s="18"/>
      <x:c r="P70" s="18"/>
      <x:c r="Q70" s="18"/>
      <x:c r="R70" s="18"/>
      <x:c r="S70" s="18"/>
      <x:c r="T70" s="18"/>
      <x:c r="U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30" t="str">
        <x:f>IF(A71="","",IF(B71="Edge",IFERROR(IF(INDEX('模型流与公式'!$P$5:$P$204,MATCH(A71,'模型流与公式'!$A$5:$A$204,0))="","",INDEX('模型流与公式'!$P$5:$P$204,MATCH(A71,'模型流与公式'!$A$5:$A$204,0))),""),""))</x:f>
      </x:c>
      <x:c r="M71" s="18" t="str">
        <x:f>IF(A71="","",IF(B71="Edge",IFERROR(IF(INDEX('模型流与公式'!$Q$5:$Q$204,MATCH(A71,'模型流与公式'!$A$5:$A$204,0))="","",INDEX('模型流与公式'!$Q$5:$Q$204,MATCH(A71,'模型流与公式'!$A$5:$A$204,0))),""),""))</x:f>
      </x:c>
      <x:c r="N71" s="18"/>
      <x:c r="O71" s="18"/>
      <x:c r="P71" s="18"/>
      <x:c r="Q71" s="18"/>
      <x:c r="R71" s="18"/>
      <x:c r="S71" s="18"/>
      <x:c r="T71" s="18"/>
      <x:c r="U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30" t="str">
        <x:f>IF(A72="","",IF(B72="Edge",IFERROR(IF(INDEX('模型流与公式'!$P$5:$P$204,MATCH(A72,'模型流与公式'!$A$5:$A$204,0))="","",INDEX('模型流与公式'!$P$5:$P$204,MATCH(A72,'模型流与公式'!$A$5:$A$204,0))),""),""))</x:f>
      </x:c>
      <x:c r="M72" s="18" t="str">
        <x:f>IF(A72="","",IF(B72="Edge",IFERROR(IF(INDEX('模型流与公式'!$Q$5:$Q$204,MATCH(A72,'模型流与公式'!$A$5:$A$204,0))="","",INDEX('模型流与公式'!$Q$5:$Q$204,MATCH(A72,'模型流与公式'!$A$5:$A$204,0))),""),""))</x:f>
      </x:c>
      <x:c r="N72" s="18"/>
      <x:c r="O72" s="18"/>
      <x:c r="P72" s="18"/>
      <x:c r="Q72" s="18"/>
      <x:c r="R72" s="18"/>
      <x:c r="S72" s="18"/>
      <x:c r="T72" s="18"/>
      <x:c r="U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30" t="str">
        <x:f>IF(A73="","",IF(B73="Edge",IFERROR(IF(INDEX('模型流与公式'!$P$5:$P$204,MATCH(A73,'模型流与公式'!$A$5:$A$204,0))="","",INDEX('模型流与公式'!$P$5:$P$204,MATCH(A73,'模型流与公式'!$A$5:$A$204,0))),""),""))</x:f>
      </x:c>
      <x:c r="M73" s="18" t="str">
        <x:f>IF(A73="","",IF(B73="Edge",IFERROR(IF(INDEX('模型流与公式'!$Q$5:$Q$204,MATCH(A73,'模型流与公式'!$A$5:$A$204,0))="","",INDEX('模型流与公式'!$Q$5:$Q$204,MATCH(A73,'模型流与公式'!$A$5:$A$204,0))),""),""))</x:f>
      </x:c>
      <x:c r="N73" s="18"/>
      <x:c r="O73" s="18"/>
      <x:c r="P73" s="18"/>
      <x:c r="Q73" s="18"/>
      <x:c r="R73" s="18"/>
      <x:c r="S73" s="18"/>
      <x:c r="T73" s="18"/>
      <x:c r="U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30" t="str">
        <x:f>IF(A74="","",IF(B74="Edge",IFERROR(IF(INDEX('模型流与公式'!$P$5:$P$204,MATCH(A74,'模型流与公式'!$A$5:$A$204,0))="","",INDEX('模型流与公式'!$P$5:$P$204,MATCH(A74,'模型流与公式'!$A$5:$A$204,0))),""),""))</x:f>
      </x:c>
      <x:c r="M74" s="18" t="str">
        <x:f>IF(A74="","",IF(B74="Edge",IFERROR(IF(INDEX('模型流与公式'!$Q$5:$Q$204,MATCH(A74,'模型流与公式'!$A$5:$A$204,0))="","",INDEX('模型流与公式'!$Q$5:$Q$204,MATCH(A74,'模型流与公式'!$A$5:$A$204,0))),""),""))</x:f>
      </x:c>
      <x:c r="N74" s="18"/>
      <x:c r="O74" s="18"/>
      <x:c r="P74" s="18"/>
      <x:c r="Q74" s="18"/>
      <x:c r="R74" s="18"/>
      <x:c r="S74" s="18"/>
      <x:c r="T74" s="18"/>
      <x:c r="U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30" t="str">
        <x:f>IF(A75="","",IF(B75="Edge",IFERROR(IF(INDEX('模型流与公式'!$P$5:$P$204,MATCH(A75,'模型流与公式'!$A$5:$A$204,0))="","",INDEX('模型流与公式'!$P$5:$P$204,MATCH(A75,'模型流与公式'!$A$5:$A$204,0))),""),""))</x:f>
      </x:c>
      <x:c r="M75" s="18" t="str">
        <x:f>IF(A75="","",IF(B75="Edge",IFERROR(IF(INDEX('模型流与公式'!$Q$5:$Q$204,MATCH(A75,'模型流与公式'!$A$5:$A$204,0))="","",INDEX('模型流与公式'!$Q$5:$Q$204,MATCH(A75,'模型流与公式'!$A$5:$A$204,0))),""),""))</x:f>
      </x:c>
      <x:c r="N75" s="18"/>
      <x:c r="O75" s="18"/>
      <x:c r="P75" s="18"/>
      <x:c r="Q75" s="18"/>
      <x:c r="R75" s="18"/>
      <x:c r="S75" s="18"/>
      <x:c r="T75" s="18"/>
      <x:c r="U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30" t="str">
        <x:f>IF(A76="","",IF(B76="Edge",IFERROR(IF(INDEX('模型流与公式'!$P$5:$P$204,MATCH(A76,'模型流与公式'!$A$5:$A$204,0))="","",INDEX('模型流与公式'!$P$5:$P$204,MATCH(A76,'模型流与公式'!$A$5:$A$204,0))),""),""))</x:f>
      </x:c>
      <x:c r="M76" s="18" t="str">
        <x:f>IF(A76="","",IF(B76="Edge",IFERROR(IF(INDEX('模型流与公式'!$Q$5:$Q$204,MATCH(A76,'模型流与公式'!$A$5:$A$204,0))="","",INDEX('模型流与公式'!$Q$5:$Q$204,MATCH(A76,'模型流与公式'!$A$5:$A$204,0))),""),""))</x:f>
      </x:c>
      <x:c r="N76" s="18"/>
      <x:c r="O76" s="18"/>
      <x:c r="P76" s="18"/>
      <x:c r="Q76" s="18"/>
      <x:c r="R76" s="18"/>
      <x:c r="S76" s="18"/>
      <x:c r="T76" s="18"/>
      <x:c r="U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30" t="str">
        <x:f>IF(A77="","",IF(B77="Edge",IFERROR(IF(INDEX('模型流与公式'!$P$5:$P$204,MATCH(A77,'模型流与公式'!$A$5:$A$204,0))="","",INDEX('模型流与公式'!$P$5:$P$204,MATCH(A77,'模型流与公式'!$A$5:$A$204,0))),""),""))</x:f>
      </x:c>
      <x:c r="M77" s="18" t="str">
        <x:f>IF(A77="","",IF(B77="Edge",IFERROR(IF(INDEX('模型流与公式'!$Q$5:$Q$204,MATCH(A77,'模型流与公式'!$A$5:$A$204,0))="","",INDEX('模型流与公式'!$Q$5:$Q$204,MATCH(A77,'模型流与公式'!$A$5:$A$204,0))),""),""))</x:f>
      </x:c>
      <x:c r="N77" s="18"/>
      <x:c r="O77" s="18"/>
      <x:c r="P77" s="18"/>
      <x:c r="Q77" s="18"/>
      <x:c r="R77" s="18"/>
      <x:c r="S77" s="18"/>
      <x:c r="T77" s="18"/>
      <x:c r="U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30" t="str">
        <x:f>IF(A78="","",IF(B78="Edge",IFERROR(IF(INDEX('模型流与公式'!$P$5:$P$204,MATCH(A78,'模型流与公式'!$A$5:$A$204,0))="","",INDEX('模型流与公式'!$P$5:$P$204,MATCH(A78,'模型流与公式'!$A$5:$A$204,0))),""),""))</x:f>
      </x:c>
      <x:c r="M78" s="18" t="str">
        <x:f>IF(A78="","",IF(B78="Edge",IFERROR(IF(INDEX('模型流与公式'!$Q$5:$Q$204,MATCH(A78,'模型流与公式'!$A$5:$A$204,0))="","",INDEX('模型流与公式'!$Q$5:$Q$204,MATCH(A78,'模型流与公式'!$A$5:$A$204,0))),""),""))</x:f>
      </x:c>
      <x:c r="N78" s="18"/>
      <x:c r="O78" s="18"/>
      <x:c r="P78" s="18"/>
      <x:c r="Q78" s="18"/>
      <x:c r="R78" s="18"/>
      <x:c r="S78" s="18"/>
      <x:c r="T78" s="18"/>
      <x:c r="U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30" t="str">
        <x:f>IF(A79="","",IF(B79="Edge",IFERROR(IF(INDEX('模型流与公式'!$P$5:$P$204,MATCH(A79,'模型流与公式'!$A$5:$A$204,0))="","",INDEX('模型流与公式'!$P$5:$P$204,MATCH(A79,'模型流与公式'!$A$5:$A$204,0))),""),""))</x:f>
      </x:c>
      <x:c r="M79" s="18" t="str">
        <x:f>IF(A79="","",IF(B79="Edge",IFERROR(IF(INDEX('模型流与公式'!$Q$5:$Q$204,MATCH(A79,'模型流与公式'!$A$5:$A$204,0))="","",INDEX('模型流与公式'!$Q$5:$Q$204,MATCH(A79,'模型流与公式'!$A$5:$A$204,0))),""),""))</x:f>
      </x:c>
      <x:c r="N79" s="18"/>
      <x:c r="O79" s="18"/>
      <x:c r="P79" s="18"/>
      <x:c r="Q79" s="18"/>
      <x:c r="R79" s="18"/>
      <x:c r="S79" s="18"/>
      <x:c r="T79" s="18"/>
      <x:c r="U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30" t="str">
        <x:f>IF(A80="","",IF(B80="Edge",IFERROR(IF(INDEX('模型流与公式'!$P$5:$P$204,MATCH(A80,'模型流与公式'!$A$5:$A$204,0))="","",INDEX('模型流与公式'!$P$5:$P$204,MATCH(A80,'模型流与公式'!$A$5:$A$204,0))),""),""))</x:f>
      </x:c>
      <x:c r="M80" s="18" t="str">
        <x:f>IF(A80="","",IF(B80="Edge",IFERROR(IF(INDEX('模型流与公式'!$Q$5:$Q$204,MATCH(A80,'模型流与公式'!$A$5:$A$204,0))="","",INDEX('模型流与公式'!$Q$5:$Q$204,MATCH(A80,'模型流与公式'!$A$5:$A$204,0))),""),""))</x:f>
      </x:c>
      <x:c r="N80" s="18"/>
      <x:c r="O80" s="18"/>
      <x:c r="P80" s="18"/>
      <x:c r="Q80" s="18"/>
      <x:c r="R80" s="18"/>
      <x:c r="S80" s="18"/>
      <x:c r="T80" s="18"/>
      <x:c r="U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30" t="str">
        <x:f>IF(A81="","",IF(B81="Edge",IFERROR(IF(INDEX('模型流与公式'!$P$5:$P$204,MATCH(A81,'模型流与公式'!$A$5:$A$204,0))="","",INDEX('模型流与公式'!$P$5:$P$204,MATCH(A81,'模型流与公式'!$A$5:$A$204,0))),""),""))</x:f>
      </x:c>
      <x:c r="M81" s="18" t="str">
        <x:f>IF(A81="","",IF(B81="Edge",IFERROR(IF(INDEX('模型流与公式'!$Q$5:$Q$204,MATCH(A81,'模型流与公式'!$A$5:$A$204,0))="","",INDEX('模型流与公式'!$Q$5:$Q$204,MATCH(A81,'模型流与公式'!$A$5:$A$204,0))),""),""))</x:f>
      </x:c>
      <x:c r="N81" s="18"/>
      <x:c r="O81" s="18"/>
      <x:c r="P81" s="18"/>
      <x:c r="Q81" s="18"/>
      <x:c r="R81" s="18"/>
      <x:c r="S81" s="18"/>
      <x:c r="T81" s="18"/>
      <x:c r="U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30" t="str">
        <x:f>IF(A82="","",IF(B82="Edge",IFERROR(IF(INDEX('模型流与公式'!$P$5:$P$204,MATCH(A82,'模型流与公式'!$A$5:$A$204,0))="","",INDEX('模型流与公式'!$P$5:$P$204,MATCH(A82,'模型流与公式'!$A$5:$A$204,0))),""),""))</x:f>
      </x:c>
      <x:c r="M82" s="18" t="str">
        <x:f>IF(A82="","",IF(B82="Edge",IFERROR(IF(INDEX('模型流与公式'!$Q$5:$Q$204,MATCH(A82,'模型流与公式'!$A$5:$A$204,0))="","",INDEX('模型流与公式'!$Q$5:$Q$204,MATCH(A82,'模型流与公式'!$A$5:$A$204,0))),""),""))</x:f>
      </x:c>
      <x:c r="N82" s="18"/>
      <x:c r="O82" s="18"/>
      <x:c r="P82" s="18"/>
      <x:c r="Q82" s="18"/>
      <x:c r="R82" s="18"/>
      <x:c r="S82" s="18"/>
      <x:c r="T82" s="18"/>
      <x:c r="U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30" t="str">
        <x:f>IF(A83="","",IF(B83="Edge",IFERROR(IF(INDEX('模型流与公式'!$P$5:$P$204,MATCH(A83,'模型流与公式'!$A$5:$A$204,0))="","",INDEX('模型流与公式'!$P$5:$P$204,MATCH(A83,'模型流与公式'!$A$5:$A$204,0))),""),""))</x:f>
      </x:c>
      <x:c r="M83" s="18" t="str">
        <x:f>IF(A83="","",IF(B83="Edge",IFERROR(IF(INDEX('模型流与公式'!$Q$5:$Q$204,MATCH(A83,'模型流与公式'!$A$5:$A$204,0))="","",INDEX('模型流与公式'!$Q$5:$Q$204,MATCH(A83,'模型流与公式'!$A$5:$A$204,0))),""),""))</x:f>
      </x:c>
      <x:c r="N83" s="18"/>
      <x:c r="O83" s="18"/>
      <x:c r="P83" s="18"/>
      <x:c r="Q83" s="18"/>
      <x:c r="R83" s="18"/>
      <x:c r="S83" s="18"/>
      <x:c r="T83" s="18"/>
      <x:c r="U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30" t="str">
        <x:f>IF(A84="","",IF(B84="Edge",IFERROR(IF(INDEX('模型流与公式'!$P$5:$P$204,MATCH(A84,'模型流与公式'!$A$5:$A$204,0))="","",INDEX('模型流与公式'!$P$5:$P$204,MATCH(A84,'模型流与公式'!$A$5:$A$204,0))),""),""))</x:f>
      </x:c>
      <x:c r="M84" s="18" t="str">
        <x:f>IF(A84="","",IF(B84="Edge",IFERROR(IF(INDEX('模型流与公式'!$Q$5:$Q$204,MATCH(A84,'模型流与公式'!$A$5:$A$204,0))="","",INDEX('模型流与公式'!$Q$5:$Q$204,MATCH(A84,'模型流与公式'!$A$5:$A$204,0))),""),""))</x:f>
      </x:c>
      <x:c r="N84" s="18"/>
      <x:c r="O84" s="18"/>
      <x:c r="P84" s="18"/>
      <x:c r="Q84" s="18"/>
      <x:c r="R84" s="18"/>
      <x:c r="S84" s="18"/>
      <x:c r="T84" s="18"/>
      <x:c r="U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30" t="str">
        <x:f>IF(A85="","",IF(B85="Edge",IFERROR(IF(INDEX('模型流与公式'!$P$5:$P$204,MATCH(A85,'模型流与公式'!$A$5:$A$204,0))="","",INDEX('模型流与公式'!$P$5:$P$204,MATCH(A85,'模型流与公式'!$A$5:$A$204,0))),""),""))</x:f>
      </x:c>
      <x:c r="M85" s="18" t="str">
        <x:f>IF(A85="","",IF(B85="Edge",IFERROR(IF(INDEX('模型流与公式'!$Q$5:$Q$204,MATCH(A85,'模型流与公式'!$A$5:$A$204,0))="","",INDEX('模型流与公式'!$Q$5:$Q$204,MATCH(A85,'模型流与公式'!$A$5:$A$204,0))),""),""))</x:f>
      </x:c>
      <x:c r="N85" s="18"/>
      <x:c r="O85" s="18"/>
      <x:c r="P85" s="18"/>
      <x:c r="Q85" s="18"/>
      <x:c r="R85" s="18"/>
      <x:c r="S85" s="18"/>
      <x:c r="T85" s="18"/>
      <x:c r="U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30" t="str">
        <x:f>IF(A86="","",IF(B86="Edge",IFERROR(IF(INDEX('模型流与公式'!$P$5:$P$204,MATCH(A86,'模型流与公式'!$A$5:$A$204,0))="","",INDEX('模型流与公式'!$P$5:$P$204,MATCH(A86,'模型流与公式'!$A$5:$A$204,0))),""),""))</x:f>
      </x:c>
      <x:c r="M86" s="18" t="str">
        <x:f>IF(A86="","",IF(B86="Edge",IFERROR(IF(INDEX('模型流与公式'!$Q$5:$Q$204,MATCH(A86,'模型流与公式'!$A$5:$A$204,0))="","",INDEX('模型流与公式'!$Q$5:$Q$204,MATCH(A86,'模型流与公式'!$A$5:$A$204,0))),""),""))</x:f>
      </x:c>
      <x:c r="N86" s="18"/>
      <x:c r="O86" s="18"/>
      <x:c r="P86" s="18"/>
      <x:c r="Q86" s="18"/>
      <x:c r="R86" s="18"/>
      <x:c r="S86" s="18"/>
      <x:c r="T86" s="18"/>
      <x:c r="U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30" t="str">
        <x:f>IF(A87="","",IF(B87="Edge",IFERROR(IF(INDEX('模型流与公式'!$P$5:$P$204,MATCH(A87,'模型流与公式'!$A$5:$A$204,0))="","",INDEX('模型流与公式'!$P$5:$P$204,MATCH(A87,'模型流与公式'!$A$5:$A$204,0))),""),""))</x:f>
      </x:c>
      <x:c r="M87" s="18" t="str">
        <x:f>IF(A87="","",IF(B87="Edge",IFERROR(IF(INDEX('模型流与公式'!$Q$5:$Q$204,MATCH(A87,'模型流与公式'!$A$5:$A$204,0))="","",INDEX('模型流与公式'!$Q$5:$Q$204,MATCH(A87,'模型流与公式'!$A$5:$A$204,0))),""),""))</x:f>
      </x:c>
      <x:c r="N87" s="18"/>
      <x:c r="O87" s="18"/>
      <x:c r="P87" s="18"/>
      <x:c r="Q87" s="18"/>
      <x:c r="R87" s="18"/>
      <x:c r="S87" s="18"/>
      <x:c r="T87" s="18"/>
      <x:c r="U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30" t="str">
        <x:f>IF(A88="","",IF(B88="Edge",IFERROR(IF(INDEX('模型流与公式'!$P$5:$P$204,MATCH(A88,'模型流与公式'!$A$5:$A$204,0))="","",INDEX('模型流与公式'!$P$5:$P$204,MATCH(A88,'模型流与公式'!$A$5:$A$204,0))),""),""))</x:f>
      </x:c>
      <x:c r="M88" s="18" t="str">
        <x:f>IF(A88="","",IF(B88="Edge",IFERROR(IF(INDEX('模型流与公式'!$Q$5:$Q$204,MATCH(A88,'模型流与公式'!$A$5:$A$204,0))="","",INDEX('模型流与公式'!$Q$5:$Q$204,MATCH(A88,'模型流与公式'!$A$5:$A$204,0))),""),""))</x:f>
      </x:c>
      <x:c r="N88" s="18"/>
      <x:c r="O88" s="18"/>
      <x:c r="P88" s="18"/>
      <x:c r="Q88" s="18"/>
      <x:c r="R88" s="18"/>
      <x:c r="S88" s="18"/>
      <x:c r="T88" s="18"/>
      <x:c r="U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30" t="str">
        <x:f>IF(A89="","",IF(B89="Edge",IFERROR(IF(INDEX('模型流与公式'!$P$5:$P$204,MATCH(A89,'模型流与公式'!$A$5:$A$204,0))="","",INDEX('模型流与公式'!$P$5:$P$204,MATCH(A89,'模型流与公式'!$A$5:$A$204,0))),""),""))</x:f>
      </x:c>
      <x:c r="M89" s="18" t="str">
        <x:f>IF(A89="","",IF(B89="Edge",IFERROR(IF(INDEX('模型流与公式'!$Q$5:$Q$204,MATCH(A89,'模型流与公式'!$A$5:$A$204,0))="","",INDEX('模型流与公式'!$Q$5:$Q$204,MATCH(A89,'模型流与公式'!$A$5:$A$204,0))),""),""))</x:f>
      </x:c>
      <x:c r="N89" s="18"/>
      <x:c r="O89" s="18"/>
      <x:c r="P89" s="18"/>
      <x:c r="Q89" s="18"/>
      <x:c r="R89" s="18"/>
      <x:c r="S89" s="18"/>
      <x:c r="T89" s="18"/>
      <x:c r="U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30" t="str">
        <x:f>IF(A90="","",IF(B90="Edge",IFERROR(IF(INDEX('模型流与公式'!$P$5:$P$204,MATCH(A90,'模型流与公式'!$A$5:$A$204,0))="","",INDEX('模型流与公式'!$P$5:$P$204,MATCH(A90,'模型流与公式'!$A$5:$A$204,0))),""),""))</x:f>
      </x:c>
      <x:c r="M90" s="18" t="str">
        <x:f>IF(A90="","",IF(B90="Edge",IFERROR(IF(INDEX('模型流与公式'!$Q$5:$Q$204,MATCH(A90,'模型流与公式'!$A$5:$A$204,0))="","",INDEX('模型流与公式'!$Q$5:$Q$204,MATCH(A90,'模型流与公式'!$A$5:$A$204,0))),""),""))</x:f>
      </x:c>
      <x:c r="N90" s="18"/>
      <x:c r="O90" s="18"/>
      <x:c r="P90" s="18"/>
      <x:c r="Q90" s="18"/>
      <x:c r="R90" s="18"/>
      <x:c r="S90" s="18"/>
      <x:c r="T90" s="18"/>
      <x:c r="U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30" t="str">
        <x:f>IF(A91="","",IF(B91="Edge",IFERROR(IF(INDEX('模型流与公式'!$P$5:$P$204,MATCH(A91,'模型流与公式'!$A$5:$A$204,0))="","",INDEX('模型流与公式'!$P$5:$P$204,MATCH(A91,'模型流与公式'!$A$5:$A$204,0))),""),""))</x:f>
      </x:c>
      <x:c r="M91" s="18" t="str">
        <x:f>IF(A91="","",IF(B91="Edge",IFERROR(IF(INDEX('模型流与公式'!$Q$5:$Q$204,MATCH(A91,'模型流与公式'!$A$5:$A$204,0))="","",INDEX('模型流与公式'!$Q$5:$Q$204,MATCH(A91,'模型流与公式'!$A$5:$A$204,0))),""),""))</x:f>
      </x:c>
      <x:c r="N91" s="18"/>
      <x:c r="O91" s="18"/>
      <x:c r="P91" s="18"/>
      <x:c r="Q91" s="18"/>
      <x:c r="R91" s="18"/>
      <x:c r="S91" s="18"/>
      <x:c r="T91" s="18"/>
      <x:c r="U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30" t="str">
        <x:f>IF(A92="","",IF(B92="Edge",IFERROR(IF(INDEX('模型流与公式'!$P$5:$P$204,MATCH(A92,'模型流与公式'!$A$5:$A$204,0))="","",INDEX('模型流与公式'!$P$5:$P$204,MATCH(A92,'模型流与公式'!$A$5:$A$204,0))),""),""))</x:f>
      </x:c>
      <x:c r="M92" s="18" t="str">
        <x:f>IF(A92="","",IF(B92="Edge",IFERROR(IF(INDEX('模型流与公式'!$Q$5:$Q$204,MATCH(A92,'模型流与公式'!$A$5:$A$204,0))="","",INDEX('模型流与公式'!$Q$5:$Q$204,MATCH(A92,'模型流与公式'!$A$5:$A$204,0))),""),""))</x:f>
      </x:c>
      <x:c r="N92" s="18"/>
      <x:c r="O92" s="18"/>
      <x:c r="P92" s="18"/>
      <x:c r="Q92" s="18"/>
      <x:c r="R92" s="18"/>
      <x:c r="S92" s="18"/>
      <x:c r="T92" s="18"/>
      <x:c r="U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30" t="str">
        <x:f>IF(A93="","",IF(B93="Edge",IFERROR(IF(INDEX('模型流与公式'!$P$5:$P$204,MATCH(A93,'模型流与公式'!$A$5:$A$204,0))="","",INDEX('模型流与公式'!$P$5:$P$204,MATCH(A93,'模型流与公式'!$A$5:$A$204,0))),""),""))</x:f>
      </x:c>
      <x:c r="M93" s="18" t="str">
        <x:f>IF(A93="","",IF(B93="Edge",IFERROR(IF(INDEX('模型流与公式'!$Q$5:$Q$204,MATCH(A93,'模型流与公式'!$A$5:$A$204,0))="","",INDEX('模型流与公式'!$Q$5:$Q$204,MATCH(A93,'模型流与公式'!$A$5:$A$204,0))),""),""))</x:f>
      </x:c>
      <x:c r="N93" s="18"/>
      <x:c r="O93" s="18"/>
      <x:c r="P93" s="18"/>
      <x:c r="Q93" s="18"/>
      <x:c r="R93" s="18"/>
      <x:c r="S93" s="18"/>
      <x:c r="T93" s="18"/>
      <x:c r="U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30" t="str">
        <x:f>IF(A94="","",IF(B94="Edge",IFERROR(IF(INDEX('模型流与公式'!$P$5:$P$204,MATCH(A94,'模型流与公式'!$A$5:$A$204,0))="","",INDEX('模型流与公式'!$P$5:$P$204,MATCH(A94,'模型流与公式'!$A$5:$A$204,0))),""),""))</x:f>
      </x:c>
      <x:c r="M94" s="18" t="str">
        <x:f>IF(A94="","",IF(B94="Edge",IFERROR(IF(INDEX('模型流与公式'!$Q$5:$Q$204,MATCH(A94,'模型流与公式'!$A$5:$A$204,0))="","",INDEX('模型流与公式'!$Q$5:$Q$204,MATCH(A94,'模型流与公式'!$A$5:$A$204,0))),""),""))</x:f>
      </x:c>
      <x:c r="N94" s="18"/>
      <x:c r="O94" s="18"/>
      <x:c r="P94" s="18"/>
      <x:c r="Q94" s="18"/>
      <x:c r="R94" s="18"/>
      <x:c r="S94" s="18"/>
      <x:c r="T94" s="18"/>
      <x:c r="U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30" t="str">
        <x:f>IF(A95="","",IF(B95="Edge",IFERROR(IF(INDEX('模型流与公式'!$P$5:$P$204,MATCH(A95,'模型流与公式'!$A$5:$A$204,0))="","",INDEX('模型流与公式'!$P$5:$P$204,MATCH(A95,'模型流与公式'!$A$5:$A$204,0))),""),""))</x:f>
      </x:c>
      <x:c r="M95" s="18" t="str">
        <x:f>IF(A95="","",IF(B95="Edge",IFERROR(IF(INDEX('模型流与公式'!$Q$5:$Q$204,MATCH(A95,'模型流与公式'!$A$5:$A$204,0))="","",INDEX('模型流与公式'!$Q$5:$Q$204,MATCH(A95,'模型流与公式'!$A$5:$A$204,0))),""),""))</x:f>
      </x:c>
      <x:c r="N95" s="18"/>
      <x:c r="O95" s="18"/>
      <x:c r="P95" s="18"/>
      <x:c r="Q95" s="18"/>
      <x:c r="R95" s="18"/>
      <x:c r="S95" s="18"/>
      <x:c r="T95" s="18"/>
      <x:c r="U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30" t="str">
        <x:f>IF(A96="","",IF(B96="Edge",IFERROR(IF(INDEX('模型流与公式'!$P$5:$P$204,MATCH(A96,'模型流与公式'!$A$5:$A$204,0))="","",INDEX('模型流与公式'!$P$5:$P$204,MATCH(A96,'模型流与公式'!$A$5:$A$204,0))),""),""))</x:f>
      </x:c>
      <x:c r="M96" s="18" t="str">
        <x:f>IF(A96="","",IF(B96="Edge",IFERROR(IF(INDEX('模型流与公式'!$Q$5:$Q$204,MATCH(A96,'模型流与公式'!$A$5:$A$204,0))="","",INDEX('模型流与公式'!$Q$5:$Q$204,MATCH(A96,'模型流与公式'!$A$5:$A$204,0))),""),""))</x:f>
      </x:c>
      <x:c r="N96" s="18"/>
      <x:c r="O96" s="18"/>
      <x:c r="P96" s="18"/>
      <x:c r="Q96" s="18"/>
      <x:c r="R96" s="18"/>
      <x:c r="S96" s="18"/>
      <x:c r="T96" s="18"/>
      <x:c r="U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30" t="str">
        <x:f>IF(A97="","",IF(B97="Edge",IFERROR(IF(INDEX('模型流与公式'!$P$5:$P$204,MATCH(A97,'模型流与公式'!$A$5:$A$204,0))="","",INDEX('模型流与公式'!$P$5:$P$204,MATCH(A97,'模型流与公式'!$A$5:$A$204,0))),""),""))</x:f>
      </x:c>
      <x:c r="M97" s="18" t="str">
        <x:f>IF(A97="","",IF(B97="Edge",IFERROR(IF(INDEX('模型流与公式'!$Q$5:$Q$204,MATCH(A97,'模型流与公式'!$A$5:$A$204,0))="","",INDEX('模型流与公式'!$Q$5:$Q$204,MATCH(A97,'模型流与公式'!$A$5:$A$204,0))),""),""))</x:f>
      </x:c>
      <x:c r="N97" s="18"/>
      <x:c r="O97" s="18"/>
      <x:c r="P97" s="18"/>
      <x:c r="Q97" s="18"/>
      <x:c r="R97" s="18"/>
      <x:c r="S97" s="18"/>
      <x:c r="T97" s="18"/>
      <x:c r="U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30" t="str">
        <x:f>IF(A98="","",IF(B98="Edge",IFERROR(IF(INDEX('模型流与公式'!$P$5:$P$204,MATCH(A98,'模型流与公式'!$A$5:$A$204,0))="","",INDEX('模型流与公式'!$P$5:$P$204,MATCH(A98,'模型流与公式'!$A$5:$A$204,0))),""),""))</x:f>
      </x:c>
      <x:c r="M98" s="18" t="str">
        <x:f>IF(A98="","",IF(B98="Edge",IFERROR(IF(INDEX('模型流与公式'!$Q$5:$Q$204,MATCH(A98,'模型流与公式'!$A$5:$A$204,0))="","",INDEX('模型流与公式'!$Q$5:$Q$204,MATCH(A98,'模型流与公式'!$A$5:$A$204,0))),""),""))</x:f>
      </x:c>
      <x:c r="N98" s="18"/>
      <x:c r="O98" s="18"/>
      <x:c r="P98" s="18"/>
      <x:c r="Q98" s="18"/>
      <x:c r="R98" s="18"/>
      <x:c r="S98" s="18"/>
      <x:c r="T98" s="18"/>
      <x:c r="U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30" t="str">
        <x:f>IF(A99="","",IF(B99="Edge",IFERROR(IF(INDEX('模型流与公式'!$P$5:$P$204,MATCH(A99,'模型流与公式'!$A$5:$A$204,0))="","",INDEX('模型流与公式'!$P$5:$P$204,MATCH(A99,'模型流与公式'!$A$5:$A$204,0))),""),""))</x:f>
      </x:c>
      <x:c r="M99" s="18" t="str">
        <x:f>IF(A99="","",IF(B99="Edge",IFERROR(IF(INDEX('模型流与公式'!$Q$5:$Q$204,MATCH(A99,'模型流与公式'!$A$5:$A$204,0))="","",INDEX('模型流与公式'!$Q$5:$Q$204,MATCH(A99,'模型流与公式'!$A$5:$A$204,0))),""),""))</x:f>
      </x:c>
      <x:c r="N99" s="18"/>
      <x:c r="O99" s="18"/>
      <x:c r="P99" s="18"/>
      <x:c r="Q99" s="18"/>
      <x:c r="R99" s="18"/>
      <x:c r="S99" s="18"/>
      <x:c r="T99" s="18"/>
      <x:c r="U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30" t="str">
        <x:f>IF(A100="","",IF(B100="Edge",IFERROR(IF(INDEX('模型流与公式'!$P$5:$P$204,MATCH(A100,'模型流与公式'!$A$5:$A$204,0))="","",INDEX('模型流与公式'!$P$5:$P$204,MATCH(A100,'模型流与公式'!$A$5:$A$204,0))),""),""))</x:f>
      </x:c>
      <x:c r="M100" s="18" t="str">
        <x:f>IF(A100="","",IF(B100="Edge",IFERROR(IF(INDEX('模型流与公式'!$Q$5:$Q$204,MATCH(A100,'模型流与公式'!$A$5:$A$204,0))="","",INDEX('模型流与公式'!$Q$5:$Q$204,MATCH(A100,'模型流与公式'!$A$5:$A$204,0))),""),""))</x:f>
      </x:c>
      <x:c r="N100" s="18"/>
      <x:c r="O100" s="18"/>
      <x:c r="P100" s="18"/>
      <x:c r="Q100" s="18"/>
      <x:c r="R100" s="18"/>
      <x:c r="S100" s="18"/>
      <x:c r="T100" s="18"/>
      <x:c r="U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30" t="str">
        <x:f>IF(A101="","",IF(B101="Edge",IFERROR(IF(INDEX('模型流与公式'!$P$5:$P$204,MATCH(A101,'模型流与公式'!$A$5:$A$204,0))="","",INDEX('模型流与公式'!$P$5:$P$204,MATCH(A101,'模型流与公式'!$A$5:$A$204,0))),""),""))</x:f>
      </x:c>
      <x:c r="M101" s="18" t="str">
        <x:f>IF(A101="","",IF(B101="Edge",IFERROR(IF(INDEX('模型流与公式'!$Q$5:$Q$204,MATCH(A101,'模型流与公式'!$A$5:$A$204,0))="","",INDEX('模型流与公式'!$Q$5:$Q$204,MATCH(A101,'模型流与公式'!$A$5:$A$204,0))),""),""))</x:f>
      </x:c>
      <x:c r="N101" s="18"/>
      <x:c r="O101" s="18"/>
      <x:c r="P101" s="18"/>
      <x:c r="Q101" s="18"/>
      <x:c r="R101" s="18"/>
      <x:c r="S101" s="18"/>
      <x:c r="T101" s="18"/>
      <x:c r="U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30" t="str">
        <x:f>IF(A102="","",IF(B102="Edge",IFERROR(IF(INDEX('模型流与公式'!$P$5:$P$204,MATCH(A102,'模型流与公式'!$A$5:$A$204,0))="","",INDEX('模型流与公式'!$P$5:$P$204,MATCH(A102,'模型流与公式'!$A$5:$A$204,0))),""),""))</x:f>
      </x:c>
      <x:c r="M102" s="18" t="str">
        <x:f>IF(A102="","",IF(B102="Edge",IFERROR(IF(INDEX('模型流与公式'!$Q$5:$Q$204,MATCH(A102,'模型流与公式'!$A$5:$A$204,0))="","",INDEX('模型流与公式'!$Q$5:$Q$204,MATCH(A102,'模型流与公式'!$A$5:$A$204,0))),""),""))</x:f>
      </x:c>
      <x:c r="N102" s="18"/>
      <x:c r="O102" s="18"/>
      <x:c r="P102" s="18"/>
      <x:c r="Q102" s="18"/>
      <x:c r="R102" s="18"/>
      <x:c r="S102" s="18"/>
      <x:c r="T102" s="18"/>
      <x:c r="U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30" t="str">
        <x:f>IF(A103="","",IF(B103="Edge",IFERROR(IF(INDEX('模型流与公式'!$P$5:$P$204,MATCH(A103,'模型流与公式'!$A$5:$A$204,0))="","",INDEX('模型流与公式'!$P$5:$P$204,MATCH(A103,'模型流与公式'!$A$5:$A$204,0))),""),""))</x:f>
      </x:c>
      <x:c r="M103" s="18" t="str">
        <x:f>IF(A103="","",IF(B103="Edge",IFERROR(IF(INDEX('模型流与公式'!$Q$5:$Q$204,MATCH(A103,'模型流与公式'!$A$5:$A$204,0))="","",INDEX('模型流与公式'!$Q$5:$Q$204,MATCH(A103,'模型流与公式'!$A$5:$A$204,0))),""),""))</x:f>
      </x:c>
      <x:c r="N103" s="18"/>
      <x:c r="O103" s="18"/>
      <x:c r="P103" s="18"/>
      <x:c r="Q103" s="18"/>
      <x:c r="R103" s="18"/>
      <x:c r="S103" s="18"/>
      <x:c r="T103" s="18"/>
      <x:c r="U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30" t="str">
        <x:f>IF(A104="","",IF(B104="Edge",IFERROR(IF(INDEX('模型流与公式'!$P$5:$P$204,MATCH(A104,'模型流与公式'!$A$5:$A$204,0))="","",INDEX('模型流与公式'!$P$5:$P$204,MATCH(A104,'模型流与公式'!$A$5:$A$204,0))),""),""))</x:f>
      </x:c>
      <x:c r="M104" s="18" t="str">
        <x:f>IF(A104="","",IF(B104="Edge",IFERROR(IF(INDEX('模型流与公式'!$Q$5:$Q$204,MATCH(A104,'模型流与公式'!$A$5:$A$204,0))="","",INDEX('模型流与公式'!$Q$5:$Q$204,MATCH(A104,'模型流与公式'!$A$5:$A$204,0))),""),""))</x:f>
      </x:c>
      <x:c r="N104" s="18"/>
      <x:c r="O104" s="18"/>
      <x:c r="P104" s="18"/>
      <x:c r="Q104" s="18"/>
      <x:c r="R104" s="18"/>
      <x:c r="S104" s="18"/>
      <x:c r="T104" s="18"/>
      <x:c r="U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30" t="str">
        <x:f>IF(A105="","",IF(B105="Edge",IFERROR(IF(INDEX('模型流与公式'!$P$5:$P$204,MATCH(A105,'模型流与公式'!$A$5:$A$204,0))="","",INDEX('模型流与公式'!$P$5:$P$204,MATCH(A105,'模型流与公式'!$A$5:$A$204,0))),""),""))</x:f>
      </x:c>
      <x:c r="M105" s="18" t="str">
        <x:f>IF(A105="","",IF(B105="Edge",IFERROR(IF(INDEX('模型流与公式'!$Q$5:$Q$204,MATCH(A105,'模型流与公式'!$A$5:$A$204,0))="","",INDEX('模型流与公式'!$Q$5:$Q$204,MATCH(A105,'模型流与公式'!$A$5:$A$204,0))),""),""))</x:f>
      </x:c>
      <x:c r="N105" s="18"/>
      <x:c r="O105" s="18"/>
      <x:c r="P105" s="18"/>
      <x:c r="Q105" s="18"/>
      <x:c r="R105" s="18"/>
      <x:c r="S105" s="18"/>
      <x:c r="T105" s="18"/>
      <x:c r="U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30" t="str">
        <x:f>IF(A106="","",IF(B106="Edge",IFERROR(IF(INDEX('模型流与公式'!$P$5:$P$204,MATCH(A106,'模型流与公式'!$A$5:$A$204,0))="","",INDEX('模型流与公式'!$P$5:$P$204,MATCH(A106,'模型流与公式'!$A$5:$A$204,0))),""),""))</x:f>
      </x:c>
      <x:c r="M106" s="18" t="str">
        <x:f>IF(A106="","",IF(B106="Edge",IFERROR(IF(INDEX('模型流与公式'!$Q$5:$Q$204,MATCH(A106,'模型流与公式'!$A$5:$A$204,0))="","",INDEX('模型流与公式'!$Q$5:$Q$204,MATCH(A106,'模型流与公式'!$A$5:$A$204,0))),""),""))</x:f>
      </x:c>
      <x:c r="N106" s="18"/>
      <x:c r="O106" s="18"/>
      <x:c r="P106" s="18"/>
      <x:c r="Q106" s="18"/>
      <x:c r="R106" s="18"/>
      <x:c r="S106" s="18"/>
      <x:c r="T106" s="18"/>
      <x:c r="U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30" t="str">
        <x:f>IF(A107="","",IF(B107="Edge",IFERROR(IF(INDEX('模型流与公式'!$P$5:$P$204,MATCH(A107,'模型流与公式'!$A$5:$A$204,0))="","",INDEX('模型流与公式'!$P$5:$P$204,MATCH(A107,'模型流与公式'!$A$5:$A$204,0))),""),""))</x:f>
      </x:c>
      <x:c r="M107" s="18" t="str">
        <x:f>IF(A107="","",IF(B107="Edge",IFERROR(IF(INDEX('模型流与公式'!$Q$5:$Q$204,MATCH(A107,'模型流与公式'!$A$5:$A$204,0))="","",INDEX('模型流与公式'!$Q$5:$Q$204,MATCH(A107,'模型流与公式'!$A$5:$A$204,0))),""),""))</x:f>
      </x:c>
      <x:c r="N107" s="18"/>
      <x:c r="O107" s="18"/>
      <x:c r="P107" s="18"/>
      <x:c r="Q107" s="18"/>
      <x:c r="R107" s="18"/>
      <x:c r="S107" s="18"/>
      <x:c r="T107" s="18"/>
      <x:c r="U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30" t="str">
        <x:f>IF(A108="","",IF(B108="Edge",IFERROR(IF(INDEX('模型流与公式'!$P$5:$P$204,MATCH(A108,'模型流与公式'!$A$5:$A$204,0))="","",INDEX('模型流与公式'!$P$5:$P$204,MATCH(A108,'模型流与公式'!$A$5:$A$204,0))),""),""))</x:f>
      </x:c>
      <x:c r="M108" s="18" t="str">
        <x:f>IF(A108="","",IF(B108="Edge",IFERROR(IF(INDEX('模型流与公式'!$Q$5:$Q$204,MATCH(A108,'模型流与公式'!$A$5:$A$204,0))="","",INDEX('模型流与公式'!$Q$5:$Q$204,MATCH(A108,'模型流与公式'!$A$5:$A$204,0))),""),""))</x:f>
      </x:c>
      <x:c r="N108" s="18"/>
      <x:c r="O108" s="18"/>
      <x:c r="P108" s="18"/>
      <x:c r="Q108" s="18"/>
      <x:c r="R108" s="18"/>
      <x:c r="S108" s="18"/>
      <x:c r="T108" s="18"/>
      <x:c r="U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30" t="str">
        <x:f>IF(A109="","",IF(B109="Edge",IFERROR(IF(INDEX('模型流与公式'!$P$5:$P$204,MATCH(A109,'模型流与公式'!$A$5:$A$204,0))="","",INDEX('模型流与公式'!$P$5:$P$204,MATCH(A109,'模型流与公式'!$A$5:$A$204,0))),""),""))</x:f>
      </x:c>
      <x:c r="M109" s="18" t="str">
        <x:f>IF(A109="","",IF(B109="Edge",IFERROR(IF(INDEX('模型流与公式'!$Q$5:$Q$204,MATCH(A109,'模型流与公式'!$A$5:$A$204,0))="","",INDEX('模型流与公式'!$Q$5:$Q$204,MATCH(A109,'模型流与公式'!$A$5:$A$204,0))),""),""))</x:f>
      </x:c>
      <x:c r="N109" s="18"/>
      <x:c r="O109" s="18"/>
      <x:c r="P109" s="18"/>
      <x:c r="Q109" s="18"/>
      <x:c r="R109" s="18"/>
      <x:c r="S109" s="18"/>
      <x:c r="T109" s="18"/>
      <x:c r="U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30" t="str">
        <x:f>IF(A110="","",IF(B110="Edge",IFERROR(IF(INDEX('模型流与公式'!$P$5:$P$204,MATCH(A110,'模型流与公式'!$A$5:$A$204,0))="","",INDEX('模型流与公式'!$P$5:$P$204,MATCH(A110,'模型流与公式'!$A$5:$A$204,0))),""),""))</x:f>
      </x:c>
      <x:c r="M110" s="18" t="str">
        <x:f>IF(A110="","",IF(B110="Edge",IFERROR(IF(INDEX('模型流与公式'!$Q$5:$Q$204,MATCH(A110,'模型流与公式'!$A$5:$A$204,0))="","",INDEX('模型流与公式'!$Q$5:$Q$204,MATCH(A110,'模型流与公式'!$A$5:$A$204,0))),""),""))</x:f>
      </x:c>
      <x:c r="N110" s="18"/>
      <x:c r="O110" s="18"/>
      <x:c r="P110" s="18"/>
      <x:c r="Q110" s="18"/>
      <x:c r="R110" s="18"/>
      <x:c r="S110" s="18"/>
      <x:c r="T110" s="18"/>
      <x:c r="U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30" t="str">
        <x:f>IF(A111="","",IF(B111="Edge",IFERROR(IF(INDEX('模型流与公式'!$P$5:$P$204,MATCH(A111,'模型流与公式'!$A$5:$A$204,0))="","",INDEX('模型流与公式'!$P$5:$P$204,MATCH(A111,'模型流与公式'!$A$5:$A$204,0))),""),""))</x:f>
      </x:c>
      <x:c r="M111" s="18" t="str">
        <x:f>IF(A111="","",IF(B111="Edge",IFERROR(IF(INDEX('模型流与公式'!$Q$5:$Q$204,MATCH(A111,'模型流与公式'!$A$5:$A$204,0))="","",INDEX('模型流与公式'!$Q$5:$Q$204,MATCH(A111,'模型流与公式'!$A$5:$A$204,0))),""),""))</x:f>
      </x:c>
      <x:c r="N111" s="18"/>
      <x:c r="O111" s="18"/>
      <x:c r="P111" s="18"/>
      <x:c r="Q111" s="18"/>
      <x:c r="R111" s="18"/>
      <x:c r="S111" s="18"/>
      <x:c r="T111" s="18"/>
      <x:c r="U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30" t="str">
        <x:f>IF(A112="","",IF(B112="Edge",IFERROR(IF(INDEX('模型流与公式'!$P$5:$P$204,MATCH(A112,'模型流与公式'!$A$5:$A$204,0))="","",INDEX('模型流与公式'!$P$5:$P$204,MATCH(A112,'模型流与公式'!$A$5:$A$204,0))),""),""))</x:f>
      </x:c>
      <x:c r="M112" s="18" t="str">
        <x:f>IF(A112="","",IF(B112="Edge",IFERROR(IF(INDEX('模型流与公式'!$Q$5:$Q$204,MATCH(A112,'模型流与公式'!$A$5:$A$204,0))="","",INDEX('模型流与公式'!$Q$5:$Q$204,MATCH(A112,'模型流与公式'!$A$5:$A$204,0))),""),""))</x:f>
      </x:c>
      <x:c r="N112" s="18"/>
      <x:c r="O112" s="18"/>
      <x:c r="P112" s="18"/>
      <x:c r="Q112" s="18"/>
      <x:c r="R112" s="18"/>
      <x:c r="S112" s="18"/>
      <x:c r="T112" s="18"/>
      <x:c r="U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30" t="str">
        <x:f>IF(A113="","",IF(B113="Edge",IFERROR(IF(INDEX('模型流与公式'!$P$5:$P$204,MATCH(A113,'模型流与公式'!$A$5:$A$204,0))="","",INDEX('模型流与公式'!$P$5:$P$204,MATCH(A113,'模型流与公式'!$A$5:$A$204,0))),""),""))</x:f>
      </x:c>
      <x:c r="M113" s="18" t="str">
        <x:f>IF(A113="","",IF(B113="Edge",IFERROR(IF(INDEX('模型流与公式'!$Q$5:$Q$204,MATCH(A113,'模型流与公式'!$A$5:$A$204,0))="","",INDEX('模型流与公式'!$Q$5:$Q$204,MATCH(A113,'模型流与公式'!$A$5:$A$204,0))),""),""))</x:f>
      </x:c>
      <x:c r="N113" s="18"/>
      <x:c r="O113" s="18"/>
      <x:c r="P113" s="18"/>
      <x:c r="Q113" s="18"/>
      <x:c r="R113" s="18"/>
      <x:c r="S113" s="18"/>
      <x:c r="T113" s="18"/>
      <x:c r="U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30" t="str">
        <x:f>IF(A114="","",IF(B114="Edge",IFERROR(IF(INDEX('模型流与公式'!$P$5:$P$204,MATCH(A114,'模型流与公式'!$A$5:$A$204,0))="","",INDEX('模型流与公式'!$P$5:$P$204,MATCH(A114,'模型流与公式'!$A$5:$A$204,0))),""),""))</x:f>
      </x:c>
      <x:c r="M114" s="18" t="str">
        <x:f>IF(A114="","",IF(B114="Edge",IFERROR(IF(INDEX('模型流与公式'!$Q$5:$Q$204,MATCH(A114,'模型流与公式'!$A$5:$A$204,0))="","",INDEX('模型流与公式'!$Q$5:$Q$204,MATCH(A114,'模型流与公式'!$A$5:$A$204,0))),""),""))</x:f>
      </x:c>
      <x:c r="N114" s="18"/>
      <x:c r="O114" s="18"/>
      <x:c r="P114" s="18"/>
      <x:c r="Q114" s="18"/>
      <x:c r="R114" s="18"/>
      <x:c r="S114" s="18"/>
      <x:c r="T114" s="18"/>
      <x:c r="U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30" t="str">
        <x:f>IF(A115="","",IF(B115="Edge",IFERROR(IF(INDEX('模型流与公式'!$P$5:$P$204,MATCH(A115,'模型流与公式'!$A$5:$A$204,0))="","",INDEX('模型流与公式'!$P$5:$P$204,MATCH(A115,'模型流与公式'!$A$5:$A$204,0))),""),""))</x:f>
      </x:c>
      <x:c r="M115" s="18" t="str">
        <x:f>IF(A115="","",IF(B115="Edge",IFERROR(IF(INDEX('模型流与公式'!$Q$5:$Q$204,MATCH(A115,'模型流与公式'!$A$5:$A$204,0))="","",INDEX('模型流与公式'!$Q$5:$Q$204,MATCH(A115,'模型流与公式'!$A$5:$A$204,0))),""),""))</x:f>
      </x:c>
      <x:c r="N115" s="18"/>
      <x:c r="O115" s="18"/>
      <x:c r="P115" s="18"/>
      <x:c r="Q115" s="18"/>
      <x:c r="R115" s="18"/>
      <x:c r="S115" s="18"/>
      <x:c r="T115" s="18"/>
      <x:c r="U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30" t="str">
        <x:f>IF(A116="","",IF(B116="Edge",IFERROR(IF(INDEX('模型流与公式'!$P$5:$P$204,MATCH(A116,'模型流与公式'!$A$5:$A$204,0))="","",INDEX('模型流与公式'!$P$5:$P$204,MATCH(A116,'模型流与公式'!$A$5:$A$204,0))),""),""))</x:f>
      </x:c>
      <x:c r="M116" s="18" t="str">
        <x:f>IF(A116="","",IF(B116="Edge",IFERROR(IF(INDEX('模型流与公式'!$Q$5:$Q$204,MATCH(A116,'模型流与公式'!$A$5:$A$204,0))="","",INDEX('模型流与公式'!$Q$5:$Q$204,MATCH(A116,'模型流与公式'!$A$5:$A$204,0))),""),""))</x:f>
      </x:c>
      <x:c r="N116" s="18"/>
      <x:c r="O116" s="18"/>
      <x:c r="P116" s="18"/>
      <x:c r="Q116" s="18"/>
      <x:c r="R116" s="18"/>
      <x:c r="S116" s="18"/>
      <x:c r="T116" s="18"/>
      <x:c r="U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30" t="str">
        <x:f>IF(A117="","",IF(B117="Edge",IFERROR(IF(INDEX('模型流与公式'!$P$5:$P$204,MATCH(A117,'模型流与公式'!$A$5:$A$204,0))="","",INDEX('模型流与公式'!$P$5:$P$204,MATCH(A117,'模型流与公式'!$A$5:$A$204,0))),""),""))</x:f>
      </x:c>
      <x:c r="M117" s="18" t="str">
        <x:f>IF(A117="","",IF(B117="Edge",IFERROR(IF(INDEX('模型流与公式'!$Q$5:$Q$204,MATCH(A117,'模型流与公式'!$A$5:$A$204,0))="","",INDEX('模型流与公式'!$Q$5:$Q$204,MATCH(A117,'模型流与公式'!$A$5:$A$204,0))),""),""))</x:f>
      </x:c>
      <x:c r="N117" s="18"/>
      <x:c r="O117" s="18"/>
      <x:c r="P117" s="18"/>
      <x:c r="Q117" s="18"/>
      <x:c r="R117" s="18"/>
      <x:c r="S117" s="18"/>
      <x:c r="T117" s="18"/>
      <x:c r="U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30" t="str">
        <x:f>IF(A118="","",IF(B118="Edge",IFERROR(IF(INDEX('模型流与公式'!$P$5:$P$204,MATCH(A118,'模型流与公式'!$A$5:$A$204,0))="","",INDEX('模型流与公式'!$P$5:$P$204,MATCH(A118,'模型流与公式'!$A$5:$A$204,0))),""),""))</x:f>
      </x:c>
      <x:c r="M118" s="18" t="str">
        <x:f>IF(A118="","",IF(B118="Edge",IFERROR(IF(INDEX('模型流与公式'!$Q$5:$Q$204,MATCH(A118,'模型流与公式'!$A$5:$A$204,0))="","",INDEX('模型流与公式'!$Q$5:$Q$204,MATCH(A118,'模型流与公式'!$A$5:$A$204,0))),""),""))</x:f>
      </x:c>
      <x:c r="N118" s="18"/>
      <x:c r="O118" s="18"/>
      <x:c r="P118" s="18"/>
      <x:c r="Q118" s="18"/>
      <x:c r="R118" s="18"/>
      <x:c r="S118" s="18"/>
      <x:c r="T118" s="18"/>
      <x:c r="U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30" t="str">
        <x:f>IF(A119="","",IF(B119="Edge",IFERROR(IF(INDEX('模型流与公式'!$P$5:$P$204,MATCH(A119,'模型流与公式'!$A$5:$A$204,0))="","",INDEX('模型流与公式'!$P$5:$P$204,MATCH(A119,'模型流与公式'!$A$5:$A$204,0))),""),""))</x:f>
      </x:c>
      <x:c r="M119" s="18" t="str">
        <x:f>IF(A119="","",IF(B119="Edge",IFERROR(IF(INDEX('模型流与公式'!$Q$5:$Q$204,MATCH(A119,'模型流与公式'!$A$5:$A$204,0))="","",INDEX('模型流与公式'!$Q$5:$Q$204,MATCH(A119,'模型流与公式'!$A$5:$A$204,0))),""),""))</x:f>
      </x:c>
      <x:c r="N119" s="18"/>
      <x:c r="O119" s="18"/>
      <x:c r="P119" s="18"/>
      <x:c r="Q119" s="18"/>
      <x:c r="R119" s="18"/>
      <x:c r="S119" s="18"/>
      <x:c r="T119" s="18"/>
      <x:c r="U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30" t="str">
        <x:f>IF(A120="","",IF(B120="Edge",IFERROR(IF(INDEX('模型流与公式'!$P$5:$P$204,MATCH(A120,'模型流与公式'!$A$5:$A$204,0))="","",INDEX('模型流与公式'!$P$5:$P$204,MATCH(A120,'模型流与公式'!$A$5:$A$204,0))),""),""))</x:f>
      </x:c>
      <x:c r="M120" s="18" t="str">
        <x:f>IF(A120="","",IF(B120="Edge",IFERROR(IF(INDEX('模型流与公式'!$Q$5:$Q$204,MATCH(A120,'模型流与公式'!$A$5:$A$204,0))="","",INDEX('模型流与公式'!$Q$5:$Q$204,MATCH(A120,'模型流与公式'!$A$5:$A$204,0))),""),""))</x:f>
      </x:c>
      <x:c r="N120" s="18"/>
      <x:c r="O120" s="18"/>
      <x:c r="P120" s="18"/>
      <x:c r="Q120" s="18"/>
      <x:c r="R120" s="18"/>
      <x:c r="S120" s="18"/>
      <x:c r="T120" s="18"/>
      <x:c r="U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30" t="str">
        <x:f>IF(A121="","",IF(B121="Edge",IFERROR(IF(INDEX('模型流与公式'!$P$5:$P$204,MATCH(A121,'模型流与公式'!$A$5:$A$204,0))="","",INDEX('模型流与公式'!$P$5:$P$204,MATCH(A121,'模型流与公式'!$A$5:$A$204,0))),""),""))</x:f>
      </x:c>
      <x:c r="M121" s="18" t="str">
        <x:f>IF(A121="","",IF(B121="Edge",IFERROR(IF(INDEX('模型流与公式'!$Q$5:$Q$204,MATCH(A121,'模型流与公式'!$A$5:$A$204,0))="","",INDEX('模型流与公式'!$Q$5:$Q$204,MATCH(A121,'模型流与公式'!$A$5:$A$204,0))),""),""))</x:f>
      </x:c>
      <x:c r="N121" s="18"/>
      <x:c r="O121" s="18"/>
      <x:c r="P121" s="18"/>
      <x:c r="Q121" s="18"/>
      <x:c r="R121" s="18"/>
      <x:c r="S121" s="18"/>
      <x:c r="T121" s="18"/>
      <x:c r="U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30" t="str">
        <x:f>IF(A122="","",IF(B122="Edge",IFERROR(IF(INDEX('模型流与公式'!$P$5:$P$204,MATCH(A122,'模型流与公式'!$A$5:$A$204,0))="","",INDEX('模型流与公式'!$P$5:$P$204,MATCH(A122,'模型流与公式'!$A$5:$A$204,0))),""),""))</x:f>
      </x:c>
      <x:c r="M122" s="18" t="str">
        <x:f>IF(A122="","",IF(B122="Edge",IFERROR(IF(INDEX('模型流与公式'!$Q$5:$Q$204,MATCH(A122,'模型流与公式'!$A$5:$A$204,0))="","",INDEX('模型流与公式'!$Q$5:$Q$204,MATCH(A122,'模型流与公式'!$A$5:$A$204,0))),""),""))</x:f>
      </x:c>
      <x:c r="N122" s="18"/>
      <x:c r="O122" s="18"/>
      <x:c r="P122" s="18"/>
      <x:c r="Q122" s="18"/>
      <x:c r="R122" s="18"/>
      <x:c r="S122" s="18"/>
      <x:c r="T122" s="18"/>
      <x:c r="U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30" t="str">
        <x:f>IF(A123="","",IF(B123="Edge",IFERROR(IF(INDEX('模型流与公式'!$P$5:$P$204,MATCH(A123,'模型流与公式'!$A$5:$A$204,0))="","",INDEX('模型流与公式'!$P$5:$P$204,MATCH(A123,'模型流与公式'!$A$5:$A$204,0))),""),""))</x:f>
      </x:c>
      <x:c r="M123" s="18" t="str">
        <x:f>IF(A123="","",IF(B123="Edge",IFERROR(IF(INDEX('模型流与公式'!$Q$5:$Q$204,MATCH(A123,'模型流与公式'!$A$5:$A$204,0))="","",INDEX('模型流与公式'!$Q$5:$Q$204,MATCH(A123,'模型流与公式'!$A$5:$A$204,0))),""),""))</x:f>
      </x:c>
      <x:c r="N123" s="18"/>
      <x:c r="O123" s="18"/>
      <x:c r="P123" s="18"/>
      <x:c r="Q123" s="18"/>
      <x:c r="R123" s="18"/>
      <x:c r="S123" s="18"/>
      <x:c r="T123" s="18"/>
      <x:c r="U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30" t="str">
        <x:f>IF(A124="","",IF(B124="Edge",IFERROR(IF(INDEX('模型流与公式'!$P$5:$P$204,MATCH(A124,'模型流与公式'!$A$5:$A$204,0))="","",INDEX('模型流与公式'!$P$5:$P$204,MATCH(A124,'模型流与公式'!$A$5:$A$204,0))),""),""))</x:f>
      </x:c>
      <x:c r="M124" s="18" t="str">
        <x:f>IF(A124="","",IF(B124="Edge",IFERROR(IF(INDEX('模型流与公式'!$Q$5:$Q$204,MATCH(A124,'模型流与公式'!$A$5:$A$204,0))="","",INDEX('模型流与公式'!$Q$5:$Q$204,MATCH(A124,'模型流与公式'!$A$5:$A$204,0))),""),""))</x:f>
      </x:c>
      <x:c r="N124" s="18"/>
      <x:c r="O124" s="18"/>
      <x:c r="P124" s="18"/>
      <x:c r="Q124" s="18"/>
      <x:c r="R124" s="18"/>
      <x:c r="S124" s="18"/>
      <x:c r="T124" s="18"/>
      <x:c r="U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30" t="str">
        <x:f>IF(A125="","",IF(B125="Edge",IFERROR(IF(INDEX('模型流与公式'!$P$5:$P$204,MATCH(A125,'模型流与公式'!$A$5:$A$204,0))="","",INDEX('模型流与公式'!$P$5:$P$204,MATCH(A125,'模型流与公式'!$A$5:$A$204,0))),""),""))</x:f>
      </x:c>
      <x:c r="M125" s="18" t="str">
        <x:f>IF(A125="","",IF(B125="Edge",IFERROR(IF(INDEX('模型流与公式'!$Q$5:$Q$204,MATCH(A125,'模型流与公式'!$A$5:$A$204,0))="","",INDEX('模型流与公式'!$Q$5:$Q$204,MATCH(A125,'模型流与公式'!$A$5:$A$204,0))),""),""))</x:f>
      </x:c>
      <x:c r="N125" s="18"/>
      <x:c r="O125" s="18"/>
      <x:c r="P125" s="18"/>
      <x:c r="Q125" s="18"/>
      <x:c r="R125" s="18"/>
      <x:c r="S125" s="18"/>
      <x:c r="T125" s="18"/>
      <x:c r="U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30" t="str">
        <x:f>IF(A126="","",IF(B126="Edge",IFERROR(IF(INDEX('模型流与公式'!$P$5:$P$204,MATCH(A126,'模型流与公式'!$A$5:$A$204,0))="","",INDEX('模型流与公式'!$P$5:$P$204,MATCH(A126,'模型流与公式'!$A$5:$A$204,0))),""),""))</x:f>
      </x:c>
      <x:c r="M126" s="18" t="str">
        <x:f>IF(A126="","",IF(B126="Edge",IFERROR(IF(INDEX('模型流与公式'!$Q$5:$Q$204,MATCH(A126,'模型流与公式'!$A$5:$A$204,0))="","",INDEX('模型流与公式'!$Q$5:$Q$204,MATCH(A126,'模型流与公式'!$A$5:$A$204,0))),""),""))</x:f>
      </x:c>
      <x:c r="N126" s="18"/>
      <x:c r="O126" s="18"/>
      <x:c r="P126" s="18"/>
      <x:c r="Q126" s="18"/>
      <x:c r="R126" s="18"/>
      <x:c r="S126" s="18"/>
      <x:c r="T126" s="18"/>
      <x:c r="U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30" t="str">
        <x:f>IF(A127="","",IF(B127="Edge",IFERROR(IF(INDEX('模型流与公式'!$P$5:$P$204,MATCH(A127,'模型流与公式'!$A$5:$A$204,0))="","",INDEX('模型流与公式'!$P$5:$P$204,MATCH(A127,'模型流与公式'!$A$5:$A$204,0))),""),""))</x:f>
      </x:c>
      <x:c r="M127" s="18" t="str">
        <x:f>IF(A127="","",IF(B127="Edge",IFERROR(IF(INDEX('模型流与公式'!$Q$5:$Q$204,MATCH(A127,'模型流与公式'!$A$5:$A$204,0))="","",INDEX('模型流与公式'!$Q$5:$Q$204,MATCH(A127,'模型流与公式'!$A$5:$A$204,0))),""),""))</x:f>
      </x:c>
      <x:c r="N127" s="18"/>
      <x:c r="O127" s="18"/>
      <x:c r="P127" s="18"/>
      <x:c r="Q127" s="18"/>
      <x:c r="R127" s="18"/>
      <x:c r="S127" s="18"/>
      <x:c r="T127" s="18"/>
      <x:c r="U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30" t="str">
        <x:f>IF(A128="","",IF(B128="Edge",IFERROR(IF(INDEX('模型流与公式'!$P$5:$P$204,MATCH(A128,'模型流与公式'!$A$5:$A$204,0))="","",INDEX('模型流与公式'!$P$5:$P$204,MATCH(A128,'模型流与公式'!$A$5:$A$204,0))),""),""))</x:f>
      </x:c>
      <x:c r="M128" s="18" t="str">
        <x:f>IF(A128="","",IF(B128="Edge",IFERROR(IF(INDEX('模型流与公式'!$Q$5:$Q$204,MATCH(A128,'模型流与公式'!$A$5:$A$204,0))="","",INDEX('模型流与公式'!$Q$5:$Q$204,MATCH(A128,'模型流与公式'!$A$5:$A$204,0))),""),""))</x:f>
      </x:c>
      <x:c r="N128" s="18"/>
      <x:c r="O128" s="18"/>
      <x:c r="P128" s="18"/>
      <x:c r="Q128" s="18"/>
      <x:c r="R128" s="18"/>
      <x:c r="S128" s="18"/>
      <x:c r="T128" s="18"/>
      <x:c r="U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30" t="str">
        <x:f>IF(A129="","",IF(B129="Edge",IFERROR(IF(INDEX('模型流与公式'!$P$5:$P$204,MATCH(A129,'模型流与公式'!$A$5:$A$204,0))="","",INDEX('模型流与公式'!$P$5:$P$204,MATCH(A129,'模型流与公式'!$A$5:$A$204,0))),""),""))</x:f>
      </x:c>
      <x:c r="M129" s="18" t="str">
        <x:f>IF(A129="","",IF(B129="Edge",IFERROR(IF(INDEX('模型流与公式'!$Q$5:$Q$204,MATCH(A129,'模型流与公式'!$A$5:$A$204,0))="","",INDEX('模型流与公式'!$Q$5:$Q$204,MATCH(A129,'模型流与公式'!$A$5:$A$204,0))),""),""))</x:f>
      </x:c>
      <x:c r="N129" s="18"/>
      <x:c r="O129" s="18"/>
      <x:c r="P129" s="18"/>
      <x:c r="Q129" s="18"/>
      <x:c r="R129" s="18"/>
      <x:c r="S129" s="18"/>
      <x:c r="T129" s="18"/>
      <x:c r="U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30" t="str">
        <x:f>IF(A130="","",IF(B130="Edge",IFERROR(IF(INDEX('模型流与公式'!$P$5:$P$204,MATCH(A130,'模型流与公式'!$A$5:$A$204,0))="","",INDEX('模型流与公式'!$P$5:$P$204,MATCH(A130,'模型流与公式'!$A$5:$A$204,0))),""),""))</x:f>
      </x:c>
      <x:c r="M130" s="18" t="str">
        <x:f>IF(A130="","",IF(B130="Edge",IFERROR(IF(INDEX('模型流与公式'!$Q$5:$Q$204,MATCH(A130,'模型流与公式'!$A$5:$A$204,0))="","",INDEX('模型流与公式'!$Q$5:$Q$204,MATCH(A130,'模型流与公式'!$A$5:$A$204,0))),""),""))</x:f>
      </x:c>
      <x:c r="N130" s="18"/>
      <x:c r="O130" s="18"/>
      <x:c r="P130" s="18"/>
      <x:c r="Q130" s="18"/>
      <x:c r="R130" s="18"/>
      <x:c r="S130" s="18"/>
      <x:c r="T130" s="18"/>
      <x:c r="U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30" t="str">
        <x:f>IF(A131="","",IF(B131="Edge",IFERROR(IF(INDEX('模型流与公式'!$P$5:$P$204,MATCH(A131,'模型流与公式'!$A$5:$A$204,0))="","",INDEX('模型流与公式'!$P$5:$P$204,MATCH(A131,'模型流与公式'!$A$5:$A$204,0))),""),""))</x:f>
      </x:c>
      <x:c r="M131" s="18" t="str">
        <x:f>IF(A131="","",IF(B131="Edge",IFERROR(IF(INDEX('模型流与公式'!$Q$5:$Q$204,MATCH(A131,'模型流与公式'!$A$5:$A$204,0))="","",INDEX('模型流与公式'!$Q$5:$Q$204,MATCH(A131,'模型流与公式'!$A$5:$A$204,0))),""),""))</x:f>
      </x:c>
      <x:c r="N131" s="18"/>
      <x:c r="O131" s="18"/>
      <x:c r="P131" s="18"/>
      <x:c r="Q131" s="18"/>
      <x:c r="R131" s="18"/>
      <x:c r="S131" s="18"/>
      <x:c r="T131" s="18"/>
      <x:c r="U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30" t="str">
        <x:f>IF(A132="","",IF(B132="Edge",IFERROR(IF(INDEX('模型流与公式'!$P$5:$P$204,MATCH(A132,'模型流与公式'!$A$5:$A$204,0))="","",INDEX('模型流与公式'!$P$5:$P$204,MATCH(A132,'模型流与公式'!$A$5:$A$204,0))),""),""))</x:f>
      </x:c>
      <x:c r="M132" s="18" t="str">
        <x:f>IF(A132="","",IF(B132="Edge",IFERROR(IF(INDEX('模型流与公式'!$Q$5:$Q$204,MATCH(A132,'模型流与公式'!$A$5:$A$204,0))="","",INDEX('模型流与公式'!$Q$5:$Q$204,MATCH(A132,'模型流与公式'!$A$5:$A$204,0))),""),""))</x:f>
      </x:c>
      <x:c r="N132" s="18"/>
      <x:c r="O132" s="18"/>
      <x:c r="P132" s="18"/>
      <x:c r="Q132" s="18"/>
      <x:c r="R132" s="18"/>
      <x:c r="S132" s="18"/>
      <x:c r="T132" s="18"/>
      <x:c r="U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30" t="str">
        <x:f>IF(A133="","",IF(B133="Edge",IFERROR(IF(INDEX('模型流与公式'!$P$5:$P$204,MATCH(A133,'模型流与公式'!$A$5:$A$204,0))="","",INDEX('模型流与公式'!$P$5:$P$204,MATCH(A133,'模型流与公式'!$A$5:$A$204,0))),""),""))</x:f>
      </x:c>
      <x:c r="M133" s="18" t="str">
        <x:f>IF(A133="","",IF(B133="Edge",IFERROR(IF(INDEX('模型流与公式'!$Q$5:$Q$204,MATCH(A133,'模型流与公式'!$A$5:$A$204,0))="","",INDEX('模型流与公式'!$Q$5:$Q$204,MATCH(A133,'模型流与公式'!$A$5:$A$204,0))),""),""))</x:f>
      </x:c>
      <x:c r="N133" s="18"/>
      <x:c r="O133" s="18"/>
      <x:c r="P133" s="18"/>
      <x:c r="Q133" s="18"/>
      <x:c r="R133" s="18"/>
      <x:c r="S133" s="18"/>
      <x:c r="T133" s="18"/>
      <x:c r="U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30" t="str">
        <x:f>IF(A134="","",IF(B134="Edge",IFERROR(IF(INDEX('模型流与公式'!$P$5:$P$204,MATCH(A134,'模型流与公式'!$A$5:$A$204,0))="","",INDEX('模型流与公式'!$P$5:$P$204,MATCH(A134,'模型流与公式'!$A$5:$A$204,0))),""),""))</x:f>
      </x:c>
      <x:c r="M134" s="18" t="str">
        <x:f>IF(A134="","",IF(B134="Edge",IFERROR(IF(INDEX('模型流与公式'!$Q$5:$Q$204,MATCH(A134,'模型流与公式'!$A$5:$A$204,0))="","",INDEX('模型流与公式'!$Q$5:$Q$204,MATCH(A134,'模型流与公式'!$A$5:$A$204,0))),""),""))</x:f>
      </x:c>
      <x:c r="N134" s="18"/>
      <x:c r="O134" s="18"/>
      <x:c r="P134" s="18"/>
      <x:c r="Q134" s="18"/>
      <x:c r="R134" s="18"/>
      <x:c r="S134" s="18"/>
      <x:c r="T134" s="18"/>
      <x:c r="U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30" t="str">
        <x:f>IF(A135="","",IF(B135="Edge",IFERROR(IF(INDEX('模型流与公式'!$P$5:$P$204,MATCH(A135,'模型流与公式'!$A$5:$A$204,0))="","",INDEX('模型流与公式'!$P$5:$P$204,MATCH(A135,'模型流与公式'!$A$5:$A$204,0))),""),""))</x:f>
      </x:c>
      <x:c r="M135" s="18" t="str">
        <x:f>IF(A135="","",IF(B135="Edge",IFERROR(IF(INDEX('模型流与公式'!$Q$5:$Q$204,MATCH(A135,'模型流与公式'!$A$5:$A$204,0))="","",INDEX('模型流与公式'!$Q$5:$Q$204,MATCH(A135,'模型流与公式'!$A$5:$A$204,0))),""),""))</x:f>
      </x:c>
      <x:c r="N135" s="18"/>
      <x:c r="O135" s="18"/>
      <x:c r="P135" s="18"/>
      <x:c r="Q135" s="18"/>
      <x:c r="R135" s="18"/>
      <x:c r="S135" s="18"/>
      <x:c r="T135" s="18"/>
      <x:c r="U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30" t="str">
        <x:f>IF(A136="","",IF(B136="Edge",IFERROR(IF(INDEX('模型流与公式'!$P$5:$P$204,MATCH(A136,'模型流与公式'!$A$5:$A$204,0))="","",INDEX('模型流与公式'!$P$5:$P$204,MATCH(A136,'模型流与公式'!$A$5:$A$204,0))),""),""))</x:f>
      </x:c>
      <x:c r="M136" s="18" t="str">
        <x:f>IF(A136="","",IF(B136="Edge",IFERROR(IF(INDEX('模型流与公式'!$Q$5:$Q$204,MATCH(A136,'模型流与公式'!$A$5:$A$204,0))="","",INDEX('模型流与公式'!$Q$5:$Q$204,MATCH(A136,'模型流与公式'!$A$5:$A$204,0))),""),""))</x:f>
      </x:c>
      <x:c r="N136" s="18"/>
      <x:c r="O136" s="18"/>
      <x:c r="P136" s="18"/>
      <x:c r="Q136" s="18"/>
      <x:c r="R136" s="18"/>
      <x:c r="S136" s="18"/>
      <x:c r="T136" s="18"/>
      <x:c r="U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30" t="str">
        <x:f>IF(A137="","",IF(B137="Edge",IFERROR(IF(INDEX('模型流与公式'!$P$5:$P$204,MATCH(A137,'模型流与公式'!$A$5:$A$204,0))="","",INDEX('模型流与公式'!$P$5:$P$204,MATCH(A137,'模型流与公式'!$A$5:$A$204,0))),""),""))</x:f>
      </x:c>
      <x:c r="M137" s="18" t="str">
        <x:f>IF(A137="","",IF(B137="Edge",IFERROR(IF(INDEX('模型流与公式'!$Q$5:$Q$204,MATCH(A137,'模型流与公式'!$A$5:$A$204,0))="","",INDEX('模型流与公式'!$Q$5:$Q$204,MATCH(A137,'模型流与公式'!$A$5:$A$204,0))),""),""))</x:f>
      </x:c>
      <x:c r="N137" s="18"/>
      <x:c r="O137" s="18"/>
      <x:c r="P137" s="18"/>
      <x:c r="Q137" s="18"/>
      <x:c r="R137" s="18"/>
      <x:c r="S137" s="18"/>
      <x:c r="T137" s="18"/>
      <x:c r="U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30" t="str">
        <x:f>IF(A138="","",IF(B138="Edge",IFERROR(IF(INDEX('模型流与公式'!$P$5:$P$204,MATCH(A138,'模型流与公式'!$A$5:$A$204,0))="","",INDEX('模型流与公式'!$P$5:$P$204,MATCH(A138,'模型流与公式'!$A$5:$A$204,0))),""),""))</x:f>
      </x:c>
      <x:c r="M138" s="18" t="str">
        <x:f>IF(A138="","",IF(B138="Edge",IFERROR(IF(INDEX('模型流与公式'!$Q$5:$Q$204,MATCH(A138,'模型流与公式'!$A$5:$A$204,0))="","",INDEX('模型流与公式'!$Q$5:$Q$204,MATCH(A138,'模型流与公式'!$A$5:$A$204,0))),""),""))</x:f>
      </x:c>
      <x:c r="N138" s="18"/>
      <x:c r="O138" s="18"/>
      <x:c r="P138" s="18"/>
      <x:c r="Q138" s="18"/>
      <x:c r="R138" s="18"/>
      <x:c r="S138" s="18"/>
      <x:c r="T138" s="18"/>
      <x:c r="U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30" t="str">
        <x:f>IF(A139="","",IF(B139="Edge",IFERROR(IF(INDEX('模型流与公式'!$P$5:$P$204,MATCH(A139,'模型流与公式'!$A$5:$A$204,0))="","",INDEX('模型流与公式'!$P$5:$P$204,MATCH(A139,'模型流与公式'!$A$5:$A$204,0))),""),""))</x:f>
      </x:c>
      <x:c r="M139" s="18" t="str">
        <x:f>IF(A139="","",IF(B139="Edge",IFERROR(IF(INDEX('模型流与公式'!$Q$5:$Q$204,MATCH(A139,'模型流与公式'!$A$5:$A$204,0))="","",INDEX('模型流与公式'!$Q$5:$Q$204,MATCH(A139,'模型流与公式'!$A$5:$A$204,0))),""),""))</x:f>
      </x:c>
      <x:c r="N139" s="18"/>
      <x:c r="O139" s="18"/>
      <x:c r="P139" s="18"/>
      <x:c r="Q139" s="18"/>
      <x:c r="R139" s="18"/>
      <x:c r="S139" s="18"/>
      <x:c r="T139" s="18"/>
      <x:c r="U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30" t="str">
        <x:f>IF(A140="","",IF(B140="Edge",IFERROR(IF(INDEX('模型流与公式'!$P$5:$P$204,MATCH(A140,'模型流与公式'!$A$5:$A$204,0))="","",INDEX('模型流与公式'!$P$5:$P$204,MATCH(A140,'模型流与公式'!$A$5:$A$204,0))),""),""))</x:f>
      </x:c>
      <x:c r="M140" s="18" t="str">
        <x:f>IF(A140="","",IF(B140="Edge",IFERROR(IF(INDEX('模型流与公式'!$Q$5:$Q$204,MATCH(A140,'模型流与公式'!$A$5:$A$204,0))="","",INDEX('模型流与公式'!$Q$5:$Q$204,MATCH(A140,'模型流与公式'!$A$5:$A$204,0))),""),""))</x:f>
      </x:c>
      <x:c r="N140" s="18"/>
      <x:c r="O140" s="18"/>
      <x:c r="P140" s="18"/>
      <x:c r="Q140" s="18"/>
      <x:c r="R140" s="18"/>
      <x:c r="S140" s="18"/>
      <x:c r="T140" s="18"/>
      <x:c r="U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30" t="str">
        <x:f>IF(A141="","",IF(B141="Edge",IFERROR(IF(INDEX('模型流与公式'!$P$5:$P$204,MATCH(A141,'模型流与公式'!$A$5:$A$204,0))="","",INDEX('模型流与公式'!$P$5:$P$204,MATCH(A141,'模型流与公式'!$A$5:$A$204,0))),""),""))</x:f>
      </x:c>
      <x:c r="M141" s="18" t="str">
        <x:f>IF(A141="","",IF(B141="Edge",IFERROR(IF(INDEX('模型流与公式'!$Q$5:$Q$204,MATCH(A141,'模型流与公式'!$A$5:$A$204,0))="","",INDEX('模型流与公式'!$Q$5:$Q$204,MATCH(A141,'模型流与公式'!$A$5:$A$204,0))),""),""))</x:f>
      </x:c>
      <x:c r="N141" s="18"/>
      <x:c r="O141" s="18"/>
      <x:c r="P141" s="18"/>
      <x:c r="Q141" s="18"/>
      <x:c r="R141" s="18"/>
      <x:c r="S141" s="18"/>
      <x:c r="T141" s="18"/>
      <x:c r="U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30" t="str">
        <x:f>IF(A142="","",IF(B142="Edge",IFERROR(IF(INDEX('模型流与公式'!$P$5:$P$204,MATCH(A142,'模型流与公式'!$A$5:$A$204,0))="","",INDEX('模型流与公式'!$P$5:$P$204,MATCH(A142,'模型流与公式'!$A$5:$A$204,0))),""),""))</x:f>
      </x:c>
      <x:c r="M142" s="18" t="str">
        <x:f>IF(A142="","",IF(B142="Edge",IFERROR(IF(INDEX('模型流与公式'!$Q$5:$Q$204,MATCH(A142,'模型流与公式'!$A$5:$A$204,0))="","",INDEX('模型流与公式'!$Q$5:$Q$204,MATCH(A142,'模型流与公式'!$A$5:$A$204,0))),""),""))</x:f>
      </x:c>
      <x:c r="N142" s="18"/>
      <x:c r="O142" s="18"/>
      <x:c r="P142" s="18"/>
      <x:c r="Q142" s="18"/>
      <x:c r="R142" s="18"/>
      <x:c r="S142" s="18"/>
      <x:c r="T142" s="18"/>
      <x:c r="U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30" t="str">
        <x:f>IF(A143="","",IF(B143="Edge",IFERROR(IF(INDEX('模型流与公式'!$P$5:$P$204,MATCH(A143,'模型流与公式'!$A$5:$A$204,0))="","",INDEX('模型流与公式'!$P$5:$P$204,MATCH(A143,'模型流与公式'!$A$5:$A$204,0))),""),""))</x:f>
      </x:c>
      <x:c r="M143" s="18" t="str">
        <x:f>IF(A143="","",IF(B143="Edge",IFERROR(IF(INDEX('模型流与公式'!$Q$5:$Q$204,MATCH(A143,'模型流与公式'!$A$5:$A$204,0))="","",INDEX('模型流与公式'!$Q$5:$Q$204,MATCH(A143,'模型流与公式'!$A$5:$A$204,0))),""),""))</x:f>
      </x:c>
      <x:c r="N143" s="18"/>
      <x:c r="O143" s="18"/>
      <x:c r="P143" s="18"/>
      <x:c r="Q143" s="18"/>
      <x:c r="R143" s="18"/>
      <x:c r="S143" s="18"/>
      <x:c r="T143" s="18"/>
      <x:c r="U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30" t="str">
        <x:f>IF(A144="","",IF(B144="Edge",IFERROR(IF(INDEX('模型流与公式'!$P$5:$P$204,MATCH(A144,'模型流与公式'!$A$5:$A$204,0))="","",INDEX('模型流与公式'!$P$5:$P$204,MATCH(A144,'模型流与公式'!$A$5:$A$204,0))),""),""))</x:f>
      </x:c>
      <x:c r="M144" s="18" t="str">
        <x:f>IF(A144="","",IF(B144="Edge",IFERROR(IF(INDEX('模型流与公式'!$Q$5:$Q$204,MATCH(A144,'模型流与公式'!$A$5:$A$204,0))="","",INDEX('模型流与公式'!$Q$5:$Q$204,MATCH(A144,'模型流与公式'!$A$5:$A$204,0))),""),""))</x:f>
      </x:c>
      <x:c r="N144" s="18"/>
      <x:c r="O144" s="18"/>
      <x:c r="P144" s="18"/>
      <x:c r="Q144" s="18"/>
      <x:c r="R144" s="18"/>
      <x:c r="S144" s="18"/>
      <x:c r="T144" s="18"/>
      <x:c r="U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30" t="str">
        <x:f>IF(A145="","",IF(B145="Edge",IFERROR(IF(INDEX('模型流与公式'!$P$5:$P$204,MATCH(A145,'模型流与公式'!$A$5:$A$204,0))="","",INDEX('模型流与公式'!$P$5:$P$204,MATCH(A145,'模型流与公式'!$A$5:$A$204,0))),""),""))</x:f>
      </x:c>
      <x:c r="M145" s="18" t="str">
        <x:f>IF(A145="","",IF(B145="Edge",IFERROR(IF(INDEX('模型流与公式'!$Q$5:$Q$204,MATCH(A145,'模型流与公式'!$A$5:$A$204,0))="","",INDEX('模型流与公式'!$Q$5:$Q$204,MATCH(A145,'模型流与公式'!$A$5:$A$204,0))),""),""))</x:f>
      </x:c>
      <x:c r="N145" s="18"/>
      <x:c r="O145" s="18"/>
      <x:c r="P145" s="18"/>
      <x:c r="Q145" s="18"/>
      <x:c r="R145" s="18"/>
      <x:c r="S145" s="18"/>
      <x:c r="T145" s="18"/>
      <x:c r="U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30" t="str">
        <x:f>IF(A146="","",IF(B146="Edge",IFERROR(IF(INDEX('模型流与公式'!$P$5:$P$204,MATCH(A146,'模型流与公式'!$A$5:$A$204,0))="","",INDEX('模型流与公式'!$P$5:$P$204,MATCH(A146,'模型流与公式'!$A$5:$A$204,0))),""),""))</x:f>
      </x:c>
      <x:c r="M146" s="18" t="str">
        <x:f>IF(A146="","",IF(B146="Edge",IFERROR(IF(INDEX('模型流与公式'!$Q$5:$Q$204,MATCH(A146,'模型流与公式'!$A$5:$A$204,0))="","",INDEX('模型流与公式'!$Q$5:$Q$204,MATCH(A146,'模型流与公式'!$A$5:$A$204,0))),""),""))</x:f>
      </x:c>
      <x:c r="N146" s="18"/>
      <x:c r="O146" s="18"/>
      <x:c r="P146" s="18"/>
      <x:c r="Q146" s="18"/>
      <x:c r="R146" s="18"/>
      <x:c r="S146" s="18"/>
      <x:c r="T146" s="18"/>
      <x:c r="U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30" t="str">
        <x:f>IF(A147="","",IF(B147="Edge",IFERROR(IF(INDEX('模型流与公式'!$P$5:$P$204,MATCH(A147,'模型流与公式'!$A$5:$A$204,0))="","",INDEX('模型流与公式'!$P$5:$P$204,MATCH(A147,'模型流与公式'!$A$5:$A$204,0))),""),""))</x:f>
      </x:c>
      <x:c r="M147" s="18" t="str">
        <x:f>IF(A147="","",IF(B147="Edge",IFERROR(IF(INDEX('模型流与公式'!$Q$5:$Q$204,MATCH(A147,'模型流与公式'!$A$5:$A$204,0))="","",INDEX('模型流与公式'!$Q$5:$Q$204,MATCH(A147,'模型流与公式'!$A$5:$A$204,0))),""),""))</x:f>
      </x:c>
      <x:c r="N147" s="18"/>
      <x:c r="O147" s="18"/>
      <x:c r="P147" s="18"/>
      <x:c r="Q147" s="18"/>
      <x:c r="R147" s="18"/>
      <x:c r="S147" s="18"/>
      <x:c r="T147" s="18"/>
      <x:c r="U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30" t="str">
        <x:f>IF(A148="","",IF(B148="Edge",IFERROR(IF(INDEX('模型流与公式'!$P$5:$P$204,MATCH(A148,'模型流与公式'!$A$5:$A$204,0))="","",INDEX('模型流与公式'!$P$5:$P$204,MATCH(A148,'模型流与公式'!$A$5:$A$204,0))),""),""))</x:f>
      </x:c>
      <x:c r="M148" s="18" t="str">
        <x:f>IF(A148="","",IF(B148="Edge",IFERROR(IF(INDEX('模型流与公式'!$Q$5:$Q$204,MATCH(A148,'模型流与公式'!$A$5:$A$204,0))="","",INDEX('模型流与公式'!$Q$5:$Q$204,MATCH(A148,'模型流与公式'!$A$5:$A$204,0))),""),""))</x:f>
      </x:c>
      <x:c r="N148" s="18"/>
      <x:c r="O148" s="18"/>
      <x:c r="P148" s="18"/>
      <x:c r="Q148" s="18"/>
      <x:c r="R148" s="18"/>
      <x:c r="S148" s="18"/>
      <x:c r="T148" s="18"/>
      <x:c r="U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30" t="str">
        <x:f>IF(A149="","",IF(B149="Edge",IFERROR(IF(INDEX('模型流与公式'!$P$5:$P$204,MATCH(A149,'模型流与公式'!$A$5:$A$204,0))="","",INDEX('模型流与公式'!$P$5:$P$204,MATCH(A149,'模型流与公式'!$A$5:$A$204,0))),""),""))</x:f>
      </x:c>
      <x:c r="M149" s="18" t="str">
        <x:f>IF(A149="","",IF(B149="Edge",IFERROR(IF(INDEX('模型流与公式'!$Q$5:$Q$204,MATCH(A149,'模型流与公式'!$A$5:$A$204,0))="","",INDEX('模型流与公式'!$Q$5:$Q$204,MATCH(A149,'模型流与公式'!$A$5:$A$204,0))),""),""))</x:f>
      </x:c>
      <x:c r="N149" s="18"/>
      <x:c r="O149" s="18"/>
      <x:c r="P149" s="18"/>
      <x:c r="Q149" s="18"/>
      <x:c r="R149" s="18"/>
      <x:c r="S149" s="18"/>
      <x:c r="T149" s="18"/>
      <x:c r="U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30" t="str">
        <x:f>IF(A150="","",IF(B150="Edge",IFERROR(IF(INDEX('模型流与公式'!$P$5:$P$204,MATCH(A150,'模型流与公式'!$A$5:$A$204,0))="","",INDEX('模型流与公式'!$P$5:$P$204,MATCH(A150,'模型流与公式'!$A$5:$A$204,0))),""),""))</x:f>
      </x:c>
      <x:c r="M150" s="18" t="str">
        <x:f>IF(A150="","",IF(B150="Edge",IFERROR(IF(INDEX('模型流与公式'!$Q$5:$Q$204,MATCH(A150,'模型流与公式'!$A$5:$A$204,0))="","",INDEX('模型流与公式'!$Q$5:$Q$204,MATCH(A150,'模型流与公式'!$A$5:$A$204,0))),""),""))</x:f>
      </x:c>
      <x:c r="N150" s="18"/>
      <x:c r="O150" s="18"/>
      <x:c r="P150" s="18"/>
      <x:c r="Q150" s="18"/>
      <x:c r="R150" s="18"/>
      <x:c r="S150" s="18"/>
      <x:c r="T150" s="18"/>
      <x:c r="U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30" t="str">
        <x:f>IF(A151="","",IF(B151="Edge",IFERROR(IF(INDEX('模型流与公式'!$P$5:$P$204,MATCH(A151,'模型流与公式'!$A$5:$A$204,0))="","",INDEX('模型流与公式'!$P$5:$P$204,MATCH(A151,'模型流与公式'!$A$5:$A$204,0))),""),""))</x:f>
      </x:c>
      <x:c r="M151" s="18" t="str">
        <x:f>IF(A151="","",IF(B151="Edge",IFERROR(IF(INDEX('模型流与公式'!$Q$5:$Q$204,MATCH(A151,'模型流与公式'!$A$5:$A$204,0))="","",INDEX('模型流与公式'!$Q$5:$Q$204,MATCH(A151,'模型流与公式'!$A$5:$A$204,0))),""),""))</x:f>
      </x:c>
      <x:c r="N151" s="18"/>
      <x:c r="O151" s="18"/>
      <x:c r="P151" s="18"/>
      <x:c r="Q151" s="18"/>
      <x:c r="R151" s="18"/>
      <x:c r="S151" s="18"/>
      <x:c r="T151" s="18"/>
      <x:c r="U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30" t="str">
        <x:f>IF(A152="","",IF(B152="Edge",IFERROR(IF(INDEX('模型流与公式'!$P$5:$P$204,MATCH(A152,'模型流与公式'!$A$5:$A$204,0))="","",INDEX('模型流与公式'!$P$5:$P$204,MATCH(A152,'模型流与公式'!$A$5:$A$204,0))),""),""))</x:f>
      </x:c>
      <x:c r="M152" s="18" t="str">
        <x:f>IF(A152="","",IF(B152="Edge",IFERROR(IF(INDEX('模型流与公式'!$Q$5:$Q$204,MATCH(A152,'模型流与公式'!$A$5:$A$204,0))="","",INDEX('模型流与公式'!$Q$5:$Q$204,MATCH(A152,'模型流与公式'!$A$5:$A$204,0))),""),""))</x:f>
      </x:c>
      <x:c r="N152" s="18"/>
      <x:c r="O152" s="18"/>
      <x:c r="P152" s="18"/>
      <x:c r="Q152" s="18"/>
      <x:c r="R152" s="18"/>
      <x:c r="S152" s="18"/>
      <x:c r="T152" s="18"/>
      <x:c r="U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30" t="str">
        <x:f>IF(A153="","",IF(B153="Edge",IFERROR(IF(INDEX('模型流与公式'!$P$5:$P$204,MATCH(A153,'模型流与公式'!$A$5:$A$204,0))="","",INDEX('模型流与公式'!$P$5:$P$204,MATCH(A153,'模型流与公式'!$A$5:$A$204,0))),""),""))</x:f>
      </x:c>
      <x:c r="M153" s="18" t="str">
        <x:f>IF(A153="","",IF(B153="Edge",IFERROR(IF(INDEX('模型流与公式'!$Q$5:$Q$204,MATCH(A153,'模型流与公式'!$A$5:$A$204,0))="","",INDEX('模型流与公式'!$Q$5:$Q$204,MATCH(A153,'模型流与公式'!$A$5:$A$204,0))),""),""))</x:f>
      </x:c>
      <x:c r="N153" s="18"/>
      <x:c r="O153" s="18"/>
      <x:c r="P153" s="18"/>
      <x:c r="Q153" s="18"/>
      <x:c r="R153" s="18"/>
      <x:c r="S153" s="18"/>
      <x:c r="T153" s="18"/>
      <x:c r="U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30" t="str">
        <x:f>IF(A154="","",IF(B154="Edge",IFERROR(IF(INDEX('模型流与公式'!$P$5:$P$204,MATCH(A154,'模型流与公式'!$A$5:$A$204,0))="","",INDEX('模型流与公式'!$P$5:$P$204,MATCH(A154,'模型流与公式'!$A$5:$A$204,0))),""),""))</x:f>
      </x:c>
      <x:c r="M154" s="18" t="str">
        <x:f>IF(A154="","",IF(B154="Edge",IFERROR(IF(INDEX('模型流与公式'!$Q$5:$Q$204,MATCH(A154,'模型流与公式'!$A$5:$A$204,0))="","",INDEX('模型流与公式'!$Q$5:$Q$204,MATCH(A154,'模型流与公式'!$A$5:$A$204,0))),""),""))</x:f>
      </x:c>
      <x:c r="N154" s="18"/>
      <x:c r="O154" s="18"/>
      <x:c r="P154" s="18"/>
      <x:c r="Q154" s="18"/>
      <x:c r="R154" s="18"/>
      <x:c r="S154" s="18"/>
      <x:c r="T154" s="18"/>
      <x:c r="U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30" t="str">
        <x:f>IF(A155="","",IF(B155="Edge",IFERROR(IF(INDEX('模型流与公式'!$P$5:$P$204,MATCH(A155,'模型流与公式'!$A$5:$A$204,0))="","",INDEX('模型流与公式'!$P$5:$P$204,MATCH(A155,'模型流与公式'!$A$5:$A$204,0))),""),""))</x:f>
      </x:c>
      <x:c r="M155" s="18" t="str">
        <x:f>IF(A155="","",IF(B155="Edge",IFERROR(IF(INDEX('模型流与公式'!$Q$5:$Q$204,MATCH(A155,'模型流与公式'!$A$5:$A$204,0))="","",INDEX('模型流与公式'!$Q$5:$Q$204,MATCH(A155,'模型流与公式'!$A$5:$A$204,0))),""),""))</x:f>
      </x:c>
      <x:c r="N155" s="18"/>
      <x:c r="O155" s="18"/>
      <x:c r="P155" s="18"/>
      <x:c r="Q155" s="18"/>
      <x:c r="R155" s="18"/>
      <x:c r="S155" s="18"/>
      <x:c r="T155" s="18"/>
      <x:c r="U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30" t="str">
        <x:f>IF(A156="","",IF(B156="Edge",IFERROR(IF(INDEX('模型流与公式'!$P$5:$P$204,MATCH(A156,'模型流与公式'!$A$5:$A$204,0))="","",INDEX('模型流与公式'!$P$5:$P$204,MATCH(A156,'模型流与公式'!$A$5:$A$204,0))),""),""))</x:f>
      </x:c>
      <x:c r="M156" s="18" t="str">
        <x:f>IF(A156="","",IF(B156="Edge",IFERROR(IF(INDEX('模型流与公式'!$Q$5:$Q$204,MATCH(A156,'模型流与公式'!$A$5:$A$204,0))="","",INDEX('模型流与公式'!$Q$5:$Q$204,MATCH(A156,'模型流与公式'!$A$5:$A$204,0))),""),""))</x:f>
      </x:c>
      <x:c r="N156" s="18"/>
      <x:c r="O156" s="18"/>
      <x:c r="P156" s="18"/>
      <x:c r="Q156" s="18"/>
      <x:c r="R156" s="18"/>
      <x:c r="S156" s="18"/>
      <x:c r="T156" s="18"/>
      <x:c r="U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30" t="str">
        <x:f>IF(A157="","",IF(B157="Edge",IFERROR(IF(INDEX('模型流与公式'!$P$5:$P$204,MATCH(A157,'模型流与公式'!$A$5:$A$204,0))="","",INDEX('模型流与公式'!$P$5:$P$204,MATCH(A157,'模型流与公式'!$A$5:$A$204,0))),""),""))</x:f>
      </x:c>
      <x:c r="M157" s="18" t="str">
        <x:f>IF(A157="","",IF(B157="Edge",IFERROR(IF(INDEX('模型流与公式'!$Q$5:$Q$204,MATCH(A157,'模型流与公式'!$A$5:$A$204,0))="","",INDEX('模型流与公式'!$Q$5:$Q$204,MATCH(A157,'模型流与公式'!$A$5:$A$204,0))),""),""))</x:f>
      </x:c>
      <x:c r="N157" s="18"/>
      <x:c r="O157" s="18"/>
      <x:c r="P157" s="18"/>
      <x:c r="Q157" s="18"/>
      <x:c r="R157" s="18"/>
      <x:c r="S157" s="18"/>
      <x:c r="T157" s="18"/>
      <x:c r="U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30" t="str">
        <x:f>IF(A158="","",IF(B158="Edge",IFERROR(IF(INDEX('模型流与公式'!$P$5:$P$204,MATCH(A158,'模型流与公式'!$A$5:$A$204,0))="","",INDEX('模型流与公式'!$P$5:$P$204,MATCH(A158,'模型流与公式'!$A$5:$A$204,0))),""),""))</x:f>
      </x:c>
      <x:c r="M158" s="18" t="str">
        <x:f>IF(A158="","",IF(B158="Edge",IFERROR(IF(INDEX('模型流与公式'!$Q$5:$Q$204,MATCH(A158,'模型流与公式'!$A$5:$A$204,0))="","",INDEX('模型流与公式'!$Q$5:$Q$204,MATCH(A158,'模型流与公式'!$A$5:$A$204,0))),""),""))</x:f>
      </x:c>
      <x:c r="N158" s="18"/>
      <x:c r="O158" s="18"/>
      <x:c r="P158" s="18"/>
      <x:c r="Q158" s="18"/>
      <x:c r="R158" s="18"/>
      <x:c r="S158" s="18"/>
      <x:c r="T158" s="18"/>
      <x:c r="U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30" t="str">
        <x:f>IF(A159="","",IF(B159="Edge",IFERROR(IF(INDEX('模型流与公式'!$P$5:$P$204,MATCH(A159,'模型流与公式'!$A$5:$A$204,0))="","",INDEX('模型流与公式'!$P$5:$P$204,MATCH(A159,'模型流与公式'!$A$5:$A$204,0))),""),""))</x:f>
      </x:c>
      <x:c r="M159" s="18" t="str">
        <x:f>IF(A159="","",IF(B159="Edge",IFERROR(IF(INDEX('模型流与公式'!$Q$5:$Q$204,MATCH(A159,'模型流与公式'!$A$5:$A$204,0))="","",INDEX('模型流与公式'!$Q$5:$Q$204,MATCH(A159,'模型流与公式'!$A$5:$A$204,0))),""),""))</x:f>
      </x:c>
      <x:c r="N159" s="18"/>
      <x:c r="O159" s="18"/>
      <x:c r="P159" s="18"/>
      <x:c r="Q159" s="18"/>
      <x:c r="R159" s="18"/>
      <x:c r="S159" s="18"/>
      <x:c r="T159" s="18"/>
      <x:c r="U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30" t="str">
        <x:f>IF(A160="","",IF(B160="Edge",IFERROR(IF(INDEX('模型流与公式'!$P$5:$P$204,MATCH(A160,'模型流与公式'!$A$5:$A$204,0))="","",INDEX('模型流与公式'!$P$5:$P$204,MATCH(A160,'模型流与公式'!$A$5:$A$204,0))),""),""))</x:f>
      </x:c>
      <x:c r="M160" s="18" t="str">
        <x:f>IF(A160="","",IF(B160="Edge",IFERROR(IF(INDEX('模型流与公式'!$Q$5:$Q$204,MATCH(A160,'模型流与公式'!$A$5:$A$204,0))="","",INDEX('模型流与公式'!$Q$5:$Q$204,MATCH(A160,'模型流与公式'!$A$5:$A$204,0))),""),""))</x:f>
      </x:c>
      <x:c r="N160" s="18"/>
      <x:c r="O160" s="18"/>
      <x:c r="P160" s="18"/>
      <x:c r="Q160" s="18"/>
      <x:c r="R160" s="18"/>
      <x:c r="S160" s="18"/>
      <x:c r="T160" s="18"/>
      <x:c r="U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30" t="str">
        <x:f>IF(A161="","",IF(B161="Edge",IFERROR(IF(INDEX('模型流与公式'!$P$5:$P$204,MATCH(A161,'模型流与公式'!$A$5:$A$204,0))="","",INDEX('模型流与公式'!$P$5:$P$204,MATCH(A161,'模型流与公式'!$A$5:$A$204,0))),""),""))</x:f>
      </x:c>
      <x:c r="M161" s="18" t="str">
        <x:f>IF(A161="","",IF(B161="Edge",IFERROR(IF(INDEX('模型流与公式'!$Q$5:$Q$204,MATCH(A161,'模型流与公式'!$A$5:$A$204,0))="","",INDEX('模型流与公式'!$Q$5:$Q$204,MATCH(A161,'模型流与公式'!$A$5:$A$204,0))),""),""))</x:f>
      </x:c>
      <x:c r="N161" s="18"/>
      <x:c r="O161" s="18"/>
      <x:c r="P161" s="18"/>
      <x:c r="Q161" s="18"/>
      <x:c r="R161" s="18"/>
      <x:c r="S161" s="18"/>
      <x:c r="T161" s="18"/>
      <x:c r="U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30" t="str">
        <x:f>IF(A162="","",IF(B162="Edge",IFERROR(IF(INDEX('模型流与公式'!$P$5:$P$204,MATCH(A162,'模型流与公式'!$A$5:$A$204,0))="","",INDEX('模型流与公式'!$P$5:$P$204,MATCH(A162,'模型流与公式'!$A$5:$A$204,0))),""),""))</x:f>
      </x:c>
      <x:c r="M162" s="18" t="str">
        <x:f>IF(A162="","",IF(B162="Edge",IFERROR(IF(INDEX('模型流与公式'!$Q$5:$Q$204,MATCH(A162,'模型流与公式'!$A$5:$A$204,0))="","",INDEX('模型流与公式'!$Q$5:$Q$204,MATCH(A162,'模型流与公式'!$A$5:$A$204,0))),""),""))</x:f>
      </x:c>
      <x:c r="N162" s="18"/>
      <x:c r="O162" s="18"/>
      <x:c r="P162" s="18"/>
      <x:c r="Q162" s="18"/>
      <x:c r="R162" s="18"/>
      <x:c r="S162" s="18"/>
      <x:c r="T162" s="18"/>
      <x:c r="U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30" t="str">
        <x:f>IF(A163="","",IF(B163="Edge",IFERROR(IF(INDEX('模型流与公式'!$P$5:$P$204,MATCH(A163,'模型流与公式'!$A$5:$A$204,0))="","",INDEX('模型流与公式'!$P$5:$P$204,MATCH(A163,'模型流与公式'!$A$5:$A$204,0))),""),""))</x:f>
      </x:c>
      <x:c r="M163" s="18" t="str">
        <x:f>IF(A163="","",IF(B163="Edge",IFERROR(IF(INDEX('模型流与公式'!$Q$5:$Q$204,MATCH(A163,'模型流与公式'!$A$5:$A$204,0))="","",INDEX('模型流与公式'!$Q$5:$Q$204,MATCH(A163,'模型流与公式'!$A$5:$A$204,0))),""),""))</x:f>
      </x:c>
      <x:c r="N163" s="18"/>
      <x:c r="O163" s="18"/>
      <x:c r="P163" s="18"/>
      <x:c r="Q163" s="18"/>
      <x:c r="R163" s="18"/>
      <x:c r="S163" s="18"/>
      <x:c r="T163" s="18"/>
      <x:c r="U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30" t="str">
        <x:f>IF(A164="","",IF(B164="Edge",IFERROR(IF(INDEX('模型流与公式'!$P$5:$P$204,MATCH(A164,'模型流与公式'!$A$5:$A$204,0))="","",INDEX('模型流与公式'!$P$5:$P$204,MATCH(A164,'模型流与公式'!$A$5:$A$204,0))),""),""))</x:f>
      </x:c>
      <x:c r="M164" s="18" t="str">
        <x:f>IF(A164="","",IF(B164="Edge",IFERROR(IF(INDEX('模型流与公式'!$Q$5:$Q$204,MATCH(A164,'模型流与公式'!$A$5:$A$204,0))="","",INDEX('模型流与公式'!$Q$5:$Q$204,MATCH(A164,'模型流与公式'!$A$5:$A$204,0))),""),""))</x:f>
      </x:c>
      <x:c r="N164" s="18"/>
      <x:c r="O164" s="18"/>
      <x:c r="P164" s="18"/>
      <x:c r="Q164" s="18"/>
      <x:c r="R164" s="18"/>
      <x:c r="S164" s="18"/>
      <x:c r="T164" s="18"/>
      <x:c r="U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30" t="str">
        <x:f>IF(A165="","",IF(B165="Edge",IFERROR(IF(INDEX('模型流与公式'!$P$5:$P$204,MATCH(A165,'模型流与公式'!$A$5:$A$204,0))="","",INDEX('模型流与公式'!$P$5:$P$204,MATCH(A165,'模型流与公式'!$A$5:$A$204,0))),""),""))</x:f>
      </x:c>
      <x:c r="M165" s="18" t="str">
        <x:f>IF(A165="","",IF(B165="Edge",IFERROR(IF(INDEX('模型流与公式'!$Q$5:$Q$204,MATCH(A165,'模型流与公式'!$A$5:$A$204,0))="","",INDEX('模型流与公式'!$Q$5:$Q$204,MATCH(A165,'模型流与公式'!$A$5:$A$204,0))),""),""))</x:f>
      </x:c>
      <x:c r="N165" s="18"/>
      <x:c r="O165" s="18"/>
      <x:c r="P165" s="18"/>
      <x:c r="Q165" s="18"/>
      <x:c r="R165" s="18"/>
      <x:c r="S165" s="18"/>
      <x:c r="T165" s="18"/>
      <x:c r="U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30" t="str">
        <x:f>IF(A166="","",IF(B166="Edge",IFERROR(IF(INDEX('模型流与公式'!$P$5:$P$204,MATCH(A166,'模型流与公式'!$A$5:$A$204,0))="","",INDEX('模型流与公式'!$P$5:$P$204,MATCH(A166,'模型流与公式'!$A$5:$A$204,0))),""),""))</x:f>
      </x:c>
      <x:c r="M166" s="18" t="str">
        <x:f>IF(A166="","",IF(B166="Edge",IFERROR(IF(INDEX('模型流与公式'!$Q$5:$Q$204,MATCH(A166,'模型流与公式'!$A$5:$A$204,0))="","",INDEX('模型流与公式'!$Q$5:$Q$204,MATCH(A166,'模型流与公式'!$A$5:$A$204,0))),""),""))</x:f>
      </x:c>
      <x:c r="N166" s="18"/>
      <x:c r="O166" s="18"/>
      <x:c r="P166" s="18"/>
      <x:c r="Q166" s="18"/>
      <x:c r="R166" s="18"/>
      <x:c r="S166" s="18"/>
      <x:c r="T166" s="18"/>
      <x:c r="U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30" t="str">
        <x:f>IF(A167="","",IF(B167="Edge",IFERROR(IF(INDEX('模型流与公式'!$P$5:$P$204,MATCH(A167,'模型流与公式'!$A$5:$A$204,0))="","",INDEX('模型流与公式'!$P$5:$P$204,MATCH(A167,'模型流与公式'!$A$5:$A$204,0))),""),""))</x:f>
      </x:c>
      <x:c r="M167" s="18" t="str">
        <x:f>IF(A167="","",IF(B167="Edge",IFERROR(IF(INDEX('模型流与公式'!$Q$5:$Q$204,MATCH(A167,'模型流与公式'!$A$5:$A$204,0))="","",INDEX('模型流与公式'!$Q$5:$Q$204,MATCH(A167,'模型流与公式'!$A$5:$A$204,0))),""),""))</x:f>
      </x:c>
      <x:c r="N167" s="18"/>
      <x:c r="O167" s="18"/>
      <x:c r="P167" s="18"/>
      <x:c r="Q167" s="18"/>
      <x:c r="R167" s="18"/>
      <x:c r="S167" s="18"/>
      <x:c r="T167" s="18"/>
      <x:c r="U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30" t="str">
        <x:f>IF(A168="","",IF(B168="Edge",IFERROR(IF(INDEX('模型流与公式'!$P$5:$P$204,MATCH(A168,'模型流与公式'!$A$5:$A$204,0))="","",INDEX('模型流与公式'!$P$5:$P$204,MATCH(A168,'模型流与公式'!$A$5:$A$204,0))),""),""))</x:f>
      </x:c>
      <x:c r="M168" s="18" t="str">
        <x:f>IF(A168="","",IF(B168="Edge",IFERROR(IF(INDEX('模型流与公式'!$Q$5:$Q$204,MATCH(A168,'模型流与公式'!$A$5:$A$204,0))="","",INDEX('模型流与公式'!$Q$5:$Q$204,MATCH(A168,'模型流与公式'!$A$5:$A$204,0))),""),""))</x:f>
      </x:c>
      <x:c r="N168" s="18"/>
      <x:c r="O168" s="18"/>
      <x:c r="P168" s="18"/>
      <x:c r="Q168" s="18"/>
      <x:c r="R168" s="18"/>
      <x:c r="S168" s="18"/>
      <x:c r="T168" s="18"/>
      <x:c r="U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30" t="str">
        <x:f>IF(A169="","",IF(B169="Edge",IFERROR(IF(INDEX('模型流与公式'!$P$5:$P$204,MATCH(A169,'模型流与公式'!$A$5:$A$204,0))="","",INDEX('模型流与公式'!$P$5:$P$204,MATCH(A169,'模型流与公式'!$A$5:$A$204,0))),""),""))</x:f>
      </x:c>
      <x:c r="M169" s="18" t="str">
        <x:f>IF(A169="","",IF(B169="Edge",IFERROR(IF(INDEX('模型流与公式'!$Q$5:$Q$204,MATCH(A169,'模型流与公式'!$A$5:$A$204,0))="","",INDEX('模型流与公式'!$Q$5:$Q$204,MATCH(A169,'模型流与公式'!$A$5:$A$204,0))),""),""))</x:f>
      </x:c>
      <x:c r="N169" s="18"/>
      <x:c r="O169" s="18"/>
      <x:c r="P169" s="18"/>
      <x:c r="Q169" s="18"/>
      <x:c r="R169" s="18"/>
      <x:c r="S169" s="18"/>
      <x:c r="T169" s="18"/>
      <x:c r="U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30" t="str">
        <x:f>IF(A170="","",IF(B170="Edge",IFERROR(IF(INDEX('模型流与公式'!$P$5:$P$204,MATCH(A170,'模型流与公式'!$A$5:$A$204,0))="","",INDEX('模型流与公式'!$P$5:$P$204,MATCH(A170,'模型流与公式'!$A$5:$A$204,0))),""),""))</x:f>
      </x:c>
      <x:c r="M170" s="18" t="str">
        <x:f>IF(A170="","",IF(B170="Edge",IFERROR(IF(INDEX('模型流与公式'!$Q$5:$Q$204,MATCH(A170,'模型流与公式'!$A$5:$A$204,0))="","",INDEX('模型流与公式'!$Q$5:$Q$204,MATCH(A170,'模型流与公式'!$A$5:$A$204,0))),""),""))</x:f>
      </x:c>
      <x:c r="N170" s="18"/>
      <x:c r="O170" s="18"/>
      <x:c r="P170" s="18"/>
      <x:c r="Q170" s="18"/>
      <x:c r="R170" s="18"/>
      <x:c r="S170" s="18"/>
      <x:c r="T170" s="18"/>
      <x:c r="U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30" t="str">
        <x:f>IF(A171="","",IF(B171="Edge",IFERROR(IF(INDEX('模型流与公式'!$P$5:$P$204,MATCH(A171,'模型流与公式'!$A$5:$A$204,0))="","",INDEX('模型流与公式'!$P$5:$P$204,MATCH(A171,'模型流与公式'!$A$5:$A$204,0))),""),""))</x:f>
      </x:c>
      <x:c r="M171" s="18" t="str">
        <x:f>IF(A171="","",IF(B171="Edge",IFERROR(IF(INDEX('模型流与公式'!$Q$5:$Q$204,MATCH(A171,'模型流与公式'!$A$5:$A$204,0))="","",INDEX('模型流与公式'!$Q$5:$Q$204,MATCH(A171,'模型流与公式'!$A$5:$A$204,0))),""),""))</x:f>
      </x:c>
      <x:c r="N171" s="18"/>
      <x:c r="O171" s="18"/>
      <x:c r="P171" s="18"/>
      <x:c r="Q171" s="18"/>
      <x:c r="R171" s="18"/>
      <x:c r="S171" s="18"/>
      <x:c r="T171" s="18"/>
      <x:c r="U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30" t="str">
        <x:f>IF(A172="","",IF(B172="Edge",IFERROR(IF(INDEX('模型流与公式'!$P$5:$P$204,MATCH(A172,'模型流与公式'!$A$5:$A$204,0))="","",INDEX('模型流与公式'!$P$5:$P$204,MATCH(A172,'模型流与公式'!$A$5:$A$204,0))),""),""))</x:f>
      </x:c>
      <x:c r="M172" s="18" t="str">
        <x:f>IF(A172="","",IF(B172="Edge",IFERROR(IF(INDEX('模型流与公式'!$Q$5:$Q$204,MATCH(A172,'模型流与公式'!$A$5:$A$204,0))="","",INDEX('模型流与公式'!$Q$5:$Q$204,MATCH(A172,'模型流与公式'!$A$5:$A$204,0))),""),""))</x:f>
      </x:c>
      <x:c r="N172" s="18"/>
      <x:c r="O172" s="18"/>
      <x:c r="P172" s="18"/>
      <x:c r="Q172" s="18"/>
      <x:c r="R172" s="18"/>
      <x:c r="S172" s="18"/>
      <x:c r="T172" s="18"/>
      <x:c r="U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30" t="str">
        <x:f>IF(A173="","",IF(B173="Edge",IFERROR(IF(INDEX('模型流与公式'!$P$5:$P$204,MATCH(A173,'模型流与公式'!$A$5:$A$204,0))="","",INDEX('模型流与公式'!$P$5:$P$204,MATCH(A173,'模型流与公式'!$A$5:$A$204,0))),""),""))</x:f>
      </x:c>
      <x:c r="M173" s="18" t="str">
        <x:f>IF(A173="","",IF(B173="Edge",IFERROR(IF(INDEX('模型流与公式'!$Q$5:$Q$204,MATCH(A173,'模型流与公式'!$A$5:$A$204,0))="","",INDEX('模型流与公式'!$Q$5:$Q$204,MATCH(A173,'模型流与公式'!$A$5:$A$204,0))),""),""))</x:f>
      </x:c>
      <x:c r="N173" s="18"/>
      <x:c r="O173" s="18"/>
      <x:c r="P173" s="18"/>
      <x:c r="Q173" s="18"/>
      <x:c r="R173" s="18"/>
      <x:c r="S173" s="18"/>
      <x:c r="T173" s="18"/>
      <x:c r="U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30" t="str">
        <x:f>IF(A174="","",IF(B174="Edge",IFERROR(IF(INDEX('模型流与公式'!$P$5:$P$204,MATCH(A174,'模型流与公式'!$A$5:$A$204,0))="","",INDEX('模型流与公式'!$P$5:$P$204,MATCH(A174,'模型流与公式'!$A$5:$A$204,0))),""),""))</x:f>
      </x:c>
      <x:c r="M174" s="18" t="str">
        <x:f>IF(A174="","",IF(B174="Edge",IFERROR(IF(INDEX('模型流与公式'!$Q$5:$Q$204,MATCH(A174,'模型流与公式'!$A$5:$A$204,0))="","",INDEX('模型流与公式'!$Q$5:$Q$204,MATCH(A174,'模型流与公式'!$A$5:$A$204,0))),""),""))</x:f>
      </x:c>
      <x:c r="N174" s="18"/>
      <x:c r="O174" s="18"/>
      <x:c r="P174" s="18"/>
      <x:c r="Q174" s="18"/>
      <x:c r="R174" s="18"/>
      <x:c r="S174" s="18"/>
      <x:c r="T174" s="18"/>
      <x:c r="U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30" t="str">
        <x:f>IF(A175="","",IF(B175="Edge",IFERROR(IF(INDEX('模型流与公式'!$P$5:$P$204,MATCH(A175,'模型流与公式'!$A$5:$A$204,0))="","",INDEX('模型流与公式'!$P$5:$P$204,MATCH(A175,'模型流与公式'!$A$5:$A$204,0))),""),""))</x:f>
      </x:c>
      <x:c r="M175" s="18" t="str">
        <x:f>IF(A175="","",IF(B175="Edge",IFERROR(IF(INDEX('模型流与公式'!$Q$5:$Q$204,MATCH(A175,'模型流与公式'!$A$5:$A$204,0))="","",INDEX('模型流与公式'!$Q$5:$Q$204,MATCH(A175,'模型流与公式'!$A$5:$A$204,0))),""),""))</x:f>
      </x:c>
      <x:c r="N175" s="18"/>
      <x:c r="O175" s="18"/>
      <x:c r="P175" s="18"/>
      <x:c r="Q175" s="18"/>
      <x:c r="R175" s="18"/>
      <x:c r="S175" s="18"/>
      <x:c r="T175" s="18"/>
      <x:c r="U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30" t="str">
        <x:f>IF(A176="","",IF(B176="Edge",IFERROR(IF(INDEX('模型流与公式'!$P$5:$P$204,MATCH(A176,'模型流与公式'!$A$5:$A$204,0))="","",INDEX('模型流与公式'!$P$5:$P$204,MATCH(A176,'模型流与公式'!$A$5:$A$204,0))),""),""))</x:f>
      </x:c>
      <x:c r="M176" s="18" t="str">
        <x:f>IF(A176="","",IF(B176="Edge",IFERROR(IF(INDEX('模型流与公式'!$Q$5:$Q$204,MATCH(A176,'模型流与公式'!$A$5:$A$204,0))="","",INDEX('模型流与公式'!$Q$5:$Q$204,MATCH(A176,'模型流与公式'!$A$5:$A$204,0))),""),""))</x:f>
      </x:c>
      <x:c r="N176" s="18"/>
      <x:c r="O176" s="18"/>
      <x:c r="P176" s="18"/>
      <x:c r="Q176" s="18"/>
      <x:c r="R176" s="18"/>
      <x:c r="S176" s="18"/>
      <x:c r="T176" s="18"/>
      <x:c r="U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30" t="str">
        <x:f>IF(A177="","",IF(B177="Edge",IFERROR(IF(INDEX('模型流与公式'!$P$5:$P$204,MATCH(A177,'模型流与公式'!$A$5:$A$204,0))="","",INDEX('模型流与公式'!$P$5:$P$204,MATCH(A177,'模型流与公式'!$A$5:$A$204,0))),""),""))</x:f>
      </x:c>
      <x:c r="M177" s="18" t="str">
        <x:f>IF(A177="","",IF(B177="Edge",IFERROR(IF(INDEX('模型流与公式'!$Q$5:$Q$204,MATCH(A177,'模型流与公式'!$A$5:$A$204,0))="","",INDEX('模型流与公式'!$Q$5:$Q$204,MATCH(A177,'模型流与公式'!$A$5:$A$204,0))),""),""))</x:f>
      </x:c>
      <x:c r="N177" s="18"/>
      <x:c r="O177" s="18"/>
      <x:c r="P177" s="18"/>
      <x:c r="Q177" s="18"/>
      <x:c r="R177" s="18"/>
      <x:c r="S177" s="18"/>
      <x:c r="T177" s="18"/>
      <x:c r="U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30" t="str">
        <x:f>IF(A178="","",IF(B178="Edge",IFERROR(IF(INDEX('模型流与公式'!$P$5:$P$204,MATCH(A178,'模型流与公式'!$A$5:$A$204,0))="","",INDEX('模型流与公式'!$P$5:$P$204,MATCH(A178,'模型流与公式'!$A$5:$A$204,0))),""),""))</x:f>
      </x:c>
      <x:c r="M178" s="18" t="str">
        <x:f>IF(A178="","",IF(B178="Edge",IFERROR(IF(INDEX('模型流与公式'!$Q$5:$Q$204,MATCH(A178,'模型流与公式'!$A$5:$A$204,0))="","",INDEX('模型流与公式'!$Q$5:$Q$204,MATCH(A178,'模型流与公式'!$A$5:$A$204,0))),""),""))</x:f>
      </x:c>
      <x:c r="N178" s="18"/>
      <x:c r="O178" s="18"/>
      <x:c r="P178" s="18"/>
      <x:c r="Q178" s="18"/>
      <x:c r="R178" s="18"/>
      <x:c r="S178" s="18"/>
      <x:c r="T178" s="18"/>
      <x:c r="U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30" t="str">
        <x:f>IF(A179="","",IF(B179="Edge",IFERROR(IF(INDEX('模型流与公式'!$P$5:$P$204,MATCH(A179,'模型流与公式'!$A$5:$A$204,0))="","",INDEX('模型流与公式'!$P$5:$P$204,MATCH(A179,'模型流与公式'!$A$5:$A$204,0))),""),""))</x:f>
      </x:c>
      <x:c r="M179" s="18" t="str">
        <x:f>IF(A179="","",IF(B179="Edge",IFERROR(IF(INDEX('模型流与公式'!$Q$5:$Q$204,MATCH(A179,'模型流与公式'!$A$5:$A$204,0))="","",INDEX('模型流与公式'!$Q$5:$Q$204,MATCH(A179,'模型流与公式'!$A$5:$A$204,0))),""),""))</x:f>
      </x:c>
      <x:c r="N179" s="18"/>
      <x:c r="O179" s="18"/>
      <x:c r="P179" s="18"/>
      <x:c r="Q179" s="18"/>
      <x:c r="R179" s="18"/>
      <x:c r="S179" s="18"/>
      <x:c r="T179" s="18"/>
      <x:c r="U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30" t="str">
        <x:f>IF(A180="","",IF(B180="Edge",IFERROR(IF(INDEX('模型流与公式'!$P$5:$P$204,MATCH(A180,'模型流与公式'!$A$5:$A$204,0))="","",INDEX('模型流与公式'!$P$5:$P$204,MATCH(A180,'模型流与公式'!$A$5:$A$204,0))),""),""))</x:f>
      </x:c>
      <x:c r="M180" s="18" t="str">
        <x:f>IF(A180="","",IF(B180="Edge",IFERROR(IF(INDEX('模型流与公式'!$Q$5:$Q$204,MATCH(A180,'模型流与公式'!$A$5:$A$204,0))="","",INDEX('模型流与公式'!$Q$5:$Q$204,MATCH(A180,'模型流与公式'!$A$5:$A$204,0))),""),""))</x:f>
      </x:c>
      <x:c r="N180" s="18"/>
      <x:c r="O180" s="18"/>
      <x:c r="P180" s="18"/>
      <x:c r="Q180" s="18"/>
      <x:c r="R180" s="18"/>
      <x:c r="S180" s="18"/>
      <x:c r="T180" s="18"/>
      <x:c r="U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30" t="str">
        <x:f>IF(A181="","",IF(B181="Edge",IFERROR(IF(INDEX('模型流与公式'!$P$5:$P$204,MATCH(A181,'模型流与公式'!$A$5:$A$204,0))="","",INDEX('模型流与公式'!$P$5:$P$204,MATCH(A181,'模型流与公式'!$A$5:$A$204,0))),""),""))</x:f>
      </x:c>
      <x:c r="M181" s="18" t="str">
        <x:f>IF(A181="","",IF(B181="Edge",IFERROR(IF(INDEX('模型流与公式'!$Q$5:$Q$204,MATCH(A181,'模型流与公式'!$A$5:$A$204,0))="","",INDEX('模型流与公式'!$Q$5:$Q$204,MATCH(A181,'模型流与公式'!$A$5:$A$204,0))),""),""))</x:f>
      </x:c>
      <x:c r="N181" s="18"/>
      <x:c r="O181" s="18"/>
      <x:c r="P181" s="18"/>
      <x:c r="Q181" s="18"/>
      <x:c r="R181" s="18"/>
      <x:c r="S181" s="18"/>
      <x:c r="T181" s="18"/>
      <x:c r="U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30" t="str">
        <x:f>IF(A182="","",IF(B182="Edge",IFERROR(IF(INDEX('模型流与公式'!$P$5:$P$204,MATCH(A182,'模型流与公式'!$A$5:$A$204,0))="","",INDEX('模型流与公式'!$P$5:$P$204,MATCH(A182,'模型流与公式'!$A$5:$A$204,0))),""),""))</x:f>
      </x:c>
      <x:c r="M182" s="18" t="str">
        <x:f>IF(A182="","",IF(B182="Edge",IFERROR(IF(INDEX('模型流与公式'!$Q$5:$Q$204,MATCH(A182,'模型流与公式'!$A$5:$A$204,0))="","",INDEX('模型流与公式'!$Q$5:$Q$204,MATCH(A182,'模型流与公式'!$A$5:$A$204,0))),""),""))</x:f>
      </x:c>
      <x:c r="N182" s="18"/>
      <x:c r="O182" s="18"/>
      <x:c r="P182" s="18"/>
      <x:c r="Q182" s="18"/>
      <x:c r="R182" s="18"/>
      <x:c r="S182" s="18"/>
      <x:c r="T182" s="18"/>
      <x:c r="U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30" t="str">
        <x:f>IF(A183="","",IF(B183="Edge",IFERROR(IF(INDEX('模型流与公式'!$P$5:$P$204,MATCH(A183,'模型流与公式'!$A$5:$A$204,0))="","",INDEX('模型流与公式'!$P$5:$P$204,MATCH(A183,'模型流与公式'!$A$5:$A$204,0))),""),""))</x:f>
      </x:c>
      <x:c r="M183" s="18" t="str">
        <x:f>IF(A183="","",IF(B183="Edge",IFERROR(IF(INDEX('模型流与公式'!$Q$5:$Q$204,MATCH(A183,'模型流与公式'!$A$5:$A$204,0))="","",INDEX('模型流与公式'!$Q$5:$Q$204,MATCH(A183,'模型流与公式'!$A$5:$A$204,0))),""),""))</x:f>
      </x:c>
      <x:c r="N183" s="18"/>
      <x:c r="O183" s="18"/>
      <x:c r="P183" s="18"/>
      <x:c r="Q183" s="18"/>
      <x:c r="R183" s="18"/>
      <x:c r="S183" s="18"/>
      <x:c r="T183" s="18"/>
      <x:c r="U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30" t="str">
        <x:f>IF(A184="","",IF(B184="Edge",IFERROR(IF(INDEX('模型流与公式'!$P$5:$P$204,MATCH(A184,'模型流与公式'!$A$5:$A$204,0))="","",INDEX('模型流与公式'!$P$5:$P$204,MATCH(A184,'模型流与公式'!$A$5:$A$204,0))),""),""))</x:f>
      </x:c>
      <x:c r="M184" s="18" t="str">
        <x:f>IF(A184="","",IF(B184="Edge",IFERROR(IF(INDEX('模型流与公式'!$Q$5:$Q$204,MATCH(A184,'模型流与公式'!$A$5:$A$204,0))="","",INDEX('模型流与公式'!$Q$5:$Q$204,MATCH(A184,'模型流与公式'!$A$5:$A$204,0))),""),""))</x:f>
      </x:c>
      <x:c r="N184" s="18"/>
      <x:c r="O184" s="18"/>
      <x:c r="P184" s="18"/>
      <x:c r="Q184" s="18"/>
      <x:c r="R184" s="18"/>
      <x:c r="S184" s="18"/>
      <x:c r="T184" s="18"/>
      <x:c r="U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30" t="str">
        <x:f>IF(A185="","",IF(B185="Edge",IFERROR(IF(INDEX('模型流与公式'!$P$5:$P$204,MATCH(A185,'模型流与公式'!$A$5:$A$204,0))="","",INDEX('模型流与公式'!$P$5:$P$204,MATCH(A185,'模型流与公式'!$A$5:$A$204,0))),""),""))</x:f>
      </x:c>
      <x:c r="M185" s="18" t="str">
        <x:f>IF(A185="","",IF(B185="Edge",IFERROR(IF(INDEX('模型流与公式'!$Q$5:$Q$204,MATCH(A185,'模型流与公式'!$A$5:$A$204,0))="","",INDEX('模型流与公式'!$Q$5:$Q$204,MATCH(A185,'模型流与公式'!$A$5:$A$204,0))),""),""))</x:f>
      </x:c>
      <x:c r="N185" s="18"/>
      <x:c r="O185" s="18"/>
      <x:c r="P185" s="18"/>
      <x:c r="Q185" s="18"/>
      <x:c r="R185" s="18"/>
      <x:c r="S185" s="18"/>
      <x:c r="T185" s="18"/>
      <x:c r="U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30" t="str">
        <x:f>IF(A186="","",IF(B186="Edge",IFERROR(IF(INDEX('模型流与公式'!$P$5:$P$204,MATCH(A186,'模型流与公式'!$A$5:$A$204,0))="","",INDEX('模型流与公式'!$P$5:$P$204,MATCH(A186,'模型流与公式'!$A$5:$A$204,0))),""),""))</x:f>
      </x:c>
      <x:c r="M186" s="18" t="str">
        <x:f>IF(A186="","",IF(B186="Edge",IFERROR(IF(INDEX('模型流与公式'!$Q$5:$Q$204,MATCH(A186,'模型流与公式'!$A$5:$A$204,0))="","",INDEX('模型流与公式'!$Q$5:$Q$204,MATCH(A186,'模型流与公式'!$A$5:$A$204,0))),""),""))</x:f>
      </x:c>
      <x:c r="N186" s="18"/>
      <x:c r="O186" s="18"/>
      <x:c r="P186" s="18"/>
      <x:c r="Q186" s="18"/>
      <x:c r="R186" s="18"/>
      <x:c r="S186" s="18"/>
      <x:c r="T186" s="18"/>
      <x:c r="U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30" t="str">
        <x:f>IF(A187="","",IF(B187="Edge",IFERROR(IF(INDEX('模型流与公式'!$P$5:$P$204,MATCH(A187,'模型流与公式'!$A$5:$A$204,0))="","",INDEX('模型流与公式'!$P$5:$P$204,MATCH(A187,'模型流与公式'!$A$5:$A$204,0))),""),""))</x:f>
      </x:c>
      <x:c r="M187" s="18" t="str">
        <x:f>IF(A187="","",IF(B187="Edge",IFERROR(IF(INDEX('模型流与公式'!$Q$5:$Q$204,MATCH(A187,'模型流与公式'!$A$5:$A$204,0))="","",INDEX('模型流与公式'!$Q$5:$Q$204,MATCH(A187,'模型流与公式'!$A$5:$A$204,0))),""),""))</x:f>
      </x:c>
      <x:c r="N187" s="18"/>
      <x:c r="O187" s="18"/>
      <x:c r="P187" s="18"/>
      <x:c r="Q187" s="18"/>
      <x:c r="R187" s="18"/>
      <x:c r="S187" s="18"/>
      <x:c r="T187" s="18"/>
      <x:c r="U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30" t="str">
        <x:f>IF(A188="","",IF(B188="Edge",IFERROR(IF(INDEX('模型流与公式'!$P$5:$P$204,MATCH(A188,'模型流与公式'!$A$5:$A$204,0))="","",INDEX('模型流与公式'!$P$5:$P$204,MATCH(A188,'模型流与公式'!$A$5:$A$204,0))),""),""))</x:f>
      </x:c>
      <x:c r="M188" s="18" t="str">
        <x:f>IF(A188="","",IF(B188="Edge",IFERROR(IF(INDEX('模型流与公式'!$Q$5:$Q$204,MATCH(A188,'模型流与公式'!$A$5:$A$204,0))="","",INDEX('模型流与公式'!$Q$5:$Q$204,MATCH(A188,'模型流与公式'!$A$5:$A$204,0))),""),""))</x:f>
      </x:c>
      <x:c r="N188" s="18"/>
      <x:c r="O188" s="18"/>
      <x:c r="P188" s="18"/>
      <x:c r="Q188" s="18"/>
      <x:c r="R188" s="18"/>
      <x:c r="S188" s="18"/>
      <x:c r="T188" s="18"/>
      <x:c r="U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30" t="str">
        <x:f>IF(A189="","",IF(B189="Edge",IFERROR(IF(INDEX('模型流与公式'!$P$5:$P$204,MATCH(A189,'模型流与公式'!$A$5:$A$204,0))="","",INDEX('模型流与公式'!$P$5:$P$204,MATCH(A189,'模型流与公式'!$A$5:$A$204,0))),""),""))</x:f>
      </x:c>
      <x:c r="M189" s="18" t="str">
        <x:f>IF(A189="","",IF(B189="Edge",IFERROR(IF(INDEX('模型流与公式'!$Q$5:$Q$204,MATCH(A189,'模型流与公式'!$A$5:$A$204,0))="","",INDEX('模型流与公式'!$Q$5:$Q$204,MATCH(A189,'模型流与公式'!$A$5:$A$204,0))),""),""))</x:f>
      </x:c>
      <x:c r="N189" s="18"/>
      <x:c r="O189" s="18"/>
      <x:c r="P189" s="18"/>
      <x:c r="Q189" s="18"/>
      <x:c r="R189" s="18"/>
      <x:c r="S189" s="18"/>
      <x:c r="T189" s="18"/>
      <x:c r="U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30" t="str">
        <x:f>IF(A190="","",IF(B190="Edge",IFERROR(IF(INDEX('模型流与公式'!$P$5:$P$204,MATCH(A190,'模型流与公式'!$A$5:$A$204,0))="","",INDEX('模型流与公式'!$P$5:$P$204,MATCH(A190,'模型流与公式'!$A$5:$A$204,0))),""),""))</x:f>
      </x:c>
      <x:c r="M190" s="18" t="str">
        <x:f>IF(A190="","",IF(B190="Edge",IFERROR(IF(INDEX('模型流与公式'!$Q$5:$Q$204,MATCH(A190,'模型流与公式'!$A$5:$A$204,0))="","",INDEX('模型流与公式'!$Q$5:$Q$204,MATCH(A190,'模型流与公式'!$A$5:$A$204,0))),""),""))</x:f>
      </x:c>
      <x:c r="N190" s="18"/>
      <x:c r="O190" s="18"/>
      <x:c r="P190" s="18"/>
      <x:c r="Q190" s="18"/>
      <x:c r="R190" s="18"/>
      <x:c r="S190" s="18"/>
      <x:c r="T190" s="18"/>
      <x:c r="U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30" t="str">
        <x:f>IF(A191="","",IF(B191="Edge",IFERROR(IF(INDEX('模型流与公式'!$P$5:$P$204,MATCH(A191,'模型流与公式'!$A$5:$A$204,0))="","",INDEX('模型流与公式'!$P$5:$P$204,MATCH(A191,'模型流与公式'!$A$5:$A$204,0))),""),""))</x:f>
      </x:c>
      <x:c r="M191" s="18" t="str">
        <x:f>IF(A191="","",IF(B191="Edge",IFERROR(IF(INDEX('模型流与公式'!$Q$5:$Q$204,MATCH(A191,'模型流与公式'!$A$5:$A$204,0))="","",INDEX('模型流与公式'!$Q$5:$Q$204,MATCH(A191,'模型流与公式'!$A$5:$A$204,0))),""),""))</x:f>
      </x:c>
      <x:c r="N191" s="18"/>
      <x:c r="O191" s="18"/>
      <x:c r="P191" s="18"/>
      <x:c r="Q191" s="18"/>
      <x:c r="R191" s="18"/>
      <x:c r="S191" s="18"/>
      <x:c r="T191" s="18"/>
      <x:c r="U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30" t="str">
        <x:f>IF(A192="","",IF(B192="Edge",IFERROR(IF(INDEX('模型流与公式'!$P$5:$P$204,MATCH(A192,'模型流与公式'!$A$5:$A$204,0))="","",INDEX('模型流与公式'!$P$5:$P$204,MATCH(A192,'模型流与公式'!$A$5:$A$204,0))),""),""))</x:f>
      </x:c>
      <x:c r="M192" s="18" t="str">
        <x:f>IF(A192="","",IF(B192="Edge",IFERROR(IF(INDEX('模型流与公式'!$Q$5:$Q$204,MATCH(A192,'模型流与公式'!$A$5:$A$204,0))="","",INDEX('模型流与公式'!$Q$5:$Q$204,MATCH(A192,'模型流与公式'!$A$5:$A$204,0))),""),""))</x:f>
      </x:c>
      <x:c r="N192" s="18"/>
      <x:c r="O192" s="18"/>
      <x:c r="P192" s="18"/>
      <x:c r="Q192" s="18"/>
      <x:c r="R192" s="18"/>
      <x:c r="S192" s="18"/>
      <x:c r="T192" s="18"/>
      <x:c r="U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30" t="str">
        <x:f>IF(A193="","",IF(B193="Edge",IFERROR(IF(INDEX('模型流与公式'!$P$5:$P$204,MATCH(A193,'模型流与公式'!$A$5:$A$204,0))="","",INDEX('模型流与公式'!$P$5:$P$204,MATCH(A193,'模型流与公式'!$A$5:$A$204,0))),""),""))</x:f>
      </x:c>
      <x:c r="M193" s="18" t="str">
        <x:f>IF(A193="","",IF(B193="Edge",IFERROR(IF(INDEX('模型流与公式'!$Q$5:$Q$204,MATCH(A193,'模型流与公式'!$A$5:$A$204,0))="","",INDEX('模型流与公式'!$Q$5:$Q$204,MATCH(A193,'模型流与公式'!$A$5:$A$204,0))),""),""))</x:f>
      </x:c>
      <x:c r="N193" s="18"/>
      <x:c r="O193" s="18"/>
      <x:c r="P193" s="18"/>
      <x:c r="Q193" s="18"/>
      <x:c r="R193" s="18"/>
      <x:c r="S193" s="18"/>
      <x:c r="T193" s="18"/>
      <x:c r="U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30" t="str">
        <x:f>IF(A194="","",IF(B194="Edge",IFERROR(IF(INDEX('模型流与公式'!$P$5:$P$204,MATCH(A194,'模型流与公式'!$A$5:$A$204,0))="","",INDEX('模型流与公式'!$P$5:$P$204,MATCH(A194,'模型流与公式'!$A$5:$A$204,0))),""),""))</x:f>
      </x:c>
      <x:c r="M194" s="18" t="str">
        <x:f>IF(A194="","",IF(B194="Edge",IFERROR(IF(INDEX('模型流与公式'!$Q$5:$Q$204,MATCH(A194,'模型流与公式'!$A$5:$A$204,0))="","",INDEX('模型流与公式'!$Q$5:$Q$204,MATCH(A194,'模型流与公式'!$A$5:$A$204,0))),""),""))</x:f>
      </x:c>
      <x:c r="N194" s="18"/>
      <x:c r="O194" s="18"/>
      <x:c r="P194" s="18"/>
      <x:c r="Q194" s="18"/>
      <x:c r="R194" s="18"/>
      <x:c r="S194" s="18"/>
      <x:c r="T194" s="18"/>
      <x:c r="U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30" t="str">
        <x:f>IF(A195="","",IF(B195="Edge",IFERROR(IF(INDEX('模型流与公式'!$P$5:$P$204,MATCH(A195,'模型流与公式'!$A$5:$A$204,0))="","",INDEX('模型流与公式'!$P$5:$P$204,MATCH(A195,'模型流与公式'!$A$5:$A$204,0))),""),""))</x:f>
      </x:c>
      <x:c r="M195" s="18" t="str">
        <x:f>IF(A195="","",IF(B195="Edge",IFERROR(IF(INDEX('模型流与公式'!$Q$5:$Q$204,MATCH(A195,'模型流与公式'!$A$5:$A$204,0))="","",INDEX('模型流与公式'!$Q$5:$Q$204,MATCH(A195,'模型流与公式'!$A$5:$A$204,0))),""),""))</x:f>
      </x:c>
      <x:c r="N195" s="18"/>
      <x:c r="O195" s="18"/>
      <x:c r="P195" s="18"/>
      <x:c r="Q195" s="18"/>
      <x:c r="R195" s="18"/>
      <x:c r="S195" s="18"/>
      <x:c r="T195" s="18"/>
      <x:c r="U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30" t="str">
        <x:f>IF(A196="","",IF(B196="Edge",IFERROR(IF(INDEX('模型流与公式'!$P$5:$P$204,MATCH(A196,'模型流与公式'!$A$5:$A$204,0))="","",INDEX('模型流与公式'!$P$5:$P$204,MATCH(A196,'模型流与公式'!$A$5:$A$204,0))),""),""))</x:f>
      </x:c>
      <x:c r="M196" s="18" t="str">
        <x:f>IF(A196="","",IF(B196="Edge",IFERROR(IF(INDEX('模型流与公式'!$Q$5:$Q$204,MATCH(A196,'模型流与公式'!$A$5:$A$204,0))="","",INDEX('模型流与公式'!$Q$5:$Q$204,MATCH(A196,'模型流与公式'!$A$5:$A$204,0))),""),""))</x:f>
      </x:c>
      <x:c r="N196" s="18"/>
      <x:c r="O196" s="18"/>
      <x:c r="P196" s="18"/>
      <x:c r="Q196" s="18"/>
      <x:c r="R196" s="18"/>
      <x:c r="S196" s="18"/>
      <x:c r="T196" s="18"/>
      <x:c r="U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30" t="str">
        <x:f>IF(A197="","",IF(B197="Edge",IFERROR(IF(INDEX('模型流与公式'!$P$5:$P$204,MATCH(A197,'模型流与公式'!$A$5:$A$204,0))="","",INDEX('模型流与公式'!$P$5:$P$204,MATCH(A197,'模型流与公式'!$A$5:$A$204,0))),""),""))</x:f>
      </x:c>
      <x:c r="M197" s="18" t="str">
        <x:f>IF(A197="","",IF(B197="Edge",IFERROR(IF(INDEX('模型流与公式'!$Q$5:$Q$204,MATCH(A197,'模型流与公式'!$A$5:$A$204,0))="","",INDEX('模型流与公式'!$Q$5:$Q$204,MATCH(A197,'模型流与公式'!$A$5:$A$204,0))),""),""))</x:f>
      </x:c>
      <x:c r="N197" s="18"/>
      <x:c r="O197" s="18"/>
      <x:c r="P197" s="18"/>
      <x:c r="Q197" s="18"/>
      <x:c r="R197" s="18"/>
      <x:c r="S197" s="18"/>
      <x:c r="T197" s="18"/>
      <x:c r="U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30" t="str">
        <x:f>IF(A198="","",IF(B198="Edge",IFERROR(IF(INDEX('模型流与公式'!$P$5:$P$204,MATCH(A198,'模型流与公式'!$A$5:$A$204,0))="","",INDEX('模型流与公式'!$P$5:$P$204,MATCH(A198,'模型流与公式'!$A$5:$A$204,0))),""),""))</x:f>
      </x:c>
      <x:c r="M198" s="18" t="str">
        <x:f>IF(A198="","",IF(B198="Edge",IFERROR(IF(INDEX('模型流与公式'!$Q$5:$Q$204,MATCH(A198,'模型流与公式'!$A$5:$A$204,0))="","",INDEX('模型流与公式'!$Q$5:$Q$204,MATCH(A198,'模型流与公式'!$A$5:$A$204,0))),""),""))</x:f>
      </x:c>
      <x:c r="N198" s="18"/>
      <x:c r="O198" s="18"/>
      <x:c r="P198" s="18"/>
      <x:c r="Q198" s="18"/>
      <x:c r="R198" s="18"/>
      <x:c r="S198" s="18"/>
      <x:c r="T198" s="18"/>
      <x:c r="U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30" t="str">
        <x:f>IF(A199="","",IF(B199="Edge",IFERROR(IF(INDEX('模型流与公式'!$P$5:$P$204,MATCH(A199,'模型流与公式'!$A$5:$A$204,0))="","",INDEX('模型流与公式'!$P$5:$P$204,MATCH(A199,'模型流与公式'!$A$5:$A$204,0))),""),""))</x:f>
      </x:c>
      <x:c r="M199" s="18" t="str">
        <x:f>IF(A199="","",IF(B199="Edge",IFERROR(IF(INDEX('模型流与公式'!$Q$5:$Q$204,MATCH(A199,'模型流与公式'!$A$5:$A$204,0))="","",INDEX('模型流与公式'!$Q$5:$Q$204,MATCH(A199,'模型流与公式'!$A$5:$A$204,0))),""),""))</x:f>
      </x:c>
      <x:c r="N199" s="18"/>
      <x:c r="O199" s="18"/>
      <x:c r="P199" s="18"/>
      <x:c r="Q199" s="18"/>
      <x:c r="R199" s="18"/>
      <x:c r="S199" s="18"/>
      <x:c r="T199" s="18"/>
      <x:c r="U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30" t="str">
        <x:f>IF(A200="","",IF(B200="Edge",IFERROR(IF(INDEX('模型流与公式'!$P$5:$P$204,MATCH(A200,'模型流与公式'!$A$5:$A$204,0))="","",INDEX('模型流与公式'!$P$5:$P$204,MATCH(A200,'模型流与公式'!$A$5:$A$204,0))),""),""))</x:f>
      </x:c>
      <x:c r="M200" s="18" t="str">
        <x:f>IF(A200="","",IF(B200="Edge",IFERROR(IF(INDEX('模型流与公式'!$Q$5:$Q$204,MATCH(A200,'模型流与公式'!$A$5:$A$204,0))="","",INDEX('模型流与公式'!$Q$5:$Q$204,MATCH(A200,'模型流与公式'!$A$5:$A$204,0))),""),""))</x:f>
      </x:c>
      <x:c r="N200" s="18"/>
      <x:c r="O200" s="18"/>
      <x:c r="P200" s="18"/>
      <x:c r="Q200" s="18"/>
      <x:c r="R200" s="18"/>
      <x:c r="S200" s="18"/>
      <x:c r="T200" s="18"/>
      <x:c r="U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30" t="str">
        <x:f>IF(A201="","",IF(B201="Edge",IFERROR(IF(INDEX('模型流与公式'!$P$5:$P$204,MATCH(A201,'模型流与公式'!$A$5:$A$204,0))="","",INDEX('模型流与公式'!$P$5:$P$204,MATCH(A201,'模型流与公式'!$A$5:$A$204,0))),""),""))</x:f>
      </x:c>
      <x:c r="M201" s="18" t="str">
        <x:f>IF(A201="","",IF(B201="Edge",IFERROR(IF(INDEX('模型流与公式'!$Q$5:$Q$204,MATCH(A201,'模型流与公式'!$A$5:$A$204,0))="","",INDEX('模型流与公式'!$Q$5:$Q$204,MATCH(A201,'模型流与公式'!$A$5:$A$204,0))),""),""))</x:f>
      </x:c>
      <x:c r="N201" s="18"/>
      <x:c r="O201" s="18"/>
      <x:c r="P201" s="18"/>
      <x:c r="Q201" s="18"/>
      <x:c r="R201" s="18"/>
      <x:c r="S201" s="18"/>
      <x:c r="T201" s="18"/>
      <x:c r="U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30" t="str">
        <x:f>IF(A202="","",IF(B202="Edge",IFERROR(IF(INDEX('模型流与公式'!$P$5:$P$204,MATCH(A202,'模型流与公式'!$A$5:$A$204,0))="","",INDEX('模型流与公式'!$P$5:$P$204,MATCH(A202,'模型流与公式'!$A$5:$A$204,0))),""),""))</x:f>
      </x:c>
      <x:c r="M202" s="18" t="str">
        <x:f>IF(A202="","",IF(B202="Edge",IFERROR(IF(INDEX('模型流与公式'!$Q$5:$Q$204,MATCH(A202,'模型流与公式'!$A$5:$A$204,0))="","",INDEX('模型流与公式'!$Q$5:$Q$204,MATCH(A202,'模型流与公式'!$A$5:$A$204,0))),""),""))</x:f>
      </x:c>
      <x:c r="N202" s="18"/>
      <x:c r="O202" s="18"/>
      <x:c r="P202" s="18"/>
      <x:c r="Q202" s="18"/>
      <x:c r="R202" s="18"/>
      <x:c r="S202" s="18"/>
      <x:c r="T202" s="18"/>
      <x:c r="U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30" t="str">
        <x:f>IF(A203="","",IF(B203="Edge",IFERROR(IF(INDEX('模型流与公式'!$P$5:$P$204,MATCH(A203,'模型流与公式'!$A$5:$A$204,0))="","",INDEX('模型流与公式'!$P$5:$P$204,MATCH(A203,'模型流与公式'!$A$5:$A$204,0))),""),""))</x:f>
      </x:c>
      <x:c r="M203" s="18" t="str">
        <x:f>IF(A203="","",IF(B203="Edge",IFERROR(IF(INDEX('模型流与公式'!$Q$5:$Q$204,MATCH(A203,'模型流与公式'!$A$5:$A$204,0))="","",INDEX('模型流与公式'!$Q$5:$Q$204,MATCH(A203,'模型流与公式'!$A$5:$A$204,0))),""),""))</x:f>
      </x:c>
      <x:c r="N203" s="18"/>
      <x:c r="O203" s="18"/>
      <x:c r="P203" s="18"/>
      <x:c r="Q203" s="18"/>
      <x:c r="R203" s="18"/>
      <x:c r="S203" s="18"/>
      <x:c r="T203" s="18"/>
      <x:c r="U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30" t="str">
        <x:f>IF(A204="","",IF(B204="Edge",IFERROR(IF(INDEX('模型流与公式'!$P$5:$P$204,MATCH(A204,'模型流与公式'!$A$5:$A$204,0))="","",INDEX('模型流与公式'!$P$5:$P$204,MATCH(A204,'模型流与公式'!$A$5:$A$204,0))),""),""))</x:f>
      </x:c>
      <x:c r="M204" s="18" t="str">
        <x:f>IF(A204="","",IF(B204="Edge",IFERROR(IF(INDEX('模型流与公式'!$Q$5:$Q$204,MATCH(A204,'模型流与公式'!$A$5:$A$204,0))="","",INDEX('模型流与公式'!$Q$5:$Q$204,MATCH(A204,'模型流与公式'!$A$5:$A$204,0))),""),""))</x:f>
      </x:c>
      <x:c r="N204" s="18"/>
      <x:c r="O204" s="18"/>
      <x:c r="P204" s="18"/>
      <x:c r="Q204" s="18"/>
      <x:c r="R204" s="18"/>
      <x:c r="S204" s="18"/>
      <x:c r="T204" s="18"/>
      <x:c r="U204" s="18"/>
    </x:row>
  </x:sheetData>
  <x:dataValidations count="7">
    <x:dataValidation type="list" sqref="B5:B204">
      <x:formula1>"Container,Node,Edge,Note"</x:formula1>
    </x:dataValidation>
    <x:dataValidation type="list" sqref="H5:H204">
      <x:formula1>"as_modelled,expand_confirmed,collapse_confirmed"</x:formula1>
    </x:dataValidation>
    <x:dataValidation type="list" sqref="I5:I204">
      <x:formula1>"是,否,待确认"</x:formula1>
    </x:dataValidation>
    <x:dataValidation type="list" sqref="K5:K204">
      <x:formula1>"是,否"</x:formula1>
    </x:dataValidation>
    <x:dataValidation type="list" sqref="N5:N204">
      <x:formula1>"name,name_value,id_name_value,none"</x:formula1>
    </x:dataValidation>
    <x:dataValidation type="list" sqref="P5:Q204">
      <x:formula1>"待确认,已确认,重新打开"</x:formula1>
    </x:dataValidation>
    <x:dataValidation type="list" sqref="S5:S204">
      <x:formula1>"PASS,REVIEW,BLOCKED,NOT_CHECKED"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5" hidden="0" customWidth="1"/>
    <x:col min="5" max="5" width="25" hidden="0" customWidth="1"/>
    <x:col min="6" max="6" width="25" hidden="0" customWidth="1"/>
    <x:col min="7" max="7" width="16" hidden="0" customWidth="1"/>
    <x:col min="8" max="8" width="16" hidden="0" customWidth="1"/>
    <x:col min="9" max="9" width="16" hidden="0" customWidth="1"/>
    <x:col min="10" max="10" width="2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5" hidden="0" customWidth="1"/>
    <x:col min="17" max="17" width="18" hidden="0" customWidth="1"/>
    <x:col min="18" max="18" width="18" hidden="0" customWidth="1"/>
    <x:col min="19" max="19" width="18" hidden="0" customWidth="1"/>
    <x:col min="20" max="20" width="26" hidden="0" customWidth="1"/>
  </x:cols>
  <x:sheetData>
    <x:row r="1">
      <x:c r="A1" s="44" t="str">
        <x:v>来源候选数据</x:v>
      </x:c>
    </x:row>
    <x:row r="2">
      <x:c r="A2" s="37" t="str">
        <x:v>每行一个来源数值；原始值与研究基准换算值分开。采用决定写回模型参数或模型流。</x:v>
      </x:c>
    </x:row>
    <x:row r="4" ht="34" customHeight="1">
      <x:c r="A4" s="42" t="str">
        <x:v>候选ID</x:v>
      </x:c>
      <x:c r="B4" s="42" t="str">
        <x:v>目标对象类型</x:v>
      </x:c>
      <x:c r="C4" s="42" t="str">
        <x:v>目标对象ID</x:v>
      </x:c>
      <x:c r="D4" s="42" t="str">
        <x:v>来源ID</x:v>
      </x:c>
      <x:c r="E4" s="42" t="str">
        <x:v>证据位置</x:v>
      </x:c>
      <x:c r="F4" s="42" t="str">
        <x:v>来源原名</x:v>
      </x:c>
      <x:c r="G4" s="42" t="str">
        <x:v>原始值</x:v>
      </x:c>
      <x:c r="H4" s="42" t="str">
        <x:v>原始单位</x:v>
      </x:c>
      <x:c r="I4" s="42" t="str">
        <x:v>原始基准</x:v>
      </x:c>
      <x:c r="J4" s="42" t="str">
        <x:v>适用条件</x:v>
      </x:c>
      <x:c r="K4" s="42" t="str">
        <x:v>分布类型</x:v>
      </x:c>
      <x:c r="L4" s="42" t="str">
        <x:v>分布参数</x:v>
      </x:c>
      <x:c r="M4" s="42" t="str">
        <x:v>换算值</x:v>
      </x:c>
      <x:c r="N4" s="42" t="str">
        <x:v>换算单位</x:v>
      </x:c>
      <x:c r="O4" s="42" t="str">
        <x:v>研究基准</x:v>
      </x:c>
      <x:c r="P4" s="42" t="str">
        <x:v>换算依据</x:v>
      </x:c>
      <x:c r="Q4" s="42" t="str">
        <x:v>可比性</x:v>
      </x:c>
      <x:c r="R4" s="42" t="str">
        <x:v>采用状态</x:v>
      </x:c>
      <x:c r="S4" s="42" t="str">
        <x:v>决策ID</x:v>
      </x:c>
      <x:c r="T4" s="42" t="str">
        <x:v>备注</x:v>
      </x:c>
    </x:row>
    <x:row r="5" ht="25" customHeight="1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</x:row>
    <x:row r="6" ht="25" customHeight="1">
      <x:c r="A6" s="47"/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</x:row>
    <x:row r="7" ht="25" customHeight="1">
      <x:c r="A7" s="47"/>
      <x:c r="B7" s="47"/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</x:row>
    <x:row r="8" ht="25" customHeight="1">
      <x:c r="A8" s="47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</x:row>
    <x:row r="9" ht="25" customHeight="1">
      <x:c r="A9" s="47"/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</x:row>
    <x:row r="10" ht="25" customHeight="1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</x:row>
    <x:row r="11" ht="25" customHeight="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</x:row>
    <x:row r="12" ht="25" customHeight="1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</x:row>
    <x:row r="13" ht="25" customHeight="1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</x:row>
    <x:row r="14" ht="25" customHeight="1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</x:row>
    <x:row r="15" ht="25" customHeight="1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</x:row>
    <x:row r="16" ht="25" customHeight="1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</x:row>
    <x:row r="17" ht="25" customHeight="1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</x:row>
    <x:row r="18" ht="25" customHeight="1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</x:row>
    <x:row r="19" ht="25" customHeight="1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</x:row>
    <x:row r="20" ht="25" customHeight="1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</x:row>
    <x:row r="21" ht="25" customHeight="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</x:row>
    <x:row r="22" ht="25" customHeight="1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</x:row>
    <x:row r="23" ht="25" customHeight="1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</x:row>
    <x:row r="24" ht="25" customHeight="1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</x:row>
    <x:row r="25" ht="25" customHeight="1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</x:row>
    <x:row r="26" ht="25" customHeight="1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</x:row>
    <x:row r="27" ht="25" customHeight="1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</x:row>
    <x:row r="28" ht="25" customHeight="1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</x:row>
    <x:row r="29" ht="25" customHeight="1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</x:row>
    <x:row r="30" ht="25" customHeight="1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</x:row>
    <x:row r="31" ht="25" customHeight="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</x:row>
    <x:row r="32" ht="25" customHeight="1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</x:row>
    <x:row r="33" ht="25" customHeight="1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</x:row>
    <x:row r="34" ht="25" customHeight="1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</x:row>
    <x:row r="35" ht="25" customHeight="1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</x:row>
    <x:row r="36" ht="25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</x:row>
    <x:row r="37" ht="25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</x:row>
    <x:row r="38" ht="25" customHeight="1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</x:row>
    <x:row r="39" ht="25" customHeight="1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</x:row>
    <x:row r="40" ht="25" customHeight="1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</x:row>
  </x:sheetData>
  <x:dataValidations count="2">
    <x:dataValidation type="list" sqref="Q5:Q200">
      <x:formula1>"可比,条件可比,不可直接比较,待核实"</x:formula1>
    </x:dataValidation>
    <x:dataValidation type="list" sqref="R5:R200">
      <x:formula1>"候选,采用,排除,待决"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  <x:col min="5" max="5" width="2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0" hidden="0" customWidth="1"/>
  </x:cols>
  <x:sheetData>
    <x:row r="1">
      <x:c r="A1" s="50" t="str">
        <x:v>参数覆盖度矩阵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3">
      <x:c r="A3" t="str">
        <x:v>每行一项操作—参数/流需求；只记录证据与可用层级，不重复填写模型数值。</x:v>
      </x:c>
    </x:row>
    <x:row r="4">
      <x:c r="A4" s="49" t="str">
        <x:v>覆盖ID</x:v>
      </x:c>
      <x:c r="B4" s="49" t="str">
        <x:v>模块/过程ID</x:v>
      </x:c>
      <x:c r="C4" s="49" t="str">
        <x:v>操作ID</x:v>
      </x:c>
      <x:c r="D4" s="49" t="str">
        <x:v>操作名称</x:v>
      </x:c>
      <x:c r="E4" s="49" t="str">
        <x:v>所需参数/流ID</x:v>
      </x:c>
      <x:c r="F4" s="49" t="str">
        <x:v>数据层级</x:v>
      </x:c>
      <x:c r="G4" s="49" t="str">
        <x:v>证据来源ID</x:v>
      </x:c>
      <x:c r="H4" s="49" t="str">
        <x:v>覆盖状态</x:v>
      </x:c>
      <x:c r="I4" s="49" t="str">
        <x:v>关联问题ID</x:v>
      </x:c>
      <x:c r="J4" s="49" t="str">
        <x:v>绘图可用层级</x:v>
      </x:c>
      <x:c r="K4" s="49" t="str">
        <x:v>备注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22" hidden="0" customWidth="1"/>
    <x:col min="7" max="7" width="32" hidden="0" customWidth="1"/>
    <x:col min="8" max="8" width="32" hidden="0" customWidth="1"/>
    <x:col min="9" max="9" width="22" hidden="0" customWidth="1"/>
  </x:cols>
  <x:sheetData>
    <x:row r="1">
      <x:c r="A1" s="50" t="str">
        <x:v>待补参数清单</x:v>
      </x:c>
      <x:c r="B1" s="50"/>
      <x:c r="C1" s="50"/>
      <x:c r="D1" s="50"/>
      <x:c r="E1" s="50"/>
      <x:c r="F1" s="50"/>
      <x:c r="G1" s="50"/>
      <x:c r="H1" s="50"/>
      <x:c r="I1" s="50"/>
    </x:row>
    <x:row r="3">
      <x:c r="A3" t="str">
        <x:v>按操作索引未解决的参数缺口；与问题与决策表用问题ID关联，不作为新数值来源。</x:v>
      </x:c>
    </x:row>
    <x:row r="4">
      <x:c r="A4" s="49" t="str">
        <x:v>待补ID</x:v>
      </x:c>
      <x:c r="B4" s="49" t="str">
        <x:v>归属操作ID</x:v>
      </x:c>
      <x:c r="C4" s="49" t="str">
        <x:v>参数/流ID</x:v>
      </x:c>
      <x:c r="D4" s="49" t="str">
        <x:v>缺口原因</x:v>
      </x:c>
      <x:c r="E4" s="49" t="str">
        <x:v>影响范围</x:v>
      </x:c>
      <x:c r="F4" s="49" t="str">
        <x:v>关联问题ID</x:v>
      </x:c>
      <x:c r="G4" s="49" t="str">
        <x:v>建议补充行动</x:v>
      </x:c>
      <x:c r="H4" s="49" t="str">
        <x:v>用户决定</x:v>
      </x:c>
      <x:c r="I4" s="49" t="str">
        <x:v>状态</x:v>
      </x:c>
    </x:row>
  </x:sheetData>
  <x:pageMargins left="0.7" right="0.7" top="0.75" bottom="0.75" header="0.3" footer="0.3"/>
</x:worksheet>
</file>